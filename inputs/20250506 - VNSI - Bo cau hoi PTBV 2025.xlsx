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tabRatio="805" firstSheet="1" activeTab="1"/>
  </bookViews>
  <sheets>
    <sheet name="Nguyên tắc đánh giá" sheetId="8" state="hidden" r:id="rId1"/>
    <sheet name="VNSI" sheetId="24" r:id="rId2"/>
    <sheet name="Đánh giá R&amp;D" sheetId="25" r:id="rId3"/>
    <sheet name="DK" sheetId="9" state="hidden" r:id="rId4"/>
  </sheets>
  <definedNames>
    <definedName name="_xlnm._FilterDatabase" localSheetId="1" hidden="1">VNSI!$A$4:$H$122</definedName>
    <definedName name="_xlnm.Print_Area" localSheetId="1">VNSI!$A$1:$H$122</definedName>
    <definedName name="_xlnm.Print_Titles" localSheetId="1">VNSI!$1:$4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<sst xmlns="http://schemas.openxmlformats.org/spreadsheetml/2006/main" count="1099" uniqueCount="537">
  <si>
    <t>Cấu trúc Bộ câu hỏi ESG</t>
  </si>
  <si>
    <t>Hạng mục</t>
  </si>
  <si>
    <t>Nội dung</t>
  </si>
  <si>
    <t>Số câu hỏi</t>
  </si>
  <si>
    <t>Điểm tối đa</t>
  </si>
  <si>
    <t>%</t>
  </si>
  <si>
    <t>Môi trường</t>
  </si>
  <si>
    <t>1. Chính sách</t>
  </si>
  <si>
    <t>2. Quy trình quản lý</t>
  </si>
  <si>
    <t>3. Hiệu quả hoạt động theo từng lĩnh vực &amp; chỉ số</t>
  </si>
  <si>
    <t>Xã hội</t>
  </si>
  <si>
    <t>Quản trị 
Công ty</t>
  </si>
  <si>
    <t>1. Quyền của cổ đông trong QTCT</t>
  </si>
  <si>
    <t>2. Đảm bảo vai trò của các bên liên quan trong QTCT</t>
  </si>
  <si>
    <t>3. Công bố thông tin và minh bạch trong QTCT</t>
  </si>
  <si>
    <t>4. Trách nhiệm của HĐQT trong QTCT</t>
  </si>
  <si>
    <t>5. Môi trường kiểm soát</t>
  </si>
  <si>
    <t>*Lưu ý: Người chấm điểm không được thêm dòng, thay đổi format của file này sẽ ảnh hưởng đến tổng hợp dữ liệu</t>
  </si>
  <si>
    <t>Dữ liệu đầu vào</t>
  </si>
  <si>
    <t>Đánh giá thực hành PTBV của CTNY dựa trên nguồn dữ liệu đầu vào gồm:
- Câu trả lời khảo sát của Công ty và các file đính kèm Công ty cung cấp
- Các Báo cáo: BC thường niên, BC PTBV, Báo cáo QTCT 
- Các thông tin công bố chính thức trên website của CTNY 
- Dự liệu đánh giá là dữ liệu của NĐTC 2019, các trường hợp có niên độ khác thì dùng dữ liệu kết thúc niên độ gần nhất</t>
  </si>
  <si>
    <t>Nguyên tắc chấm điểm</t>
  </si>
  <si>
    <r>
      <rPr>
        <sz val="11"/>
        <color rgb="FFFF0000"/>
        <rFont val="Calibri"/>
        <charset val="134"/>
        <scheme val="minor"/>
      </rPr>
      <t>Cách thức đánh giá cho điểm dựa trên các nguyên tắc sau:
        1. Chấm điểm theo hướng dẫn,</t>
    </r>
    <r>
      <rPr>
        <b/>
        <sz val="11"/>
        <color rgb="FFFF0000"/>
        <rFont val="Calibri"/>
        <charset val="134"/>
        <scheme val="minor"/>
      </rPr>
      <t xml:space="preserve"> trong đó điểm cho 01 câu trả lời giao động từ 0-2, điểm tối đa công ty đạt được là 2 khi trả lời đúng thông tin yêu cầu </t>
    </r>
    <r>
      <rPr>
        <sz val="11"/>
        <color rgb="FFFF0000"/>
        <rFont val="Calibri"/>
        <charset val="134"/>
        <scheme val="minor"/>
      </rPr>
      <t xml:space="preserve">và có đầy đủ hồ sơ bằng chứng hoặc cơ sở thuyết phục. </t>
    </r>
    <r>
      <rPr>
        <b/>
        <sz val="11"/>
        <color rgb="FFFF0000"/>
        <rFont val="Calibri"/>
        <charset val="134"/>
        <scheme val="minor"/>
      </rPr>
      <t>Đạt 1 điểm cho câu trả lời đúng nhưng không cung cấp hồ sơ bằng chứng hoặc bằng chứng không rõ ràng</t>
    </r>
    <r>
      <rPr>
        <sz val="11"/>
        <color rgb="FFFF0000"/>
        <rFont val="Calibri"/>
        <charset val="134"/>
        <scheme val="minor"/>
      </rPr>
      <t>. Không cho điểm đối với phần trả lời không phù hợp, không đúng thông tin yêu cầu và không có hồ sơ kèm theo.
        2. Một số câu liên quan đến tuân thủ pháp luật, cho 1 điểm đối với trả lời không vi phạm và có công bố thông tin rõ ràng trong các báo cáo, không cho điểm nếu không đề cập trong các báo cáo. Trường hợp có vi phạm trừ 2 điểm.</t>
    </r>
    <r>
      <rPr>
        <sz val="11"/>
        <color theme="1"/>
        <rFont val="Calibri"/>
        <charset val="163"/>
        <scheme val="minor"/>
      </rPr>
      <t xml:space="preserve">
</t>
    </r>
    <r>
      <rPr>
        <sz val="11"/>
        <color rgb="FFFF0000"/>
        <rFont val="Calibri"/>
        <charset val="134"/>
        <scheme val="minor"/>
      </rPr>
      <t xml:space="preserve">        3. Dữ liệu của công ty được kiểm toán đảm bảo bởi bên thứ 3 =&gt; Công ty được cộng thêm 1 điểm cho mỗi câu hỏi liên quan tương ứng lĩnh vực và chỉ số hoạt động được đảm bảo.
        4. Người đánh giá có thể cần xem xét thêm về các hồ sơ tài liệu bằng chứng cụ thể, cần trao đổi và yêu cầu các Công ty để bổ sung hồ sơ</t>
    </r>
    <r>
      <rPr>
        <sz val="11"/>
        <color theme="1"/>
        <rFont val="Calibri"/>
        <charset val="163"/>
        <scheme val="minor"/>
      </rPr>
      <t xml:space="preserve">
        </t>
    </r>
  </si>
  <si>
    <t>Tính toán điểm ESG</t>
  </si>
  <si>
    <r>
      <rPr>
        <sz val="11"/>
        <color theme="1"/>
        <rFont val="Calibri"/>
        <charset val="163"/>
        <scheme val="minor"/>
      </rPr>
      <t xml:space="preserve">Tổng hợp điểm ESG theo các bước sau:
</t>
    </r>
    <r>
      <rPr>
        <b/>
        <sz val="11"/>
        <color theme="1"/>
        <rFont val="Calibri"/>
        <charset val="134"/>
        <scheme val="minor"/>
      </rPr>
      <t xml:space="preserve">1. Tính toán điểm từng nội dung trên các phương diện </t>
    </r>
    <r>
      <rPr>
        <sz val="11"/>
        <color theme="1"/>
        <rFont val="Calibri"/>
        <charset val="163"/>
        <scheme val="minor"/>
      </rPr>
      <t xml:space="preserve"> bằng việc tính tỷ lệ (%) giữa số điểm đạt được / số điểm tối đa cho mỗi câu hỏi mà công ty có thể đạt được trong từng yếu tố (E1, E2, E3, S1, S2, S3, G1, G2, G3, G4)
</t>
    </r>
    <r>
      <rPr>
        <sz val="11"/>
        <color theme="1"/>
        <rFont val="Calibri"/>
        <charset val="134"/>
        <scheme val="minor"/>
      </rPr>
      <t xml:space="preserve">       Ví dụ: E1 = Điểm của các câu E1 mà công ty đạt được (từ câu E1.1.0 &gt; E1.1.5) / Tổng điểm tối đa của các câu E1</t>
    </r>
    <r>
      <rPr>
        <sz val="11"/>
        <color theme="1"/>
        <rFont val="Calibri"/>
        <charset val="163"/>
        <scheme val="minor"/>
      </rPr>
      <t xml:space="preserve">
</t>
    </r>
    <r>
      <rPr>
        <b/>
        <sz val="11"/>
        <color theme="1"/>
        <rFont val="Calibri"/>
        <charset val="134"/>
        <scheme val="minor"/>
      </rPr>
      <t>2. Tính toán điểm từng mảng môi trường - xã hội - quản trị</t>
    </r>
    <r>
      <rPr>
        <sz val="11"/>
        <color theme="1"/>
        <rFont val="Calibri"/>
        <charset val="163"/>
        <scheme val="minor"/>
      </rPr>
      <t xml:space="preserve"> bằng việc tính trung bình các yếu tố của từng mảng: 
</t>
    </r>
    <r>
      <rPr>
        <b/>
        <sz val="11"/>
        <color theme="1"/>
        <rFont val="Calibri"/>
        <charset val="134"/>
        <scheme val="minor"/>
      </rPr>
      <t xml:space="preserve">        E = Average(E1,E2,E3)
        S = Average(S1, S2, S3)
        G = Average(G1,G2,G3,G4)</t>
    </r>
    <r>
      <rPr>
        <sz val="11"/>
        <color theme="1"/>
        <rFont val="Calibri"/>
        <charset val="163"/>
        <scheme val="minor"/>
      </rPr>
      <t xml:space="preserve">
</t>
    </r>
    <r>
      <rPr>
        <b/>
        <sz val="11"/>
        <color theme="1"/>
        <rFont val="Calibri"/>
        <charset val="134"/>
        <scheme val="minor"/>
      </rPr>
      <t>3. Tìm tỷ trọng của từng mảng</t>
    </r>
    <r>
      <rPr>
        <sz val="11"/>
        <color theme="1"/>
        <rFont val="Calibri"/>
        <charset val="163"/>
        <scheme val="minor"/>
      </rPr>
      <t xml:space="preserve"> hoạt động ESG theo ngành theo phân ngành GICS bên dưới </t>
    </r>
    <r>
      <rPr>
        <i/>
        <sz val="11"/>
        <color theme="1"/>
        <rFont val="Calibri"/>
        <charset val="134"/>
        <scheme val="minor"/>
      </rPr>
      <t>(Bảng vùng AD2:AO5 trong từng bảng chấm điểm)</t>
    </r>
    <r>
      <rPr>
        <sz val="11"/>
        <color theme="1"/>
        <rFont val="Calibri"/>
        <charset val="163"/>
        <scheme val="minor"/>
      </rPr>
      <t xml:space="preserve">
</t>
    </r>
    <r>
      <rPr>
        <b/>
        <sz val="11"/>
        <color theme="1"/>
        <rFont val="Calibri"/>
        <charset val="134"/>
        <scheme val="minor"/>
      </rPr>
      <t>4. Tính điểm ESG</t>
    </r>
    <r>
      <rPr>
        <sz val="11"/>
        <color theme="1"/>
        <rFont val="Calibri"/>
        <charset val="163"/>
        <scheme val="minor"/>
      </rPr>
      <t xml:space="preserve"> dựa trên tỷ trọng tác động theo ngành tại bước 3 theo công thức
        </t>
    </r>
    <r>
      <rPr>
        <b/>
        <sz val="11"/>
        <color theme="1"/>
        <rFont val="Calibri"/>
        <charset val="134"/>
        <scheme val="minor"/>
      </rPr>
      <t>ESG = Điểm E * Tỷ trọng tác động theo ngành của E + Điểm S * Tỷ trọng tác động theo ngành của S + Điểm G * Tỷ trọng tác động theo ngành của G</t>
    </r>
  </si>
  <si>
    <t>GICS Classification Sector</t>
  </si>
  <si>
    <t>G</t>
  </si>
  <si>
    <t>S</t>
  </si>
  <si>
    <t>E</t>
  </si>
  <si>
    <t>Energy</t>
  </si>
  <si>
    <t>Materials</t>
  </si>
  <si>
    <t>Financials</t>
  </si>
  <si>
    <t>Information Technology</t>
  </si>
  <si>
    <t>Telecommunication services</t>
  </si>
  <si>
    <t>Consumer Staples</t>
  </si>
  <si>
    <t>Consumer Discretionary</t>
  </si>
  <si>
    <t>Industrials</t>
  </si>
  <si>
    <t>Real Estate</t>
  </si>
  <si>
    <t>Health care</t>
  </si>
  <si>
    <t>Utilities</t>
  </si>
  <si>
    <t>Bảng đánh giá PTBV 2025</t>
  </si>
  <si>
    <t>Mã đánh giá:</t>
  </si>
  <si>
    <t>ABC</t>
  </si>
  <si>
    <t>Phần câu hỏi</t>
  </si>
  <si>
    <t>Cách chấm</t>
  </si>
  <si>
    <t>Phần trả lời</t>
  </si>
  <si>
    <t>Mục</t>
  </si>
  <si>
    <t>Mảng đánh giá</t>
  </si>
  <si>
    <t>#</t>
  </si>
  <si>
    <t>Câu hỏi</t>
  </si>
  <si>
    <t>Chọn câu trả lời</t>
  </si>
  <si>
    <t>Vui lòng cung cấp tài dẫn chứng tại cột này để câu trả lời được tính điểm tối đa (Cung cấp đường dẫn / nêu rõ mục, trang tại BCTN / BC PTBV có trình bày dẫn chứng này)</t>
  </si>
  <si>
    <t>SL</t>
  </si>
  <si>
    <t>Câu hỏi sàng lọc</t>
  </si>
  <si>
    <t>SL1</t>
  </si>
  <si>
    <t>Công ty có bị kết luận vi phạm nào về giao dịch nội gián liên quan đến thành viên HĐQT, BĐH và nhân viên công ty kể từ đầu năm tài chính đến nay?</t>
  </si>
  <si>
    <t>A. Có
B. Không</t>
  </si>
  <si>
    <t>Có thì toàn bộ điểm Governace = 0.</t>
  </si>
  <si>
    <t>SL2</t>
  </si>
  <si>
    <t>Công ty có để xảy ra các vi phạm về môi trường, vi phạm về thực hành lao động (vd: vi phạm an toàn lao động, quyền con người, lao động trẻ em, lao động cưỡng bức,…) chịu xử phạt của cơ quan quản lý trong quá trình hoạt động trong năm?</t>
  </si>
  <si>
    <t>Có thì toàn bộ điểm E/S = 0</t>
  </si>
  <si>
    <t>SL3</t>
  </si>
  <si>
    <t>Trong năm tài chính, công ty có những trường hợp hoặc các cuộc điều tra đang diễn ra liên quan đến tham nhũng và hối lộ hoặc hành vi gian lận, trốn thuế hay không?</t>
  </si>
  <si>
    <t>SL4</t>
  </si>
  <si>
    <t>Công ty có để xảy ra sự việc không tuân thủ quy định pháp luật, quy tắc và quy định liên quan đến giao dịch bên liên quan đáng kể hoặc trọng yếu kể từ đầu năm tài chính đến nay không?</t>
  </si>
  <si>
    <t>A. -1
B. +1</t>
  </si>
  <si>
    <t>SL5</t>
  </si>
  <si>
    <t>Báo cáo tài chính năm của Công ty có ý kiến kiểm toán ngoại trừ ?</t>
  </si>
  <si>
    <t>E1</t>
  </si>
  <si>
    <t>Phần 1 - Chính sách về môi trường</t>
  </si>
  <si>
    <t>E.1.1.0</t>
  </si>
  <si>
    <t>E.1.1.0 Công ty có xây dựng Chiến lược Phát triển bền vững với các chính sách ưu tiên về quản lý môi trường trong tổng thể hoạt động?</t>
  </si>
  <si>
    <t>A. Công ty có cam kết tuân thủ các quy định pháp luật về môi trường nhưng không đưa ra chiến lược cụ thể. 
B. Công ty có đưa ra các cam kết và chính sách định hướng nhằm từng bước xây dựng Chiến lược phát triển bền vững. 
C. Công ty đã xây dựng Chiến lược, thiết lập về quản trị và tổ chức thực hiện các kế hoạch, chương trình ưu tiên quản lý phát triển bền vững về môi trường.
D. Công ty thực hiện việc đảm bảo độc lập của bên thứ 3 (assurance) cho các kết quả hoạt động trên các lĩnh vực trọng yếu về môi trường (vật liệu, năng lượng, nước, nước thải, khí thải, chất thải, tuân thủ về môi trường…) 
Vui lòng cung cấp dẫn chứng ở phần trả lời</t>
  </si>
  <si>
    <t>A. 0
B. 0
C. +1
D. +1</t>
  </si>
  <si>
    <t>E.1.1.1</t>
  </si>
  <si>
    <t>E.1.1.1 Công ty có chính sách liên quan tới quản lý các tác động môi trường còn hiệu lực hay không?</t>
  </si>
  <si>
    <t>A. Công ty không có bất kỳ chính sách liên quan đến môi trường còn hiệu lực. 
B. Công ty có chính sách môi trường nhưng không công khai rộng rãi
C. Công ty có chính sách liên quan tới tác động môi trường và được công khai rộng rãi
Vui lòng cung cấp dẫn chứng ở phần trả lời</t>
  </si>
  <si>
    <t>A. -1
B. 0
C. +1
Nếu chọn A thì kệ các câu có đề cập đến câu này (E.1.1.1.)</t>
  </si>
  <si>
    <t>E.1.1.2</t>
  </si>
  <si>
    <t>E.1.1.2 Nếu công ty trả lời B hoặc C cho Câu E1.1.1, vui lòng cung cấp khía cạnh chủ đề trọng yếu mà chính sách môi trường của công ty đề cập đến?</t>
  </si>
  <si>
    <t>Có thể chọn nhiều đáp án:
A. Nguyên vật liệu
B. Năng lượng
C. Nước
D. Đa dạng sinh học
E. Phát thải
F. Nước thải và Chất thải
G. Đánh giá thực hành quản lý môi trường đối với nhà cung cấp của công ty.
H. Tuân thủ pháp luật về bảo vệ môi trường.
Vui lòng cung cấp dẫn chứng ở phần trả lời</t>
  </si>
  <si>
    <t>+0,125 trên 1 yêu cầu đáp ứng</t>
  </si>
  <si>
    <t>E.1.1.3</t>
  </si>
  <si>
    <t>E.1.1.3. Nếu công ty trả lời B hoặc C cho Câu E1.1.1, công ty vui lòng cung cấp mức độ cụ thể đề cập trong yêu cầu của các chính sách môi trường?</t>
  </si>
  <si>
    <t>Chính sách của công ty có đề cập đến các nội dung sau (công ty có thể chọn nhiều đáp án):
A. Được Hội đồng quản trị phê duyệt;
B. Cam kết của tổ chức về việc tuân thủ pháp luật về môi trường trong tất cả các khu vực hoạt động, cung cấp sản phẩm và/hoặc dịch vụ;
C. Cách thức quản lý / biện pháp sử dụng tài nguyên, bảo vệ môi trường, hệ sinh thái… mà công ty thực hiện;
D. Cam kết của tổ chức về việc cải thiện không ngừng hiệu suất môi trường giảm thiểu các tác động thông qua áp dụng các công nghệ thân thiện môi trường;
Vui lòng cung cấp dẫn chứng ở phần trả lời</t>
  </si>
  <si>
    <t>+0,25 trên 1 yêu cầu đáp ứng</t>
  </si>
  <si>
    <t>E.1.1.4</t>
  </si>
  <si>
    <t>E.1.1.4 Nếu công ty trả lời B hoặc C cho Câu E1.1.1, vui lòng cung cấp nội dung về phương thức phổ biến nội bộ chính sách trong công ty?</t>
  </si>
  <si>
    <t>A. Công ty không thực hiện phổ biến nội bộ về nội dung chính sách đã ban hành.
B. Công ty thực hiện phổ biến nội bộ nhưng không kiểm tra đánh giá kết quả sau phổ biến.
C. Công ty thực hiện phổ biến nội bộ, công ty có thực hiện đánh giá về hiểu biết sau khi phổ biến, đào tạo chính sách về khía cạnh môi trường. 
Vui lòng cung cấp dẫn chứng ở phần trả lời</t>
  </si>
  <si>
    <t xml:space="preserve">A. -1
B. 0
C. +1
</t>
  </si>
  <si>
    <t>E.1.1.5</t>
  </si>
  <si>
    <t>E.1.1.5 Công ty có định kỳ thực hiện Báo cáo hoặc công bố thông tin về hiệu quả công tác quản lý môi trường một cách rộng rãi đến các bên hữu quan (cơ quan quản lý, nhà đầu tư, đối tác, cộng đồng địa phương...)?</t>
  </si>
  <si>
    <t>A. Công ty không thực hiện báo cáo hoặc công bố thông tin rộng rãi đến các bên hữu quan.
B. Công ty chỉ thực hiện báo cáo đến các bên hữu quan khi có yêu cầu. 
C. Công ty chủ động thực hiện công bố thông tin đầy đủ đến các bên hữu quan. 
Vui lòng cung cấp dẫn chứng ở phần trả lời</t>
  </si>
  <si>
    <t>A. -1
B. 0
C. +1</t>
  </si>
  <si>
    <t>E2</t>
  </si>
  <si>
    <t>Phần 2 - Quản lý về môi trường</t>
  </si>
  <si>
    <t>E.2.1.1</t>
  </si>
  <si>
    <t>E.2.1.1 Công ty có người/bộ phận chịu trách nhiệm triển khai thực hiện các chính sách/vấn đề về môi trường không?</t>
  </si>
  <si>
    <t>A. Có
B. Không
Vui lòng cung cấp dẫn chứng ở phần trả lời</t>
  </si>
  <si>
    <t>A. +1
B. -1</t>
  </si>
  <si>
    <t>E.2.2.1</t>
  </si>
  <si>
    <t>E.2.2.1 Công ty có xây dựng và duy trì hệ thống quản lý môi trường (EMS) được Cơ quan Chứng nhận độc lập hoặc các tổ chức tương đương cấp chứng nhận không?</t>
  </si>
  <si>
    <t>A. Không, công ty không triển khai hệ thống quản lý môi trường.
B. Có, công ty có triển khai hệ thống quản lý môi trường nhưng chưa được cấp giấy chứng nhận.
C. Có, công ty có triển khai và duy trì chứng nhận hệ thống quản lý môi trường đáp ứng tiêu chuẩn ISO 14001 hoặc tương đương. 
Vui lòng cung cấp dẫn chứng ở phần trả lời</t>
  </si>
  <si>
    <t>E.2.2.2</t>
  </si>
  <si>
    <t>E.2.2.2 Công ty có thực hiện đánh giá các rủi ro/tác động đến môi trường của những hoạt động cốt lõi của công ty không?</t>
  </si>
  <si>
    <t>A. Công ty thuê đơn vị độc lập có chức năng và chuyên môn thực hiện các báo cáo đánh giá tác động môi trường, các chương trình giám sát môi trường định kỳ.
B. Công ty tự triển khai thực hiện các đánh giá tác động, giám sát môi trường, lập báo cáo đánh giá
C. Không thực hiện đánh giá này.
Vui lòng cung cấp dẫn chứng ở phần trả lời</t>
  </si>
  <si>
    <t>A. +1
B. 0
C. -1</t>
  </si>
  <si>
    <t>E.2.2.3</t>
  </si>
  <si>
    <t xml:space="preserve">E.2.2.3 Nếu công ty trả lời A hoặc B ở câu E2.2.2, vui lòng nêu rõ khía cạnh đánh giá rủi ro mà công ty thực hiện. </t>
  </si>
  <si>
    <t>Có thể chọn nhiều đáp án:
A. Nguyên vật liệu
B. Năng lượng
C. Nước
D. Đa dạng sinh học
E. Phát thải
F. Nước thải và Chất thải
G. Đánh giá khía cạnh môi trường đối với nhà cung cấp của công ty.
H. Tuân thủ pháp luật về bảo vệ môi trường.
Vui lòng cung cấp dẫn chứng ở phần trả lời</t>
  </si>
  <si>
    <t>E.2.2.4</t>
  </si>
  <si>
    <t>E.2.2.4 Công ty có thực hiện tham vấn trao đổi với các bên hữu quan (cơ quan quản lý, cộng đồng địa phương, khách hàng, nhà cung cấp, nhà đầu tư, người lao động,...) về các rủi ro/tác động của các hoạt động cốt lõi của công ty đối với môi trường?</t>
  </si>
  <si>
    <t>A. Công ty có tổ chức tham vấn và thông tin về tác động môi trường, kế hoạch quản lý môi trường đến các bên hữu quan.
B. Không thực hiện việc tham vấn này. 
Vui lòng cung cấp dẫn chứng ở phần trả lời</t>
  </si>
  <si>
    <t>E.2.2.5</t>
  </si>
  <si>
    <t>E.2.2.5 Công ty có thực hiện các biện pháp kiểm soát rủi ro, ngăn ngừa ô nhiễm, khắc phục các sự cố môi trường có thể xảy ra khi thực hiện các hoạt động cốt lõi của công ty?</t>
  </si>
  <si>
    <t>A. Công ty không thực hiện.
B. Công ty có mô hình quản lý, phân giao trách nhiệm về kiểm soát ngăn ngừa ô nhiễm.
C. Công ty có mô hình quản lý, phân giao trách nhiệm, đầu tư các giải pháp kỹ thuật cụ thể nhằm ngăn ngừa ô nhiễm, ứng phó, khắc phục sự cố môi trường.
Vui lòng cung cấp dẫn chứng ở phần trả lời</t>
  </si>
  <si>
    <t>E.2.2.6</t>
  </si>
  <si>
    <t>E.2.2.6 Công ty có xây dựng hệ thống đánh giá hiệu quả về quản lý môi trường theo các chỉ số đo lường KPIs?</t>
  </si>
  <si>
    <t>A. Công ty đã xây dựng các KPIs về môi trường
B. Công ty chưa thực hiện  
Vui lòng cung cấp dẫn chứng ở phần trả lời</t>
  </si>
  <si>
    <t>E.2.2.7</t>
  </si>
  <si>
    <t>E.2.2.7 Công ty có quy trình rà soát, cập nhật các quy định về bảo vệ môi trường, đảm bảo việc tuân thủ trong quá trình hoạt động?</t>
  </si>
  <si>
    <t>A. Công ty có xây dựng quy trình rà soát, cập nhật quy định về bảo vệ môi trường và xây dựng các kế hoạch đảm bảo tuân thủ 
B. Công ty không thực hiện
Vui lòng cung cấp dẫn chứng ở phần trả lời</t>
  </si>
  <si>
    <t>E.2.2.8</t>
  </si>
  <si>
    <t>E.2.2.8 Công ty có triển khai các kế hoạch bảo vệ hệ sinh thái, môi trường biển, đất, nước và đa dạng sinh học?</t>
  </si>
  <si>
    <t>E.2.2.9</t>
  </si>
  <si>
    <t>E.2.2.9 Công ty xử lý nước thải như thế nào? (Xả nước mưa thu được và nước thải sinh hoạt không được coi là xả nước thải)</t>
  </si>
  <si>
    <t>A. Nước thải được xử lý qua hệ thống xử lý nước thải trước khi thải ra hệ thống thoát nước hoặc môi trường.
B. Công ty ký kết hợp đồng với bên thứ 3 để xử lý nước thải
C. Công ty không theo dõi thông tin này
Vui lòng cung cấp dẫn chứng ở phần trả lời</t>
  </si>
  <si>
    <t>E.2.2.10</t>
  </si>
  <si>
    <t>E.2.2.10 Công ty có thực hiện đánh giá thực hành quản lý môi trường đối với Nhà cung cấp không?</t>
  </si>
  <si>
    <t>A. Có, Công ty đưa ra các tiêu chí đánh giá, tiêu chuẩn về môi trường áp dụng để đánh giá mức độ thực hành tuân thủ về môi trường của Nhà cung cấp.
B. Không đánh giá tác động môi trường của Nhà cung cấp.
Vui lòng cung cấp dẫn chứng ở phần trả lời</t>
  </si>
  <si>
    <t>E.2.2.11</t>
  </si>
  <si>
    <t>E.2.2.11 Công ty có thực hiện xác định và đánh giá các rủi ro và/hoặc cơ hội liên quan đến biến đổi khí hậu không?</t>
  </si>
  <si>
    <t>A. Có
B. Không
Vui lòng cung cấp dẫn chứng tại phần trả lời</t>
  </si>
  <si>
    <t>E.2.2.12</t>
  </si>
  <si>
    <t>E.2.2.12 Công ty có người/bộ phận chịu trách nhiệm triển khai tổ chức thực hiện các chính sách/vấn đề liên quan đến biến đổi khí hậu không?</t>
  </si>
  <si>
    <t>E.2.3.1</t>
  </si>
  <si>
    <t>E.2.3.1 Công ty có triển khai các biện pháp tiết kiệm hoặc nâng cao hiệu quả sử dụng nguyên vật liệu?</t>
  </si>
  <si>
    <t>E.2.3.2</t>
  </si>
  <si>
    <t>E.2.3.2 Công ty có triển khai các biện pháp tiết kiệm hoặc nâng cao hiệu quả sử dụng năng lượng?</t>
  </si>
  <si>
    <t>E.2.3.3</t>
  </si>
  <si>
    <t>E.2.3.3 Công ty có triển khai các biện pháp tiết kiệm hoặc nâng cao hiệu quả sử dụng nước?</t>
  </si>
  <si>
    <t>E.2.3.4</t>
  </si>
  <si>
    <t xml:space="preserve">E.2.3.4 Công ty có triển khai các sáng kiến, giải pháp, dự án cải tiến và đổi mới tại doanh nghiệp nhằm giảm thiểu khí nhà kính không? </t>
  </si>
  <si>
    <t>E.2.3.5</t>
  </si>
  <si>
    <t>E.2.3.5 Công ty có tham gia, triển khai các chương trình, hoạt động xây dựng năng lực cộng đồng, ứng phó Biến đổi khí hậu hoặc thúc đẩy thực hành các sáng kiến bảo vệ môi trường, sử dụng hiệu quả tài nguyên theo định hướng kinh tế tuần hoàn?</t>
  </si>
  <si>
    <t>E.2.3.6</t>
  </si>
  <si>
    <t>E.2.3.6 Công ty vui lòng cho biết tổng số tiền đầu tư cho triển khai đổi mới công nghệ (R&amp;D) trong năm</t>
  </si>
  <si>
    <t xml:space="preserve">Tổng số tiền đầu tư cho đổi mới công nghệ năm nay là ……. </t>
  </si>
  <si>
    <t>Lấy số liệu trong "Research &amp; Development Expense - Expensed &amp; Capitalized - Total -Supplemental" chia cho "Business Activities" - Total
Phụ lục có bảng so sánh</t>
  </si>
  <si>
    <t>E3</t>
  </si>
  <si>
    <t>Phần 3 - Chỉ số hoạt động hiệu quả về môi trường
Sử dụng Vật liệu</t>
  </si>
  <si>
    <t>E.3.1.1</t>
  </si>
  <si>
    <t>E.3.1.1 Công ty vui lòng cho biết tỷ lệ % vật liệu tái chế và vật liệu tái tạo được sử dụng làm nguyên vật liệu đầu vào của công ty trong năm (đơn vị %) dựa trên các thông tin sau:
- Tổng khối lượng vật liệu tái chế và vật liệu tái tạo trong năm tài chính?
- Tổng khối lượng nguyên vật liệu đầu vào của công ty?
- Tỷ lệ?
Ghi chú: Tỷ lệ = (Tổng khối lượng vật liệu tái chế và vật liệu tái tạo trong năm tài chính)/(Tổng khối lượng nguyên vật liệu đầu vào của công ty)</t>
  </si>
  <si>
    <t>- Tổng khối lượng vật liệu tái chế và vật liệu tái tạo trong năm tài chính:
- Tổng khối lượng nguyên vật liệu đầu vào của công ty:
- Tỷ lệ:</t>
  </si>
  <si>
    <t>Câu hỏi này chỉ áp dụng với doanh nghiệp thuộc ngành sản xuất.
Nếu có đề cập số liệu: +1
Nếu không có hoặc thiếu sót: 0</t>
  </si>
  <si>
    <t>E.3.1.2</t>
  </si>
  <si>
    <t>E.3.1.2 Tỷ lệ sản phẩm và/hoặc vật liệu đóng gói công ty đã thu hồi, tái sử dụng, tái chế trong năm?
Tỷ lệ = (Tổng số lượng sản phẩm và vật liệu đóng gói thu hồi) / (Tổng số lượng sản phẩm đã bán trong năm)</t>
  </si>
  <si>
    <t>A. Công ty không sản xuất / không có sản phẩm có thể thu hồi tái chế / công ty dịch vụ/ Công ty không theo dõi chỉ số này
B. Nếu Công ty có sản phẩm và/hoặc vật liệu đóng gói có thể thu hồi, tái chế, vui lòng cung cấp dữ liệu sau:
Tỷ lệ sản phẩm và/hoặc vật liệu đóng gói thu hồi để tái chế năm nay là ……. %
Tỷ lệ sản phẩm và/hoặc vật liệu đóng gói thu hồi để tái chế năm trước là ……. %</t>
  </si>
  <si>
    <t>Phần 3 - Chỉ số hoạt động hiệu quả về môi trường
Tiêu thụ năng lượng</t>
  </si>
  <si>
    <t>E.3.2.1</t>
  </si>
  <si>
    <t>E.3.2.1 Công ty vui lòng cho biết tổng năng lượng (bao gồm năng lượng tái tạo và không tái tạo) được tiêu thụ trong công ty tính trên một đơn vị doanh thu? (Joules/ kwh)</t>
  </si>
  <si>
    <t>Tổng năng lượng được tiêu thụ trên doanh thu trong công ty năm nay là ………..
Tổng năng lượng được tiêu thụ trên doanh thu trong công ty năm trước là ………..
Lưu ý: - Quy mô thu thập số liệu phải tương ứng với quy mô doanh thu (trên phạm vi toàn bộ tập đoàn/Công ty mẹ/ Trụ sở chính/...)
          - Vui lòng ghi rõ đơn vị Doanh thu (đồng/ngàn đồng/triệu đồng/tỷ đồng/... mà Công ty thực hiện tính toán</t>
  </si>
  <si>
    <t>E.3.2.2</t>
  </si>
  <si>
    <t xml:space="preserve">E.3.2.2 Công ty vui lòng cung cấp tổng năng lượng tiết kiệm từ các sáng kiến của Công ty tính trên một đơn vị Doanh thu? Đơn vị: Joules / kwh </t>
  </si>
  <si>
    <t>Tổng năng lượng tiết kiệm được trên doanh thu trong năm nay là ……….. 
Tổng năng lượng tiết kiệm được trên doanh thu trong năm trước là ………..
Lưu ý: - Quy mô thu thập số liệu phải tương ứng với quy mô doanh thu (trên phạm vi toàn bộ tập đoàn/Công ty mẹ/ Trụ sở chính/...)
          - Vui lòng ghi rõ đơn vị Doanh thu (đồng/ngàn đồng/triệu đồng/tỷ đồng/... mà Công ty thực hiện tính toán</t>
  </si>
  <si>
    <t>Phần 3 - Chỉ số hoạt động hiệu quả về môi trường
Sử dụng nước</t>
  </si>
  <si>
    <t>E.3.3.1</t>
  </si>
  <si>
    <t>E.3.3.1 Công ty vui lòng cho biết tổng lượng nước được sử dụng trong hoạt động của Công ty tính trên một đơn vị Doanh thu? Đơn vị m3</t>
  </si>
  <si>
    <t>Tổng lượng nước công ty sử dụng trên doanh thu trong năm nay là …………….…. 
Tổng lượng nước công ty sử dụng trên doanh thu trong năm trước là …………….….
Lưu ý: - Quy mô thu thập số liệu phải tương ứng với quy mô doanh thu (trên phạm vi toàn bộ tập đoàn/Công ty mẹ/ Trụ sở chính/...)
          - Vui lòng ghi rõ đơn vị Doanh thu (đồng/ngàn đồng/triệu đồng/tỷ đồng/... mà Công ty thực hiện tính toán</t>
  </si>
  <si>
    <t>E.3.3.2</t>
  </si>
  <si>
    <t>E.3.3.2 Công ty vui lòng cho biết tổng lượng nước tuần hoàn và tái sử dụng tính trên một đơn vị doanh thu của Công ty? Đơn vị m3</t>
  </si>
  <si>
    <t>Tổng lượng nước tuần hoàn và tái sử dụng trên doanh thu trong năm nay là …. 
Tổng lượng nước tuần hoàn và tái sử dụng trên doanh thu trong năm trước là …. 
Lưu ý: - Quy mô thu thập số liệu phải tương ứng với quy mô doanh thu (trên phạm vi toàn bộ tập đoàn/Công ty mẹ/ Trụ sở chính/...)
            - Vui lòng ghi rõ đơn vị Doanh thu (đồng/ngàn đồng/triệu đồng/tỷ đồng/... mà Công ty thực hiện tính toán</t>
  </si>
  <si>
    <t>Phần 3 - Chỉ số hoạt động hiệu quả về môi trường
Xử lý nước thải</t>
  </si>
  <si>
    <t>E.3.3.3</t>
  </si>
  <si>
    <t>E.3.3.3 Cho biết lượng nước thải được xử lý trên một đơn vị doanh thu của Công ty? (Xả nước mưa thu được và nước thải sinh hoạt không được coi là xả nước thải)</t>
  </si>
  <si>
    <t>A. Hoạt động của Công ty không làm phát sinh nước thải/Công ty không theo dõi thông tin này
B. Lượng nước thải được xử lý trên doanh thu năm nay là ….
    Lượng nước thải được xử lý trên doanh thu năm trước là …
Lưu ý: - Quy mô thu thập số liệu phải tương ứng với quy mô doanh thu (trên phạm vi toàn bộ tập đoàn/Công ty mẹ/ Trụ sở chính/...)
            - Vui lòng ghi rõ đơn vị Doanh thu (đồng/ngàn đồng/triệu đồng/tỷ đồng/... mà Công ty thực hiện tính toán</t>
  </si>
  <si>
    <t>E.3.4.1</t>
  </si>
  <si>
    <t>E.3.4.1 Công ty có các khu vực làm việc/hoạt động (công trường, văn phòng, cơ sở sản xuất...) nằm trong hoặc liền kề các khu bảo tồn và khu vực có giá trị đa dạng sinh học cao bên ngoài khu bảo tồn?</t>
  </si>
  <si>
    <t>A. Công ty không có các khu vực làm việc/hoạt động như câu hỏi đề cập
B. Công ty có các khu vực làm việc/hoạt động như câu hỏi đề cập và đã xác định rủi ro tác động đến các khu vực này  
C. Công ty có các khu vực làm việc/hoạt động như câu hỏi đề cập, đã xác định rủi ro tác động đến các khu vực này và xây dựng các tiêu chí / cách thức bảo vệ tính đa dạng sinh học trong khu vực này.
D. Hình thức khác.
Vui lòng cung cấp dẫn chứng ở phần trả lời</t>
  </si>
  <si>
    <t>A. 0
B. -1
C. +1
D. 0 (hoặc tự đánh giá)</t>
  </si>
  <si>
    <t>Phần 3 - Chỉ số hoạt động hiệu quả về môi trường
Quản lý phát thải</t>
  </si>
  <si>
    <t>E.3.5.1</t>
  </si>
  <si>
    <t>E.3.5.1 Công ty thực hiện kiểm soát phát thải như thế nào?</t>
  </si>
  <si>
    <t>A. Công ty có lắp đặt các hệ thống xử lý và kiểm soát phát thải khí ra môi trường theo quy đinh hoặc áp dụng theo quy chuẩn ngành.
B. Công ty có thực hiện đo đạc định kỳ phát thải khí.
C. Công ty không thực hiện kiểm soát phát thải
Vui lòng cung cấp dẫn chứng ở phần trả lời</t>
  </si>
  <si>
    <t>E.3.5.2</t>
  </si>
  <si>
    <t>E.3.5.2 Công ty vui lòng cung cấp phát thải khí nhà kính trực tiếp (scope 1), gián tiếp (scope 2) và gián tiếp khác (scope 3) trong hoạt động của Công ty năm nay và năm trước (Đơn vị: Tấn CO2 tương đương)</t>
  </si>
  <si>
    <t>- Phát thải khí nhà kính trực tiếp: năm nay…  và năm trước là...(tCO2 td)
- Phát thải khí nhà kính gián tiếp: năm nay…  và năm trước là...(tCO2 td)
- Phát thải khí nhà kính gián tiếp khác: năm nay…  và năm trước là... (tCO2 td)</t>
  </si>
  <si>
    <t>Phần 3 - Chỉ số hoạt động hiệu quả về môi trường
Quản lý chất thải</t>
  </si>
  <si>
    <t>E.3.5.3</t>
  </si>
  <si>
    <t>E.3.5.3 Lượng chất thải không nguy hại và nguy hại được công ty xử lý trong năm qua là?</t>
  </si>
  <si>
    <t>- Lượng chất thải được xử lý trong năm là… tấn. 
- Trong đó lượng chất thải nguy hại được xử lý là … tấn.</t>
  </si>
  <si>
    <t>S1</t>
  </si>
  <si>
    <t>Phần 4 - Chính sách về xã hội</t>
  </si>
  <si>
    <t>S.1.0.</t>
  </si>
  <si>
    <t>S.1.0. Công ty có xây dựng Chiến lược Phát triển bền vững với các chính sách ưu tiên về quản lý các tác động xã hội trong tổng thể hoạt động?</t>
  </si>
  <si>
    <t>A. Công ty có cam kết tuân thủ các quy định pháp luật về xã hội nhưng không đưa ra chiến lược cụ thể.
B. Công ty có đưa ra các cam kết và chính sách định hướng nhằm từng bước xây dựng Chiến lược phát triển bền vững
C. Công ty đã xây dựng Chiến lược, thiết lập về quản trị và tổ chức thực hiện các kế hoạch, chương trình quản lý tác động xã hội cho phát triển bền vững
D. Công ty thực hiện đảm bảo độc lập của bên thứ 3 (assurance) cho các kết quả hoạt động trên các lĩnh vực trọng yếu về xã hội (giáo dục đào tạo, đầu tư phát triển cộng đồng, trách nhiệm sản phẩm dịch vụ...)
Vui lòng cung cấp dẫn chứng ở phần trả lời</t>
  </si>
  <si>
    <t>S.1.1.0</t>
  </si>
  <si>
    <t>S.1.1.0 Công ty có xây dựng quy trình gắn kết với các bên liên quan trong đó nêu rõ việc xác định các bên liên quan chủ yếu, tần suất, phương thức tham vấn và việc tiếp nhận các phản hồi, kế hoạch đáp ứng các yêu cầu của từng bên hữu quan (cơ quan quản lý, cộng đồng địa phương, khách hàng, nhà cung cấp, nhà đầu tư, người lao động,...)?</t>
  </si>
  <si>
    <t>A. Công ty có thực hiện các tham vấn, gắn kết với các bên liên quan nhưng không lập thành văn bản quy trình.
B. Công ty xây dựng quy trình chi tiết các bước, phân công trách nhiệm tổ chức thực hiện kế hoạch gắn kết
C. Công ty thực hiện đảm bảo độc lập của bên thứ 3 (assurance) cho các kết quả tương tác với các bên hữu quan
D. Công ty không thực hiện vấn đề này
Vui lòng cung cấp dẫn chứng ở phần trả lời</t>
  </si>
  <si>
    <t>A. 0
B. +1
C. +1
D. 0</t>
  </si>
  <si>
    <t>S.1.1.1</t>
  </si>
  <si>
    <t>S.1.1.1 Công ty có chính sách hoặc cam kết về phúc lợi và đãi ngộ với người lao động không?</t>
  </si>
  <si>
    <t>A. Chính sách hoặc Cam kết có nêu rõ về mức độ được hưởng phúc lợi; các yêu cầu để đạt được mức phúc lợi theo quy định;
B. Chính sách hoặc Cam kết chỉ đề cập chung trong việc đãi ngộ với người lao động, không đề cập cụ thể từng phúc lợi của công ty. 
C. Công ty không có Chính sách/Cam kết này
Vui lòng cung cấp dẫn chứng ở phần trả lời</t>
  </si>
  <si>
    <t>S.1.1.2</t>
  </si>
  <si>
    <t>S.1.1.2 Công ty có Chính sách hoặc Cam kết về an toàn và bảo hộ lao động không?</t>
  </si>
  <si>
    <t>A. Chính sách hoặc Cam kết đưa ra các cách thức bảo đảm an toàn lao động, bảo hộ lao động đối với từng cấp độ / điều kiện làm việc của người lao động, cam kết thực hiện đúng tiêu chuẩn an toàn lao động
B. Chính sách hoặc Cam kết chỉ đề cập chung về an toàn lao động.
C. Công ty không có Chính sách/Cam kết này
Vui lòng cung cấp dẫn chứng ở phần trả lời</t>
  </si>
  <si>
    <t>S.1.1.3</t>
  </si>
  <si>
    <t>S.1.1.3 Công ty có chính sách hoặc cam kết về đào tạo phát triển đối với người lao động không?</t>
  </si>
  <si>
    <t>S.1.2.1</t>
  </si>
  <si>
    <t>S.1.2.1 Công ty có chính sách hoặc cam kết về đảm bảo cơ hội bình đẳng giữa nam và nữ, thù lao công bằng không?</t>
  </si>
  <si>
    <t>S.1.2.2</t>
  </si>
  <si>
    <t>S.1.2.2 Công ty có các chính sách hoặc cam kết về không sử dụng lao động trẻ em (bao gồm lao động chưa thành niên), lao động cưỡng bức; và, đảm bảo bình đẳng, không phân biệt đối xử trong công ty và cho các Nhà cung cấp?</t>
  </si>
  <si>
    <t>A. Không có
B. Có chính sách/cam kết về việc không sử dụng lao động trẻ em, lao động cưỡng bức, đảm bảo bình đẳng, không phân biệt đối xử trong công ty.
C. Có chính sách/cam kết đảm bảo bình đẳng, không phân biệt đối xử cho các Nhà cung cấp
D. B và C
Vui lòng cung cấp dẫn chứng ở phần trả lời</t>
  </si>
  <si>
    <t>A. -1
B. +0,5
C. +0,5
D. +1</t>
  </si>
  <si>
    <t>S.1.3.1</t>
  </si>
  <si>
    <t>S.1.3.1 Công ty có chính sách hoặc cam kết hỗ trợ phát triển và duy trì Mối quan hệ với cộng đồng hay không?</t>
  </si>
  <si>
    <t>S.1.4.1</t>
  </si>
  <si>
    <t>S.1.4.1 Công ty có chính sách bảo mật thông tin của khách hàng/ người tiêu dùng, ngăn chặn việc sử dụng thông tin mà chưa được sự đồng ý của khách hàng nhằm bảo vệ quyền riêng tư của khách hàng/ người tiêu dùng?</t>
  </si>
  <si>
    <t>A. Không, công ty chưa có chính sách về an toàn thông tin khách hàng.
B. Có, công ty có chính sách bao gồm các hướng dẫn, quy chế đối với việc thu thập, lưu trữ và sử dụng thông tin.
C. Có, công ty có chính sách bao gồm các hướng dẫn, quy chế đối với việc thu thập, lưu trữ và sử dụng thông tin; và, thiết lập các hình thức xử lý cho việc vi phạm
Vui lòng cung cấp dẫn chứng ở phần trả lời</t>
  </si>
  <si>
    <t>S.1.4.2</t>
  </si>
  <si>
    <t>S.1.4.2 Công ty có chính sách hoặc cam kết đảm bảo an toàn sức khoẻ của khách hàng không?</t>
  </si>
  <si>
    <t>A. Công ty có chính sách đảm bảo an toàn sức khỏe khách hàng bao gồm các hướng dẫn phòng ngừa và kiểm soát rủi ro
B. Công ty không có chính sách đảm bảo an toàn sức khỏe khách hàng
Vui lòng cung cấp dẫn chứng ở phần trả lời</t>
  </si>
  <si>
    <t>S2</t>
  </si>
  <si>
    <t>Phần 5 - Các thực hành quản lý về trách nhiệm xã hội</t>
  </si>
  <si>
    <t>S.2.0.1</t>
  </si>
  <si>
    <t>S.2.0.1 Công ty có người/bộ phận chịu trách nhiệm triển khai thực hiện các chính sách/vấn đề về trách nhiệm xã hội không?</t>
  </si>
  <si>
    <t>S.2.1.1</t>
  </si>
  <si>
    <t>S.2.1.1 Công ty có xây dựng và duy trì hệ thống quản lý trách nhiệm xã hội được Cơ quan Chứng nhận độc lập hoặc các tổ chức tương đương cấp chứng nhận không?</t>
  </si>
  <si>
    <t>A. Không, công ty không triển khai hệ thống quản lý trách nhiệm xã hội.
B. Có, công ty có triển khai hệ thống quản lý trách nhiệm xã hội nhưng chưa được cấp giấy chứng nhận.
C. Có, công ty có triển khai hệ thống quản lý trách nhiệm xã hội đáp ứng tiêu chuẩn ISO 26000/SA8000 hoặc tương đương.
Vui lòng cung cấp dẫn chứng ở phần trả lời</t>
  </si>
  <si>
    <t>S.2.1.2</t>
  </si>
  <si>
    <t>S.2.1.2 Công ty có thực hiện đánh giá về rủi ro/tác động xã hội trong tổng thể hoạt động?</t>
  </si>
  <si>
    <t>A. Công ty thuê đơn vị độc lập có chức năng và chuyên môn thực hiện các báo cáo đánh giá tác động xã hội, các chương trình giám sát thực hành quản lý xã hội.
B. Công ty tự triển khai thực hiện các đánh giá tác động xã hội
C. Không thực hiện đánh giá này.
Vui lòng cung cấp dẫn chứng ở phần trả lời</t>
  </si>
  <si>
    <t>S.2.2.1</t>
  </si>
  <si>
    <t>S.2.2.1 Chế độ phúc lợi cho người lao động làm toàn thời gian (không bao gồm lao động bán thời gian và lao động tạm thời) của công ty bao gồm?</t>
  </si>
  <si>
    <t>Có thể chọn nhiều đáp án:
A. Bảo hiểm xã hội, y tế, thất nghiệp theo quy định của nhà nước;
B. Bảo hiểm nhân thọ;
C. Nghỉ việc chăm sóc con nhỏ (áp dụng cho cả nữ và nam lao động gồm nghỉ thai sản và chăm sóc con ốm)
D. Trợ cấp hưu trí;
E. Quyền sở hữu cổ phiếu;
F. Cho phép làm việc linh hoạt
G. Phúc lợi khác
Vui lòng cung cấp dẫn chứng ở phần trả lời</t>
  </si>
  <si>
    <t>+0125 trên 1 điều kiện đáp ứng</t>
  </si>
  <si>
    <t>S.2.2.2</t>
  </si>
  <si>
    <t>S.2.2.2 Công ty có các ban / nhóm chuyên phụ trách đảm bảo sức khỏe, an toàn lao động cho người lao động hay không?</t>
  </si>
  <si>
    <t>S.2.2.3</t>
  </si>
  <si>
    <t>S.2.2.3 Công ty có quy trình quản lý phòng ngừa và phương thức hành động đối với các trường hợp phát hiện bị bệnh nghề nghiệp?</t>
  </si>
  <si>
    <t>Có thể chọn nhiều đáp án:
A. Phòng ngừa khi phát hiện có các triệu chứng bệnh nghề nghiệp (Thực hiện khám sức khoẻ định kỳ để phát hiện bệnh nghề nghiệp, thực hiện bồi dưỡng độc hại bằng hiện vật)
B. Cho người lao động đi khám chuyên sâu
C. Chuyển công tác khi phát hiện bệnh nghề nghiệp
D. Trợ cấp theo quy định đối với các trường hợp mắc bệnh nghề nghiệp
E. Công ty hoạt động trong lĩnh vực mà môi trường làm việc không độc hại, không cần phải xây dựng các hành động đối với các trường hợp phát hiện bệnh nghề nghiệp. 
Vui lòng cung cấp dẫn chứng ở phần trả lời</t>
  </si>
  <si>
    <t>+0,25 trên 1 yêu cầu đáp ứng. (trừ câu E)</t>
  </si>
  <si>
    <t>S.2.2.4</t>
  </si>
  <si>
    <t>S.2.2.4 Công ty có quy trình đảm bảo thông tin trao đổi trong Công ty khi có bất kỳ thay đổi ảnh hưởng tới quyền lợi của người lao động?</t>
  </si>
  <si>
    <t>A. Cấp quản lý gửi thông báo cho người lao động về sự thay đổi (trước khi sự thay đổi có hiệu lực);
B. Cấp quản lý gửi thông báo và tổ chức phổ biến cho người lao động hiểu được những thay đổi.
C. Công ty không có quy trình này
D. Hình thức khác
Vui lòng cung cấp dẫn chứng ở phần trả lời</t>
  </si>
  <si>
    <t>A. 0
B. +1
C. 0
D. 0 (hoặc tự đánh giá)</t>
  </si>
  <si>
    <t>S.2.2.5</t>
  </si>
  <si>
    <t>S.2.2.5 Công ty có thực hiện các chương trình đào tạo cho người lao động hàng năm dựa trên nhu cầu thực tế phát triển nhân viên và chính sách của công ty?</t>
  </si>
  <si>
    <t>S.2.2.6</t>
  </si>
  <si>
    <t>S.2.2.6 Phương pháp công ty sử dụng để đánh giá hiệu quả công việc của nhân viên là?</t>
  </si>
  <si>
    <t>A. Công ty sử dụng các chỉ tiêu đánh giá như KPIs/Balanced Score Card để đánh giá nhân viên.
B. Công ty đánh giá dựa trên mô tả chức danh/mô tả công việc.
C. Công ty dựa trên đánh giá bằng phương pháp quan sát
D. Công ty sử dụng biện pháp đánh giá khác.
Vui lòng cung cấp dẫn chứng ở phần trả lời</t>
  </si>
  <si>
    <t>A. +1
B. 0
C. 0
D. 0 (hoặc tự đánh giá)</t>
  </si>
  <si>
    <t>S.2.2.7</t>
  </si>
  <si>
    <t>S.2.2.7 Công ty có đưa ra các cơ chế khiếu nại, đảm bảo quyền lợi cho người lao động khi gặp các vấn đề liên quan đến công ty không?</t>
  </si>
  <si>
    <t>A. Có thiết lập các cơ chế tiếp nhận xử lý và phản hồi
B. Không
Vui lòng cung cấp dẫn chứng ở phần trả lời</t>
  </si>
  <si>
    <t>S.2.2.8</t>
  </si>
  <si>
    <t>S.2.2.8 Trong những khía cạnh dưới đây, chỉ ra những khía cạnh mà công ty áp dụng để đánh giá mức độ hài lòng của người lao động?</t>
  </si>
  <si>
    <t>Công ty có thể chọn nhiều đáp án:
A. Môi trường làm việc
B. Khối lượng công việc
C. Thù lao phù hợp với khối lượng công việc
D. Chế độ đãi ngộ
E. Không thực hiện việc khảo sát mức độ hài lòng của nhân viên
Vui lòng cung cấp dẫn chứng ở phần trả lời</t>
  </si>
  <si>
    <t>S.2.2.9</t>
  </si>
  <si>
    <t>S.2.2.9 Công ty có triển khai các chương trình nhằm nâng cao chất lượng cuộc sống của người lao động?</t>
  </si>
  <si>
    <t>A. Đãi ngộ thông qua cung cấp sản phẩm giúp nâng cao sức khỏe người lao động
B. Tổ chức hoạt động thể dục thể thao nhằm nâng cao thể lực và mang tới cuộc sống lành mạnh
C. Các biện pháp sáng kiến khác 
D. Không triển khai
Vui lòng cung cấp dẫn chứng ở phần trả lời</t>
  </si>
  <si>
    <t>A. +1
B. +1
C. 0 (hoặc tự đánh giá)
D. -1</t>
  </si>
  <si>
    <t>S.2.2.10</t>
  </si>
  <si>
    <t>S.2.2.10 Công ty có triển khai các chương trình nhằm đảm bảo sự công bằng, cơ hội bình đẳng giữa nam/nữ?</t>
  </si>
  <si>
    <t>S.2.3.1</t>
  </si>
  <si>
    <t>S.2.3.1 Công ty có các chương trình / sự kiện nhằm tuyên truyền, phổ biến quyền con người như không sử dụng lao động cưỡng bức, lao động vị thành niên; không phân biệt đối xử; có tổ chức hoạt động công đoàn?</t>
  </si>
  <si>
    <t>A. Không có
B. Có chương trình/sự kiện tuyên truyền, phổ biến về việc không sử dụng lao động trẻ em, lao động cưỡng bức, đảm bảo bình đẳng, không phân biệt đối xử trong công ty.
C. Có tổ chức hoạt động công đoàn
D. B và C
Vui lòng cung cấp dẫn chứng ở phần trả lời</t>
  </si>
  <si>
    <t>S.2.4.1</t>
  </si>
  <si>
    <t>S.2.4.1 Công ty có đánh giá tác động và phương thức xử lý giữa các hoạt động chính của công ty đến cộng đồng địa phương hay không?</t>
  </si>
  <si>
    <t>A. Có, thực hiện đánh giá tác động xã hội.
B. Có, thực hiện đánh giá tác động và xây dựng phương thức xử lý tác động này.
C. Công ty không thực hiện đánh giá.
Vui lòng cung cấp dẫn chứng ở phần trả lời</t>
  </si>
  <si>
    <t>A. 0
B. +1
C. -1</t>
  </si>
  <si>
    <t>S.2.4.2</t>
  </si>
  <si>
    <t>S.2.4.2 Trong năm, công ty có triển khai các hoạt động liên quan đến cộng đồng hay không?</t>
  </si>
  <si>
    <t>S.2.4.3</t>
  </si>
  <si>
    <t>S.2.4.3 Công ty có xem xét đánh giá hiệu quả và các tác động từ các chương trình hoạt động CSR (Trách nhiệm xã hội của Doanh nghiệp) được triển khai hay không?</t>
  </si>
  <si>
    <t>S.2.5.1</t>
  </si>
  <si>
    <t>S.2.5.1 Công ty có công bố chính sách và các thực hành nhằm bảo vệ quyền lợi khách hàng?</t>
  </si>
  <si>
    <t>S.2.5.2</t>
  </si>
  <si>
    <t>S.2.5.2 Công ty có kênh trao đổi (vd: tiếp nhận yêu cầu / khiếu nại / khảo sát/...) với khách hàng không?</t>
  </si>
  <si>
    <t>A. Không
B. Có, công ty có bộ phận tiếp nhận yêu cầu của khách hàng qua email và các số điện thoại đường dây nóng
C. Có, công ty có bộ phận chủ động định kỳ khảo sát, nắm bắt các mong đợi của khách hàng
D. Có cả 2 kênh B và C
Vui lòng cung cấp dẫn chứng ở phần trả lời</t>
  </si>
  <si>
    <t>S.2.5.3</t>
  </si>
  <si>
    <t>S.2.5.3 Công ty có cung cấp các thông tin về sản phẩm hoặc dịch vụ của mình một cách đầy đủ (hướng dẫn sử dụng, các lưu ý về an toàn sức khỏe) cho khách hàng?</t>
  </si>
  <si>
    <t>S3</t>
  </si>
  <si>
    <t>Phần 6 - Các chỉ số về mặt xã hội của công ty</t>
  </si>
  <si>
    <t>S.3.1.1</t>
  </si>
  <si>
    <t>S.3.1.1 Công ty có công bố Tỷ lệ tuyển dụng nhân viên mới trong năm trên các phương tiện truyền thông không?</t>
  </si>
  <si>
    <t>S.3.1.2</t>
  </si>
  <si>
    <t>S.3.1.2 Công ty có công bố Tỷ lệ chấm dứt hợp đồng trong năm trên các phương tiện truyền thông không?</t>
  </si>
  <si>
    <t>S.3.1.3</t>
  </si>
  <si>
    <t>S.3.1.3 Công ty có thực hiện công bố thông tin về cơ cấu nhân sự và thu nhập bình quân của cấp quản lý của công ty theo giới tính hoặc độ tuổi hay không?
Ghi chú: Cấp quản lý là những người có chức vụ từ phó phòng (hoặc tương đương) trở lên</t>
  </si>
  <si>
    <t>A. Có cung cấp thông tin về cơ cấu nhân sự của cấp quản lý của công ty theo giới tính/độ tuổi
B. Có cung cấp thông tin về thu nhập bình quân của cấp quản lý của công ty theo giới tính/độ tuổi
C. Có cung cấp cả 2 thông tin về cơ cấu và thu nhập bình quân của cấp bậc quản lý của công ty theo giới tính/độ tuổi
D. Không công bố.
Vui lòng cung cấp dẫn chứng ở phần trả lời</t>
  </si>
  <si>
    <t>A. +0,5
B. +0,5
C. +1
D. -1</t>
  </si>
  <si>
    <t>S.3.1.4</t>
  </si>
  <si>
    <t>S.3.1.4 Công ty có thực hiện công bố thông tin về cơ cấu nhân sự và thu nhập bình quân của cấp nhân viên của công ty theo giới tính hoặc độ tuổi hay không?</t>
  </si>
  <si>
    <t>A. Có cung cấp thông tin về cơ cấu nhân sự của cấp nhân viên của công ty theo giới tính/độ tuổi
B. Có cung cấp thông tin về thu nhập bình quân của cấp nhân viên của công ty theo giới tính/độ tuổi
C. Có cung cấp cả 2 thông tin về cơ cấu và thu nhập bình quân của cấp nhân viên của công ty theo giới tính/độ tuổi
D. Không công bố.
Vui lòng cung cấp dẫn chứng ở phần trả lời</t>
  </si>
  <si>
    <t>S.3.1.5</t>
  </si>
  <si>
    <t>S.3.1.5 Công ty có thực hiện công bố thông tin về Thời gian đào tạo trung bình cho mỗi người lao động ?</t>
  </si>
  <si>
    <t>S.3.1.6</t>
  </si>
  <si>
    <t xml:space="preserve">S.3.1.6 Công ty có thực hiện các chương trình phát triển kỹ năng cho người lao động hay không? </t>
  </si>
  <si>
    <t>S.3.1.7</t>
  </si>
  <si>
    <t>S.3.1.7 Công ty có xảy ra tai nạn, sự cố nghiêm trọng về lao động trong năm không?</t>
  </si>
  <si>
    <t>A. Không xảy ra tai nạn, sự cố nghiêm trọng.
B. Có xảy ra tai nạn, sự cố nghiêm trọng và công bố thông tin về vấn đề này
C. Có xảy ra tai nạn, sự cố nghiêm trọng tuy nhiên không công bố thông tin</t>
  </si>
  <si>
    <t>S.3.2.1</t>
  </si>
  <si>
    <t>S.3.2.1 Công ty có các sáng kiến / hoạt động truyền thông thực hiện trách nhiệm xã hội trong năm không?</t>
  </si>
  <si>
    <t>Có thể chọn nhiều đáp án:
A. Tham gia các hoạt động sự kiện về nâng cao nhận thức của cộng đồng, các Chương trình góp phần bảo vệ môi trường như Giờ trái đất, Ngày môi trường thế giới
B. Tuyên truyền, khuyến khích người lao động tích cực tham gia các hoạt động thiết thực với cộng đồng, các hoạt động góp phần bảo vệ môi trường
C. Các chương trình đẩy mạnh thực hành tiết kiệm tiết kiệm năng lượng, tài nguyên
D. Chương trình đào tạo trực tuyến nhằm tiết kiệm thời gian di chuyển, chi phí đi lại và chi phí đào tạo.
E. Các hình thức khác
F. Công ty không có bất kỳ hoạt động nào trong năm qua.
Vui lòng cung cấp dẫn chứng ở phần trả lời</t>
  </si>
  <si>
    <t>+0,2 trên 1 yêu cầu đáp ứng. (trừ câu F)</t>
  </si>
  <si>
    <t>S.3.2.2</t>
  </si>
  <si>
    <t>S.3.2.2 Tổng số tiền công ty sử dụng cho các hoạt động thiện nguyện, xã hội, các chương trình liên quan đến cộng đồng địa phương trong năm là …... VND, tương ứng ...... % doanh thu</t>
  </si>
  <si>
    <t>Trong đó ngân sách chi cho:
Hoạt động an sinh xã hội và thiện nguyện chiếm (đơn vị: %)
Hoạt động đầu tư phát triển cộng đồng chiếm (đơn vị: %)
Hoạt động khác chiếm (đơn vị: %)</t>
  </si>
  <si>
    <t>Nếu có đề cập đến số liệu chi tiết: +1
Nếu không có hoặc đề cập không chi tiết rõ ràng: 0</t>
  </si>
  <si>
    <t>S.3.3.1</t>
  </si>
  <si>
    <t>S.3.3.1 Công ty có hệ thống quản lý nhà cung cấp không?</t>
  </si>
  <si>
    <t>A. Có
B. Không
Vui lòng cung cấp dẫn chứng ở phần trả lời ví dụ như quản lý bằng phương pháp theo dõi, giám sát, đánh giá, xếp loại nhà cung cấp:
- Tiêu chí đánh giá chọn lựa nhà cung cấp trên các khía cạnh về xã hội đối với nhà cung cấp (về tuân thủ, đảm bảo an toàn lao động, quyền con người, lao động trẻ em …)
- Hoạt động của nhà cung cấp liên quan đến mức độ thực hiện các yêu cầu xã hội của nhà cung cấp (về an toàn lao động, quyền con người, lao động trẻ em …)</t>
  </si>
  <si>
    <t>A. +1
B. 0</t>
  </si>
  <si>
    <t>G1</t>
  </si>
  <si>
    <t>Phần 7 - Quyền của cổ đông</t>
  </si>
  <si>
    <t>G.1</t>
  </si>
  <si>
    <t>G.1 Công ty có áp dụng các công nghệ thông tin hiện đại để cổ đông có thể tham dự và phát biểu ý kiến tại cuộc họp Đại hội đồng cổ đông tốt nhất, bao gồm hướng dẫn cổ đông biểu quyết thông qua họp Đại hội đồng cổ đông trực tuyến, bỏ phiếu điện tử hoặc hình thức điện tử khác?</t>
  </si>
  <si>
    <t>G.2</t>
  </si>
  <si>
    <t>G.2 Tài liệu họp ĐHĐCĐ có cung cấp thông tin về các ứng viên mới cho HĐQT và BKS (nếu có) tối thiểu 10 ngày trước ngày khai mạc ĐHĐCĐ không? Tài liệu tối thiểu cần đầy đủ các thông tin sau: tuổi, giới tính, trình độ đào tạo, chuyên môn, kinh nghiệm, ngày bổ nhiệm lần đầu, vị trí thành viên HĐQT đang tại vị ở DNNY khác, tính độc lập.</t>
  </si>
  <si>
    <t>G.3</t>
  </si>
  <si>
    <t xml:space="preserve">G.3 Trong thư mời tham dự ĐHĐCĐ, cổ đông có được hướng dẫn để đóng góp ý kiến trong thời gian trước ngày tham dự đại hội về các vấn đề thảo luận trong chương trình nghị sự của ĐHĐCĐ không? </t>
  </si>
  <si>
    <t>G.4</t>
  </si>
  <si>
    <t>G.4 Công ty có công bố và sử dụng tài liệu họp ĐHĐCĐ bằng tiếng Việt và tiếng Anh?</t>
  </si>
  <si>
    <t>G.5</t>
  </si>
  <si>
    <t>G.5 Công ty có công bố đã bổ nhiệm một bên độc lập tham gia Ban kiểm phiếu bầu tại ĐHĐCĐ không?</t>
  </si>
  <si>
    <t>G.6</t>
  </si>
  <si>
    <t>G.6 Công ty có xây dựng chính sách liên quan đến việc tiếp nhận và xử lý khiếu nại của cổ đông không?</t>
  </si>
  <si>
    <t>G.7</t>
  </si>
  <si>
    <t>G.7 Có bằng chứng cho thấy đại hội đồng cổ đông có thông qua thù lao hoặc lương thưởng, chi phí, các khoản lợi ích do công ty thanh toán cho từng thành viên Hội đồng Quản trị không?</t>
  </si>
  <si>
    <t>G.8</t>
  </si>
  <si>
    <t>G.8 Biên bản họp ĐHĐCĐ mới nhất có ghi nhận rằng cổ đông có cơ hội đặt câu hỏi và câu hỏi cùng câu trả lời có được ghi nhận?</t>
  </si>
  <si>
    <t>G.9</t>
  </si>
  <si>
    <t>G.9 Công ty có thực hiện chi trả cổ tức đầy đủ trong thời hạn 06 tháng, kể từ ngày kết thúc họp Đại hội đồng cổ đông thường niên?</t>
  </si>
  <si>
    <t>G2</t>
  </si>
  <si>
    <t>Phần 8 - Công bố thông tin và minh bạch</t>
  </si>
  <si>
    <t>G.10</t>
  </si>
  <si>
    <t>G.10 Công ty có công bố Báo cáo đánh giá liên quan đến trách nhiệm về môi trường và xã hội riêng biệt hoặc tích hợp trong Báo cáo Thường niên không?</t>
  </si>
  <si>
    <t>G.11</t>
  </si>
  <si>
    <t>G.11 Công ty có bộ phận Quan hệ cổ đông chuyên nghiệp, chịu trách nhiệm giám sát truyền thông ra bên ngoài và lưu trữ thông tin theo quy định của pháp luật không?</t>
  </si>
  <si>
    <t>G.12</t>
  </si>
  <si>
    <t>G.12 Công ty có thường xuyên cập nhật các nội dung công bố thông tin trên website công ty và bảo đảm mọi thông tin được cập nhật đều bằng cả tiếng Việt và tiếng Anh không?</t>
  </si>
  <si>
    <t>G.13</t>
  </si>
  <si>
    <t>G.13 Công ty có công bố tính độc lập của thành viên Hội đồng Quản trị không?</t>
  </si>
  <si>
    <t>G.14</t>
  </si>
  <si>
    <t>G.14 Tiền lương của Giám đốc (Tổng giám đốc) và thành viên quản lý điều hành khác (tối thiểu Kế toán trưởng) có được thể hiện thành mục riêng, nêu chi tiết tiền lương, thù lao cho từng người, trong báo cáo tài chính hàng năm của công ty và được báo cáo ĐHĐCĐ tại cuộc họp thường niên không?</t>
  </si>
  <si>
    <t>G.15</t>
  </si>
  <si>
    <t xml:space="preserve">G.15 Báo cáo thường niên có công bố lương, thưởng, thù lao, các khoản lợi ích khác và chi phí do công ty thanh toán cho từng thành viên trong Hội đồng Quản trị, Ban kiểm soát, Ban Giám đốc/ Tổng Giám đốc không? </t>
  </si>
  <si>
    <t>G.16</t>
  </si>
  <si>
    <t>G.16 Báo cáo thường niên có công bố phát biểu, tuyên bố khẳng định sự tuân thủ đầy đủ của công ty với quy tắc quản trị công ty? Trong trường hợp có tình trạng không tuân thủ, có xác định rõ và giải thích lý do cho mỗi vấn đề đó không?</t>
  </si>
  <si>
    <t>G.17</t>
  </si>
  <si>
    <t>G.17 Công ty có công bố chính sách về rà soát và phê duyệt Giao dịch bên liên quan trọng yếu/quan trọng?</t>
  </si>
  <si>
    <t>G.18</t>
  </si>
  <si>
    <t>G.18 Chính sách ở trên có nêu rõ thành viên HĐQT không tham gia bỏ phiếu tại cuộc họp thông qua giao dịch bên liên quan mà trong đó thành viên đó có liên quan hay không?</t>
  </si>
  <si>
    <t>G3</t>
  </si>
  <si>
    <t xml:space="preserve">Phần 9 - Trách nhiệm của Hội đồng quản trị </t>
  </si>
  <si>
    <t>G.19</t>
  </si>
  <si>
    <t>G.19 Cơ cấu Hội đồng quản trị có đảm bảo sự đa dạng giữa các thành viên có kiến thức và kinh nghiệm (vd: về pháp luật, tài chính, lĩnh vực hoạt động kinh doanh,...) của công ty không?</t>
  </si>
  <si>
    <t>G.20</t>
  </si>
  <si>
    <t>G.20 Cơ cấu Hội đồng Quản trị thực tế có đảm bảo cân bằng giới không?</t>
  </si>
  <si>
    <t>G.21</t>
  </si>
  <si>
    <t>G.21 HĐQT của công ty có đảm bảo tối thiểu 1/3 tổng số thành viên HĐQT là thành viên độc lập không?</t>
  </si>
  <si>
    <t>G.22</t>
  </si>
  <si>
    <t>G.22 Thành viên HĐQT độc lập của Công ty có lập báo cáo đánh giá về hoạt động của HĐQT không?</t>
  </si>
  <si>
    <t>G.23</t>
  </si>
  <si>
    <t>G.23 HĐQT của Công ty có thành lập Ủy ban về Quản trị công ty, Bổ nhiệm và Lương thưởng không?</t>
  </si>
  <si>
    <t>A. Có
B. Không
Lưu ý: Thành viên của Ủy ban phải là thành viên HĐQT
Vui lòng cung cấp dẫn chứng ở phần trả lời</t>
  </si>
  <si>
    <t>G.24</t>
  </si>
  <si>
    <t>G.24 Chủ tịch Ủy ban nêu trên có phải là thành viên độc lập HĐQT không?</t>
  </si>
  <si>
    <t>A. Có
B. Không
Nếu chọn A, vui lòng cung cấp dẫn chứng và tên của Thành viên HĐQT độc lập đó ở phần trả lời</t>
  </si>
  <si>
    <t>G.25</t>
  </si>
  <si>
    <t xml:space="preserve">G.25 HĐQT có ban hành quy trình theo dõi, đánh giá công tác quản trị công ty và việc tuân thủ pháp luật hiện hành về quản trị công ty hay không? </t>
  </si>
  <si>
    <t>G.26</t>
  </si>
  <si>
    <t>G.26 Hội đồng Quản trị có thiết lập các tiêu chí lựa chọn công ty kiểm toán độc lập, đánh giá chất lượng công việc của kiểm toán độc lập cũng như quy trình để theo dõi việc thực hiện các khuyến nghị mà kiểm toán độc lập đưa ra?</t>
  </si>
  <si>
    <t>G.27</t>
  </si>
  <si>
    <t>G.27 Công ty có ban hành Bộ quy tắc đạo đức/ quy tắc ứng xử yêu cầu tất cả lãnh đạo và nhân viên công ty phải tuân thủ và nêu rõ nếu vi phạm sẽ có hình thức xử lý không?</t>
  </si>
  <si>
    <t>G.28</t>
  </si>
  <si>
    <t>G.28 Chủ tịch HĐQT có phải là thành viên độc lập không?</t>
  </si>
  <si>
    <t>G4</t>
  </si>
  <si>
    <t>Phần 10 - Môi trường kiểm soát</t>
  </si>
  <si>
    <t>G.29</t>
  </si>
  <si>
    <t>G.29 Công ty có thành lập Ủy ban Kiểm toán không?</t>
  </si>
  <si>
    <t>G.30</t>
  </si>
  <si>
    <t>G.30 Chủ tịch Ủy ban kiểm toán có phải là Thành viên hội đồng quản trị độc lập không?</t>
  </si>
  <si>
    <t>G.31</t>
  </si>
  <si>
    <t xml:space="preserve">G.31 Công ty có thành lập Ủy ban Quản lý rủi ro không? </t>
  </si>
  <si>
    <t>G.32</t>
  </si>
  <si>
    <t xml:space="preserve">G.32 Chủ tịch Ủy ban Quản lý rủi ro có phải là thành viên Hội đồng quản trị độc lập không? </t>
  </si>
  <si>
    <t>G.33</t>
  </si>
  <si>
    <t>G.33 Công ty có thành lập bộ phận/chức năng Kiểm toán nội bộ không?</t>
  </si>
  <si>
    <t>G5</t>
  </si>
  <si>
    <t>Phần 11 - Phát triển bền vững và bền bỉ</t>
  </si>
  <si>
    <t>G.34</t>
  </si>
  <si>
    <t>G.34 Công ty có thiết lập kênh tương tác để thường xuyên tiếp nhận và phản hồi các mối quan tâm của các bên hữu quan về ESG/phát triển bền vững không?</t>
  </si>
  <si>
    <t>A. Có kênh thụ động như địa chỉ email và số điện thoại liên hệ, nêu rõ đối tượng sử dụng là các bên hữu quan (vd: khách hàng, nhà cung cấp, công chúng...) và nói rõ kênh liên hệ này có thể sử dụng để lên tiếng về ESG/phát triển bền vững
B. Có kênh chủ động bao gồm các cách mà công ty chủ động kết nối/đối thoại với bên hữu quan (vd: tổ chức họp định kỳ hàng quý, họp báo, điện thoại, gửi phiếu khảo sát...)
C. Có cả 2 kênh nêu trên
D. Không có kênh tương tác về ESG
Vui lòng cung cấp dẫn chứng ở phần trả lời</t>
  </si>
  <si>
    <t>G.35</t>
  </si>
  <si>
    <t>G.35 Chính sách thu nhập của Tổng giám đốc/người điều hành cấp cao có được kết nối với các mục tiêu phát triển bền vững cần đạt được trong năm tới không?</t>
  </si>
  <si>
    <t>G.36</t>
  </si>
  <si>
    <t>G.36 HĐQT có thành lập một ủy ban hoặc chỉ định một thành viên HĐQT giám sát các vấn đề quản trị bền vững không?</t>
  </si>
  <si>
    <t>A. Có
B. Không
Lưu ý: Thành viên của Ủy bản phải là TV HĐQT
Vui lòng cung cấp dẫn chứng ở phần trả lời</t>
  </si>
  <si>
    <t>G.37</t>
  </si>
  <si>
    <t>G.37 Hội đồng quản trị có vai trò và thực tế có thực hiện quản trị các rủi ro và cơ hội liên quan đến phát triển bền vững không?</t>
  </si>
  <si>
    <t>A. Có
B. Không
Vui lòng đính kèm dẫn chứng (vd: báo cáo hoạt động của HĐQT/ bản phân công nhiệm vụ/...) ở phần trả lời
Vui lòng cung cấp dẫn chứng ở phần trả lời</t>
  </si>
  <si>
    <t>Nhóm Ngành</t>
  </si>
  <si>
    <t>Đánh giá Tỷ lệ "Tốt"</t>
  </si>
  <si>
    <t>Nếu đạt được tỉ lệ tốt:+1 không thì 0</t>
  </si>
  <si>
    <t>Dược phẩm &amp; Công nghệ Sinh học</t>
  </si>
  <si>
    <t>≥ 20%</t>
  </si>
  <si>
    <t>Phần mềm &amp; Dịch vụ Internet</t>
  </si>
  <si>
    <t>≥ 15%</t>
  </si>
  <si>
    <t>Phần cứng Công nghệ &amp; Bán dẫn</t>
  </si>
  <si>
    <t>≥ 10%</t>
  </si>
  <si>
    <t>Công nghiệp Ô tô</t>
  </si>
  <si>
    <t>≥ 6%</t>
  </si>
  <si>
    <t>Công nghiệp Hàng không &amp; Quốc phòng</t>
  </si>
  <si>
    <t>≥ 5%</t>
  </si>
  <si>
    <t>Sản xuất Công nghiệp (Máy móc, Thiết bị)</t>
  </si>
  <si>
    <t>≥ 4%</t>
  </si>
  <si>
    <t>Sản phẩm Tiêu dùng Nhanh (FMCG)</t>
  </si>
  <si>
    <t>≥ 2%</t>
  </si>
  <si>
    <t>Tiện ích, Năng lượng &amp; Vận tải</t>
  </si>
  <si>
    <t>≥ 1.5%</t>
  </si>
  <si>
    <t>Ngân hàng, Bán lẻ, Xây dựng</t>
  </si>
  <si>
    <t>~ 1%</t>
  </si>
  <si>
    <t>STT</t>
  </si>
  <si>
    <t>VN100</t>
  </si>
  <si>
    <t>Câu trả lời</t>
  </si>
  <si>
    <t>Điểm</t>
  </si>
  <si>
    <t>Dữ liệu chứng minh</t>
  </si>
  <si>
    <t>Phân ngành</t>
  </si>
  <si>
    <t>AAA</t>
  </si>
  <si>
    <t>A</t>
  </si>
  <si>
    <t>Có</t>
  </si>
  <si>
    <t>ANV</t>
  </si>
  <si>
    <t>B</t>
  </si>
  <si>
    <t>Không</t>
  </si>
  <si>
    <t>ASM</t>
  </si>
  <si>
    <t>C</t>
  </si>
  <si>
    <t>AST</t>
  </si>
  <si>
    <t>D</t>
  </si>
  <si>
    <t>BFC</t>
  </si>
  <si>
    <t>BID</t>
  </si>
  <si>
    <t>F</t>
  </si>
  <si>
    <t>BMI</t>
  </si>
  <si>
    <t>BMP</t>
  </si>
  <si>
    <t>H</t>
  </si>
  <si>
    <t>BVH</t>
  </si>
  <si>
    <t>BWE</t>
  </si>
  <si>
    <t>CII</t>
  </si>
  <si>
    <t>CMG</t>
  </si>
  <si>
    <t>CRE</t>
  </si>
  <si>
    <t>CSM</t>
  </si>
  <si>
    <t>CSV</t>
  </si>
  <si>
    <t>CTD</t>
  </si>
  <si>
    <t>CTG</t>
  </si>
  <si>
    <t>CTI</t>
  </si>
  <si>
    <t>DBD</t>
  </si>
  <si>
    <t>DCM</t>
  </si>
  <si>
    <t>DIG</t>
  </si>
  <si>
    <t>DPM</t>
  </si>
  <si>
    <t>DPR</t>
  </si>
  <si>
    <t>DRC</t>
  </si>
  <si>
    <t>DXG</t>
  </si>
  <si>
    <t>EIB</t>
  </si>
  <si>
    <t>FCN</t>
  </si>
  <si>
    <t>FLC</t>
  </si>
  <si>
    <t>FPT</t>
  </si>
  <si>
    <t>FRT</t>
  </si>
  <si>
    <t>GAS</t>
  </si>
  <si>
    <t>GEX</t>
  </si>
  <si>
    <t>GMD</t>
  </si>
  <si>
    <t>GTN</t>
  </si>
  <si>
    <t>HAG</t>
  </si>
  <si>
    <t>HBC</t>
  </si>
  <si>
    <t>HCM</t>
  </si>
  <si>
    <t>HDB</t>
  </si>
  <si>
    <t>HDG</t>
  </si>
  <si>
    <t>HNG</t>
  </si>
  <si>
    <t>HPG</t>
  </si>
  <si>
    <t>HPX</t>
  </si>
  <si>
    <t>HSG</t>
  </si>
  <si>
    <t>HT1</t>
  </si>
  <si>
    <t>ITA</t>
  </si>
  <si>
    <t>KBC</t>
  </si>
  <si>
    <t>KDC</t>
  </si>
  <si>
    <t>KDH</t>
  </si>
  <si>
    <t>KSB</t>
  </si>
  <si>
    <t>LDG</t>
  </si>
  <si>
    <t>LIX</t>
  </si>
  <si>
    <t>MBB</t>
  </si>
  <si>
    <t>MSH</t>
  </si>
  <si>
    <t>MSN</t>
  </si>
  <si>
    <t>MWG</t>
  </si>
  <si>
    <t>NBB</t>
  </si>
  <si>
    <t>NCT</t>
  </si>
  <si>
    <t>NKG</t>
  </si>
  <si>
    <t>NLG</t>
  </si>
  <si>
    <t>NT2</t>
  </si>
  <si>
    <t>NVL</t>
  </si>
  <si>
    <t>PAC</t>
  </si>
  <si>
    <t>PAN</t>
  </si>
  <si>
    <t>PC1</t>
  </si>
  <si>
    <t>PDR</t>
  </si>
  <si>
    <t>PHR</t>
  </si>
  <si>
    <t>PNJ</t>
  </si>
  <si>
    <t>POM</t>
  </si>
  <si>
    <t>PPC</t>
  </si>
  <si>
    <t>PTB</t>
  </si>
  <si>
    <t>PVD</t>
  </si>
  <si>
    <t>PVT</t>
  </si>
  <si>
    <t>REE</t>
  </si>
  <si>
    <t>ROS</t>
  </si>
  <si>
    <t>SAB</t>
  </si>
  <si>
    <t>SAM</t>
  </si>
  <si>
    <t>SBT</t>
  </si>
  <si>
    <t>SCR</t>
  </si>
  <si>
    <t>SCS</t>
  </si>
  <si>
    <t>SJD</t>
  </si>
  <si>
    <t>SJS</t>
  </si>
  <si>
    <t>SSI</t>
  </si>
  <si>
    <t>STB</t>
  </si>
  <si>
    <t>TCB</t>
  </si>
  <si>
    <t>TCH</t>
  </si>
  <si>
    <t>THI</t>
  </si>
  <si>
    <t>TPB</t>
  </si>
  <si>
    <t>VCB</t>
  </si>
  <si>
    <t>VCI</t>
  </si>
  <si>
    <t>VHC</t>
  </si>
  <si>
    <t>VHM</t>
  </si>
  <si>
    <t>VIC</t>
  </si>
  <si>
    <t>VJC</t>
  </si>
  <si>
    <t>VND</t>
  </si>
  <si>
    <t>VNM</t>
  </si>
  <si>
    <t>VPB</t>
  </si>
  <si>
    <t>VPI</t>
  </si>
  <si>
    <t>VRE</t>
  </si>
  <si>
    <t>VSC</t>
  </si>
  <si>
    <t>YEG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</si>
</sst>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1">
    <font>
      <sz val="11"/>
      <color theme="1"/>
      <name val="Calibri"/>
      <charset val="163"/>
      <scheme val="minor"/>
    </font>
    <font>
      <b/>
      <sz val="11"/>
      <color rgb="FF1F1F1F"/>
      <name val="Arial"/>
      <charset val="163"/>
    </font>
    <font>
      <sz val="9"/>
      <color theme="1"/>
      <name val="Arial"/>
      <charset val="134"/>
    </font>
    <font>
      <b/>
      <sz val="12"/>
      <color rgb="FF4D763E"/>
      <name val="Arial"/>
      <charset val="134"/>
    </font>
    <font>
      <b/>
      <sz val="9"/>
      <color theme="0"/>
      <name val="Arial"/>
      <charset val="134"/>
    </font>
    <font>
      <b/>
      <sz val="9"/>
      <name val="Arial"/>
      <charset val="134"/>
    </font>
    <font>
      <b/>
      <sz val="11"/>
      <name val="Cambria"/>
      <charset val="134"/>
    </font>
    <font>
      <b/>
      <sz val="9"/>
      <name val="Calibri"/>
      <charset val="134"/>
      <scheme val="minor"/>
    </font>
    <font>
      <sz val="11"/>
      <color theme="1"/>
      <name val="Calibri Light"/>
      <charset val="134"/>
      <scheme val="major"/>
    </font>
    <font>
      <b/>
      <sz val="11"/>
      <color theme="0"/>
      <name val="Calibri"/>
      <charset val="134"/>
      <scheme val="minor"/>
    </font>
    <font>
      <b/>
      <sz val="11"/>
      <color theme="0"/>
      <name val="Calibri Light"/>
      <charset val="134"/>
      <scheme val="major"/>
    </font>
    <font>
      <b/>
      <sz val="11"/>
      <color theme="1"/>
      <name val="Calibri Light"/>
      <charset val="134"/>
      <scheme val="major"/>
    </font>
    <font>
      <sz val="11"/>
      <color theme="0"/>
      <name val="Calibri"/>
      <charset val="134"/>
      <scheme val="minor"/>
    </font>
    <font>
      <sz val="11"/>
      <color theme="1"/>
      <name val="Calibri"/>
      <charset val="134"/>
      <scheme val="minor"/>
    </font>
    <font>
      <sz val="11"/>
      <color rgb="FF000000"/>
      <name val="Calibri Light"/>
      <charset val="134"/>
      <scheme val="major"/>
    </font>
    <font>
      <sz val="11"/>
      <color rgb="FFFF0000"/>
      <name val="Calibri Light"/>
      <charset val="134"/>
      <scheme val="major"/>
    </font>
    <font>
      <sz val="12"/>
      <color rgb="FF222222"/>
      <name val="Arial"/>
      <charset val="134"/>
    </font>
    <font>
      <sz val="12"/>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rgb="FFFF0000"/>
      <name val="Calibri"/>
      <charset val="134"/>
      <scheme val="minor"/>
    </font>
    <font>
      <b/>
      <sz val="11"/>
      <color rgb="FFFF0000"/>
      <name val="Calibri"/>
      <charset val="134"/>
      <scheme val="minor"/>
    </font>
    <font>
      <b/>
      <sz val="11"/>
      <color theme="1"/>
      <name val="Calibri"/>
      <charset val="134"/>
      <scheme val="minor"/>
    </font>
    <font>
      <i/>
      <sz val="11"/>
      <color theme="1"/>
      <name val="Calibri"/>
      <charset val="134"/>
      <scheme val="minor"/>
    </font>
  </fonts>
  <fills count="40">
    <fill>
      <patternFill patternType="none"/>
    </fill>
    <fill>
      <patternFill patternType="gray125"/>
    </fill>
    <fill>
      <patternFill patternType="solid">
        <fgColor theme="0"/>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9"/>
        <bgColor indexed="64"/>
      </patternFill>
    </fill>
    <fill>
      <patternFill patternType="solid">
        <fgColor rgb="FFE9AD71"/>
        <bgColor indexed="64"/>
      </patternFill>
    </fill>
    <fill>
      <patternFill patternType="solid">
        <fgColor rgb="FFF6DCC2"/>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6" tint="-0.499984740745262"/>
        <bgColor indexed="64"/>
      </patternFill>
    </fill>
    <fill>
      <patternFill patternType="solid">
        <fgColor theme="9"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399975585192419"/>
        <bgColor indexed="64"/>
      </patternFill>
    </fill>
  </fills>
  <borders count="16">
    <border>
      <left/>
      <right/>
      <top/>
      <bottom/>
      <diagonal/>
    </border>
    <border>
      <left style="medium">
        <color rgb="FF1F1F1F"/>
      </left>
      <right style="medium">
        <color rgb="FF1F1F1F"/>
      </right>
      <top style="medium">
        <color rgb="FF1F1F1F"/>
      </top>
      <bottom style="medium">
        <color rgb="FF1F1F1F"/>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176" fontId="13" fillId="0" borderId="0" applyFont="0" applyFill="0" applyBorder="0" applyAlignment="0" applyProtection="0">
      <alignment vertical="center"/>
    </xf>
    <xf numFmtId="44" fontId="13" fillId="0" borderId="0" applyFont="0" applyFill="0" applyBorder="0" applyAlignment="0" applyProtection="0">
      <alignment vertical="center"/>
    </xf>
    <xf numFmtId="9" fontId="13" fillId="0" borderId="0" applyFont="0" applyFill="0" applyBorder="0" applyAlignment="0" applyProtection="0">
      <alignment vertical="center"/>
    </xf>
    <xf numFmtId="177" fontId="13" fillId="0" borderId="0" applyFont="0" applyFill="0" applyBorder="0" applyAlignment="0" applyProtection="0">
      <alignment vertical="center"/>
    </xf>
    <xf numFmtId="42" fontId="13"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3" fillId="17" borderId="8"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9" applyNumberFormat="0" applyFill="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5" fillId="0" borderId="0" applyNumberFormat="0" applyFill="0" applyBorder="0" applyAlignment="0" applyProtection="0">
      <alignment vertical="center"/>
    </xf>
    <xf numFmtId="0" fontId="26" fillId="18" borderId="11" applyNumberFormat="0" applyAlignment="0" applyProtection="0">
      <alignment vertical="center"/>
    </xf>
    <xf numFmtId="0" fontId="27" fillId="19" borderId="12" applyNumberFormat="0" applyAlignment="0" applyProtection="0">
      <alignment vertical="center"/>
    </xf>
    <xf numFmtId="0" fontId="28" fillId="19" borderId="11" applyNumberFormat="0" applyAlignment="0" applyProtection="0">
      <alignment vertical="center"/>
    </xf>
    <xf numFmtId="0" fontId="29" fillId="20" borderId="13" applyNumberFormat="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14" borderId="0" applyNumberFormat="0" applyBorder="0" applyAlignment="0" applyProtection="0">
      <alignment vertical="center"/>
    </xf>
    <xf numFmtId="0" fontId="35" fillId="13" borderId="0" applyNumberFormat="0" applyBorder="0" applyAlignment="0" applyProtection="0">
      <alignment vertical="center"/>
    </xf>
    <xf numFmtId="0" fontId="36" fillId="31" borderId="0" applyNumberFormat="0" applyBorder="0" applyAlignment="0" applyProtection="0">
      <alignment vertical="center"/>
    </xf>
    <xf numFmtId="0" fontId="36" fillId="15"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9"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10" borderId="0" applyNumberFormat="0" applyBorder="0" applyAlignment="0" applyProtection="0">
      <alignment vertical="center"/>
    </xf>
    <xf numFmtId="0" fontId="36" fillId="37" borderId="0" applyNumberFormat="0" applyBorder="0" applyAlignment="0" applyProtection="0">
      <alignment vertical="center"/>
    </xf>
    <xf numFmtId="0" fontId="35" fillId="38" borderId="0" applyNumberFormat="0" applyBorder="0" applyAlignment="0" applyProtection="0">
      <alignment vertical="center"/>
    </xf>
    <xf numFmtId="0" fontId="35" fillId="5" borderId="0" applyNumberFormat="0" applyBorder="0" applyAlignment="0" applyProtection="0">
      <alignment vertical="center"/>
    </xf>
    <xf numFmtId="0" fontId="36" fillId="8" borderId="0" applyNumberFormat="0" applyBorder="0" applyAlignment="0" applyProtection="0">
      <alignment vertical="center"/>
    </xf>
    <xf numFmtId="0" fontId="36" fillId="12" borderId="0" applyNumberFormat="0" applyBorder="0" applyAlignment="0" applyProtection="0">
      <alignment vertical="center"/>
    </xf>
    <xf numFmtId="0" fontId="35" fillId="39" borderId="0" applyNumberFormat="0" applyBorder="0" applyAlignment="0" applyProtection="0">
      <alignment vertical="center"/>
    </xf>
    <xf numFmtId="0" fontId="13" fillId="0" borderId="0"/>
    <xf numFmtId="0" fontId="0" fillId="0" borderId="0"/>
    <xf numFmtId="0" fontId="0" fillId="0" borderId="0"/>
    <xf numFmtId="9" fontId="13" fillId="0" borderId="0" applyFont="0" applyFill="0" applyBorder="0" applyAlignment="0" applyProtection="0"/>
  </cellStyleXfs>
  <cellXfs count="67">
    <xf numFmtId="0" fontId="0" fillId="0" borderId="0" xfId="0"/>
    <xf numFmtId="0" fontId="0" fillId="0" borderId="0" xfId="0" applyAlignment="1">
      <alignment horizontal="center"/>
    </xf>
    <xf numFmtId="0" fontId="1" fillId="0" borderId="1" xfId="0" applyFont="1" applyBorder="1" applyAlignment="1">
      <alignment horizontal="center" vertical="center" wrapText="1" readingOrder="1"/>
    </xf>
    <xf numFmtId="0" fontId="1" fillId="0" borderId="1" xfId="0" applyFont="1" applyBorder="1" applyAlignment="1">
      <alignment wrapText="1" readingOrder="1"/>
    </xf>
    <xf numFmtId="0" fontId="0" fillId="0" borderId="0" xfId="0" applyAlignment="1">
      <alignment horizontal="center" vertical="center"/>
    </xf>
    <xf numFmtId="0" fontId="2" fillId="2" borderId="0" xfId="0" applyFont="1" applyFill="1" applyAlignment="1">
      <alignment vertical="center" wrapText="1"/>
    </xf>
    <xf numFmtId="0" fontId="2" fillId="2" borderId="0" xfId="0" applyFont="1" applyFill="1" applyAlignment="1">
      <alignment horizontal="center" vertical="center" wrapText="1"/>
    </xf>
    <xf numFmtId="0" fontId="3" fillId="2" borderId="0" xfId="0" applyFont="1" applyFill="1" applyAlignment="1">
      <alignment horizontal="left" vertical="center"/>
    </xf>
    <xf numFmtId="0" fontId="4" fillId="3" borderId="2" xfId="0" applyFont="1" applyFill="1" applyBorder="1" applyAlignment="1">
      <alignment horizontal="centerContinuous" vertical="center" wrapText="1"/>
    </xf>
    <xf numFmtId="0" fontId="4" fillId="4"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6" borderId="2" xfId="0" applyFont="1" applyFill="1" applyBorder="1" applyAlignment="1">
      <alignment horizontal="centerContinuous" vertical="center" wrapText="1"/>
    </xf>
    <xf numFmtId="0" fontId="5" fillId="5" borderId="2" xfId="0" applyFont="1" applyFill="1" applyBorder="1" applyAlignment="1">
      <alignment horizontal="left" vertical="center" wrapText="1"/>
    </xf>
    <xf numFmtId="0" fontId="6" fillId="5" borderId="2" xfId="0" applyFont="1" applyFill="1" applyBorder="1" applyAlignment="1" applyProtection="1">
      <alignment horizontal="center" vertical="center" wrapText="1"/>
      <protection locked="0"/>
    </xf>
    <xf numFmtId="0" fontId="5" fillId="5" borderId="4" xfId="0" applyFont="1" applyFill="1" applyBorder="1" applyAlignment="1">
      <alignment horizontal="center" vertical="center" wrapText="1"/>
    </xf>
    <xf numFmtId="0" fontId="7" fillId="6" borderId="2" xfId="0" applyFont="1" applyFill="1" applyBorder="1" applyAlignment="1" applyProtection="1">
      <alignment horizontal="center" vertical="center" wrapText="1"/>
      <protection locked="0"/>
    </xf>
    <xf numFmtId="0" fontId="5" fillId="3" borderId="2" xfId="0" applyFont="1" applyFill="1" applyBorder="1" applyAlignment="1">
      <alignmen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center" vertical="center" wrapText="1"/>
    </xf>
    <xf numFmtId="0" fontId="2" fillId="0" borderId="2" xfId="0" applyFont="1" applyFill="1" applyBorder="1" applyAlignment="1">
      <alignment vertical="center" wrapText="1"/>
    </xf>
    <xf numFmtId="0" fontId="2" fillId="7" borderId="2" xfId="0" applyFont="1" applyFill="1" applyBorder="1" applyAlignment="1">
      <alignment vertical="center" wrapText="1"/>
    </xf>
    <xf numFmtId="0" fontId="2" fillId="8" borderId="2" xfId="0" applyFont="1" applyFill="1" applyBorder="1" applyAlignment="1">
      <alignment vertical="center" wrapText="1"/>
    </xf>
    <xf numFmtId="0" fontId="2" fillId="8" borderId="2" xfId="0" applyFont="1" applyFill="1" applyBorder="1" applyAlignment="1">
      <alignment horizontal="center" vertical="center" wrapText="1"/>
    </xf>
    <xf numFmtId="0" fontId="2" fillId="9" borderId="2" xfId="0" applyFont="1" applyFill="1" applyBorder="1" applyAlignment="1">
      <alignment vertical="center" wrapText="1"/>
    </xf>
    <xf numFmtId="0" fontId="2" fillId="9" borderId="2" xfId="0" applyFont="1" applyFill="1" applyBorder="1" applyAlignment="1">
      <alignment horizontal="center" vertical="center" wrapText="1"/>
    </xf>
    <xf numFmtId="0" fontId="2" fillId="10" borderId="2" xfId="0" applyFont="1" applyFill="1" applyBorder="1" applyAlignment="1">
      <alignment vertical="center" wrapText="1"/>
    </xf>
    <xf numFmtId="0" fontId="2" fillId="10" borderId="2" xfId="0" applyFont="1" applyFill="1" applyBorder="1" applyAlignment="1">
      <alignment horizontal="center" vertical="center" wrapText="1"/>
    </xf>
    <xf numFmtId="0" fontId="8" fillId="0" borderId="0" xfId="0" applyFont="1" applyProtection="1">
      <protection locked="0"/>
    </xf>
    <xf numFmtId="0" fontId="0" fillId="0" borderId="0" xfId="0" applyProtection="1">
      <protection locked="0"/>
    </xf>
    <xf numFmtId="0" fontId="9" fillId="3" borderId="0" xfId="0" applyFont="1" applyFill="1" applyAlignment="1" applyProtection="1">
      <alignment horizontal="left"/>
      <protection locked="0"/>
    </xf>
    <xf numFmtId="0" fontId="10" fillId="11" borderId="2" xfId="0" applyFont="1" applyFill="1" applyBorder="1" applyProtection="1">
      <protection locked="0"/>
    </xf>
    <xf numFmtId="0" fontId="10" fillId="11" borderId="2" xfId="0" applyFont="1" applyFill="1" applyBorder="1" applyAlignment="1" applyProtection="1">
      <alignment horizontal="center"/>
      <protection locked="0"/>
    </xf>
    <xf numFmtId="0" fontId="8" fillId="12" borderId="5" xfId="0" applyFont="1" applyFill="1" applyBorder="1" applyAlignment="1" applyProtection="1">
      <alignment horizontal="center" vertical="center"/>
      <protection locked="0"/>
    </xf>
    <xf numFmtId="0" fontId="8" fillId="12" borderId="2" xfId="0" applyFont="1" applyFill="1" applyBorder="1" applyProtection="1">
      <protection locked="0"/>
    </xf>
    <xf numFmtId="0" fontId="8" fillId="0" borderId="2" xfId="0" applyFont="1" applyBorder="1" applyProtection="1">
      <protection locked="0"/>
    </xf>
    <xf numFmtId="9" fontId="8" fillId="0" borderId="2" xfId="0" applyNumberFormat="1" applyFont="1" applyBorder="1" applyProtection="1">
      <protection locked="0"/>
    </xf>
    <xf numFmtId="0" fontId="8" fillId="12" borderId="6" xfId="0" applyFont="1" applyFill="1" applyBorder="1" applyAlignment="1" applyProtection="1">
      <alignment horizontal="center" vertical="center"/>
      <protection locked="0"/>
    </xf>
    <xf numFmtId="0" fontId="8" fillId="12" borderId="7" xfId="0" applyFont="1" applyFill="1" applyBorder="1" applyAlignment="1" applyProtection="1">
      <alignment horizontal="center" vertical="center"/>
      <protection locked="0"/>
    </xf>
    <xf numFmtId="0" fontId="11" fillId="0" borderId="2" xfId="0" applyFont="1" applyBorder="1" applyProtection="1">
      <protection locked="0"/>
    </xf>
    <xf numFmtId="9" fontId="11" fillId="13" borderId="2" xfId="0" applyNumberFormat="1" applyFont="1" applyFill="1" applyBorder="1" applyProtection="1">
      <protection locked="0"/>
    </xf>
    <xf numFmtId="0" fontId="8" fillId="14" borderId="5" xfId="0" applyFont="1" applyFill="1" applyBorder="1" applyAlignment="1" applyProtection="1">
      <alignment horizontal="center" vertical="center"/>
      <protection locked="0"/>
    </xf>
    <xf numFmtId="0" fontId="8" fillId="14" borderId="2" xfId="0" applyFont="1" applyFill="1" applyBorder="1" applyProtection="1">
      <protection locked="0"/>
    </xf>
    <xf numFmtId="0" fontId="8" fillId="14" borderId="6" xfId="0" applyFont="1" applyFill="1" applyBorder="1" applyAlignment="1" applyProtection="1">
      <alignment horizontal="center" vertical="center"/>
      <protection locked="0"/>
    </xf>
    <xf numFmtId="0" fontId="8" fillId="14" borderId="7" xfId="0" applyFont="1" applyFill="1" applyBorder="1" applyAlignment="1" applyProtection="1">
      <alignment horizontal="center" vertical="center"/>
      <protection locked="0"/>
    </xf>
    <xf numFmtId="0" fontId="8" fillId="10" borderId="5" xfId="0" applyFont="1" applyFill="1" applyBorder="1" applyAlignment="1" applyProtection="1">
      <alignment horizontal="center" vertical="center" wrapText="1"/>
      <protection locked="0"/>
    </xf>
    <xf numFmtId="0" fontId="8" fillId="10" borderId="2" xfId="0" applyFont="1" applyFill="1" applyBorder="1" applyProtection="1">
      <protection locked="0"/>
    </xf>
    <xf numFmtId="0" fontId="8" fillId="10" borderId="6" xfId="0" applyFont="1" applyFill="1" applyBorder="1" applyAlignment="1" applyProtection="1">
      <alignment horizontal="center" vertical="center" wrapText="1"/>
      <protection locked="0"/>
    </xf>
    <xf numFmtId="0" fontId="8" fillId="10" borderId="2" xfId="0" applyFont="1" applyFill="1" applyBorder="1" applyAlignment="1" applyProtection="1">
      <alignment wrapText="1"/>
      <protection locked="0"/>
    </xf>
    <xf numFmtId="0" fontId="8" fillId="10" borderId="7" xfId="0" applyFont="1" applyFill="1" applyBorder="1" applyAlignment="1" applyProtection="1">
      <alignment horizontal="center" vertical="center" wrapText="1"/>
      <protection locked="0"/>
    </xf>
    <xf numFmtId="0" fontId="11" fillId="15" borderId="2" xfId="0" applyFont="1" applyFill="1" applyBorder="1" applyProtection="1">
      <protection locked="0"/>
    </xf>
    <xf numFmtId="9" fontId="11" fillId="15" borderId="2" xfId="0" applyNumberFormat="1" applyFont="1" applyFill="1" applyBorder="1" applyProtection="1">
      <protection locked="0"/>
    </xf>
    <xf numFmtId="0" fontId="9" fillId="3" borderId="0" xfId="0" applyFont="1" applyFill="1" applyProtection="1">
      <protection locked="0"/>
    </xf>
    <xf numFmtId="0" fontId="0" fillId="0" borderId="2" xfId="0" applyBorder="1" applyAlignment="1" applyProtection="1">
      <alignment horizontal="left" vertical="top" wrapText="1"/>
      <protection locked="0"/>
    </xf>
    <xf numFmtId="0" fontId="12" fillId="3" borderId="0" xfId="0" applyFont="1" applyFill="1" applyProtection="1">
      <protection locked="0"/>
    </xf>
    <xf numFmtId="0" fontId="13" fillId="0" borderId="2" xfId="0" applyFont="1" applyBorder="1" applyAlignment="1" applyProtection="1">
      <alignment horizontal="left" vertical="top" wrapText="1"/>
      <protection locked="0"/>
    </xf>
    <xf numFmtId="0" fontId="13" fillId="0" borderId="0" xfId="0" applyFont="1" applyProtection="1">
      <protection locked="0"/>
    </xf>
    <xf numFmtId="0" fontId="10" fillId="3" borderId="5" xfId="0" applyFont="1" applyFill="1" applyBorder="1" applyAlignment="1" applyProtection="1">
      <alignment horizontal="center" vertical="center" wrapText="1"/>
      <protection locked="0"/>
    </xf>
    <xf numFmtId="0" fontId="10" fillId="3" borderId="2" xfId="0" applyFont="1" applyFill="1" applyBorder="1" applyAlignment="1" applyProtection="1">
      <alignment horizontal="center" vertical="center" wrapText="1"/>
      <protection locked="0"/>
    </xf>
    <xf numFmtId="0" fontId="14" fillId="16" borderId="5" xfId="0" applyFont="1" applyFill="1" applyBorder="1" applyAlignment="1" applyProtection="1">
      <alignment horizontal="left" vertical="center" wrapText="1"/>
      <protection locked="0"/>
    </xf>
    <xf numFmtId="9" fontId="14" fillId="16" borderId="5" xfId="0" applyNumberFormat="1" applyFont="1" applyFill="1" applyBorder="1" applyAlignment="1" applyProtection="1">
      <alignment horizontal="center" vertical="center" wrapText="1"/>
      <protection locked="0"/>
    </xf>
    <xf numFmtId="9" fontId="15" fillId="16" borderId="5" xfId="0" applyNumberFormat="1" applyFont="1" applyFill="1" applyBorder="1" applyAlignment="1" applyProtection="1">
      <alignment horizontal="center" vertical="center" wrapText="1"/>
      <protection locked="0"/>
    </xf>
    <xf numFmtId="0" fontId="16" fillId="0" borderId="0" xfId="0" applyFont="1" applyProtection="1">
      <protection locked="0"/>
    </xf>
    <xf numFmtId="0" fontId="14" fillId="16" borderId="2" xfId="0" applyFont="1" applyFill="1" applyBorder="1" applyAlignment="1" applyProtection="1">
      <alignment horizontal="left" vertical="center" wrapText="1"/>
      <protection locked="0"/>
    </xf>
    <xf numFmtId="9" fontId="14" fillId="16" borderId="2" xfId="0" applyNumberFormat="1" applyFont="1" applyFill="1" applyBorder="1" applyAlignment="1" applyProtection="1">
      <alignment horizontal="center" vertical="center" wrapText="1"/>
      <protection locked="0"/>
    </xf>
    <xf numFmtId="0" fontId="17" fillId="16" borderId="0" xfId="0" applyFont="1" applyFill="1" applyAlignment="1" applyProtection="1">
      <alignment horizontal="center" vertical="center" wrapText="1"/>
      <protection locked="0"/>
    </xf>
    <xf numFmtId="9" fontId="17" fillId="16" borderId="0" xfId="0" applyNumberFormat="1" applyFont="1" applyFill="1" applyAlignment="1" applyProtection="1">
      <alignment horizontal="center" vertical="center" wrapText="1"/>
      <protection locked="0"/>
    </xf>
    <xf numFmtId="0" fontId="2" fillId="8" borderId="2" xfId="0" applyFont="1" applyFill="1" applyBorder="1" applyAlignment="1" quotePrefix="1">
      <alignment vertical="center" wrapText="1"/>
    </xf>
    <xf numFmtId="0" fontId="2" fillId="9" borderId="2" xfId="0" applyFont="1" applyFill="1" applyBorder="1" applyAlignment="1" quotePrefix="1">
      <alignment vertical="center" wrapText="1"/>
    </xf>
  </cellXfs>
  <cellStyles count="53">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5" xfId="51"/>
    <cellStyle name="Percent 2" xfId="52"/>
  </cellStyles>
  <tableStyles count="0" defaultTableStyle="TableStyleMedium2" defaultPivotStyle="PivotStyleLight16"/>
  <colors>
    <mruColors>
      <color rgb="00F6DCC2"/>
      <color rgb="00E9AD71"/>
      <color rgb="00DE842A"/>
      <color rgb="004D763E"/>
      <color rgb="00548244"/>
      <color rgb="00FFCCFF"/>
      <color rgb="00FF99FF"/>
      <color rgb="00FF66CC"/>
      <color rgb="00FF66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ctrlProps/ctrlProp4.xml><?xml version="1.0" encoding="utf-8"?>
<formControlPr xmlns="http://schemas.microsoft.com/office/spreadsheetml/2009/9/main" objectType="CheckBox" noThreeD="1" val="0"/>
</file>

<file path=xl/ctrlProps/ctrlProp5.xml><?xml version="1.0" encoding="utf-8"?>
<formControlPr xmlns="http://schemas.microsoft.com/office/spreadsheetml/2009/9/main" objectType="CheckBox" noThreeD="1" val="0"/>
</file>

<file path=xl/ctrlProps/ctrlProp6.xml><?xml version="1.0" encoding="utf-8"?>
<formControlPr xmlns="http://schemas.microsoft.com/office/spreadsheetml/2009/9/main" objectType="CheckBox" noThreeD="1" val="0"/>
</file>

<file path=xl/ctrlProps/ctrlProp7.xml><?xml version="1.0" encoding="utf-8"?>
<formControlPr xmlns="http://schemas.microsoft.com/office/spreadsheetml/2009/9/main" objectType="CheckBox" noThreeD="1" val="0"/>
</file>

<file path=xl/ctrlProps/ctrlProp8.xml><?xml version="1.0" encoding="utf-8"?>
<formControlPr xmlns="http://schemas.microsoft.com/office/spreadsheetml/2009/9/main" objectType="CheckBox" noThreeD="1" val="0"/>
</file>

<file path=xl/ctrlProps/ctrlProp9.xml><?xml version="1.0" encoding="utf-8"?>
<formControlPr xmlns="http://schemas.microsoft.com/office/spreadsheetml/2009/9/main" objectType="CheckBox" noThreeD="1" val="0"/>
</file>

<file path=xl/ctrlProps/ctrlProp10.xml><?xml version="1.0" encoding="utf-8"?>
<formControlPr xmlns="http://schemas.microsoft.com/office/spreadsheetml/2009/9/main" objectType="CheckBox" noThreeD="1" val="0"/>
</file>

<file path=xl/ctrlProps/ctrlProp11.xml><?xml version="1.0" encoding="utf-8"?>
<formControlPr xmlns="http://schemas.microsoft.com/office/spreadsheetml/2009/9/main" objectType="CheckBox" noThreeD="1" val="0"/>
</file>

<file path=xl/ctrlProps/ctrlProp12.xml><?xml version="1.0" encoding="utf-8"?>
<formControlPr xmlns="http://schemas.microsoft.com/office/spreadsheetml/2009/9/main" objectType="CheckBox" noThreeD="1" val="0"/>
</file>

<file path=xl/ctrlProps/ctrlProp13.xml><?xml version="1.0" encoding="utf-8"?>
<formControlPr xmlns="http://schemas.microsoft.com/office/spreadsheetml/2009/9/main" objectType="CheckBox"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ctrlProps/ctrlProp21.xml><?xml version="1.0" encoding="utf-8"?>
<formControlPr xmlns="http://schemas.microsoft.com/office/spreadsheetml/2009/9/main" objectType="CheckBox" noThreeD="1" val="0"/>
</file>

<file path=xl/ctrlProps/ctrlProp22.xml><?xml version="1.0" encoding="utf-8"?>
<formControlPr xmlns="http://schemas.microsoft.com/office/spreadsheetml/2009/9/main" objectType="CheckBox" noThreeD="1" val="0"/>
</file>

<file path=xl/ctrlProps/ctrlProp23.xml><?xml version="1.0" encoding="utf-8"?>
<formControlPr xmlns="http://schemas.microsoft.com/office/spreadsheetml/2009/9/main" objectType="CheckBox" noThreeD="1" val="0"/>
</file>

<file path=xl/ctrlProps/ctrlProp24.xml><?xml version="1.0" encoding="utf-8"?>
<formControlPr xmlns="http://schemas.microsoft.com/office/spreadsheetml/2009/9/main" objectType="CheckBox" noThreeD="1" val="0"/>
</file>

<file path=xl/ctrlProps/ctrlProp25.xml><?xml version="1.0" encoding="utf-8"?>
<formControlPr xmlns="http://schemas.microsoft.com/office/spreadsheetml/2009/9/main" objectType="CheckBox" noThreeD="1" val="0"/>
</file>

<file path=xl/ctrlProps/ctrlProp26.xml><?xml version="1.0" encoding="utf-8"?>
<formControlPr xmlns="http://schemas.microsoft.com/office/spreadsheetml/2009/9/main" objectType="CheckBox" noThreeD="1" val="0"/>
</file>

<file path=xl/ctrlProps/ctrlProp27.xml><?xml version="1.0" encoding="utf-8"?>
<formControlPr xmlns="http://schemas.microsoft.com/office/spreadsheetml/2009/9/main" objectType="CheckBox" noThreeD="1" val="0"/>
</file>

<file path=xl/ctrlProps/ctrlProp28.xml><?xml version="1.0" encoding="utf-8"?>
<formControlPr xmlns="http://schemas.microsoft.com/office/spreadsheetml/2009/9/main" objectType="CheckBox" noThreeD="1" val="0"/>
</file>

<file path=xl/ctrlProps/ctrlProp29.xml><?xml version="1.0" encoding="utf-8"?>
<formControlPr xmlns="http://schemas.microsoft.com/office/spreadsheetml/2009/9/main" objectType="CheckBox" noThreeD="1" val="0"/>
</file>

<file path=xl/ctrlProps/ctrlProp30.xml><?xml version="1.0" encoding="utf-8"?>
<formControlPr xmlns="http://schemas.microsoft.com/office/spreadsheetml/2009/9/main" objectType="CheckBox" noThreeD="1" val="0"/>
</file>

<file path=xl/ctrlProps/ctrlProp31.xml><?xml version="1.0" encoding="utf-8"?>
<formControlPr xmlns="http://schemas.microsoft.com/office/spreadsheetml/2009/9/main" objectType="CheckBox" noThreeD="1" val="0"/>
</file>

<file path=xl/ctrlProps/ctrlProp32.xml><?xml version="1.0" encoding="utf-8"?>
<formControlPr xmlns="http://schemas.microsoft.com/office/spreadsheetml/2009/9/main" objectType="CheckBox" noThreeD="1" val="0"/>
</file>

<file path=xl/ctrlProps/ctrlProp33.xml><?xml version="1.0" encoding="utf-8"?>
<formControlPr xmlns="http://schemas.microsoft.com/office/spreadsheetml/2009/9/main" objectType="CheckBox" noThreeD="1" val="0"/>
</file>

<file path=xl/ctrlProps/ctrlProp34.xml><?xml version="1.0" encoding="utf-8"?>
<formControlPr xmlns="http://schemas.microsoft.com/office/spreadsheetml/2009/9/main" objectType="CheckBox" noThreeD="1" val="0"/>
</file>

<file path=xl/ctrlProps/ctrlProp35.xml><?xml version="1.0" encoding="utf-8"?>
<formControlPr xmlns="http://schemas.microsoft.com/office/spreadsheetml/2009/9/main" objectType="CheckBox" noThreeD="1" val="0"/>
</file>

<file path=xl/ctrlProps/ctrlProp36.xml><?xml version="1.0" encoding="utf-8"?>
<formControlPr xmlns="http://schemas.microsoft.com/office/spreadsheetml/2009/9/main" objectType="CheckBox" noThreeD="1" val="0"/>
</file>

<file path=xl/ctrlProps/ctrlProp37.xml><?xml version="1.0" encoding="utf-8"?>
<formControlPr xmlns="http://schemas.microsoft.com/office/spreadsheetml/2009/9/main" objectType="CheckBox" noThreeD="1" val="0"/>
</file>

<file path=xl/ctrlProps/ctrlProp38.xml><?xml version="1.0" encoding="utf-8"?>
<formControlPr xmlns="http://schemas.microsoft.com/office/spreadsheetml/2009/9/main" objectType="CheckBox" noThreeD="1" val="0"/>
</file>

<file path=xl/ctrlProps/ctrlProp39.xml><?xml version="1.0" encoding="utf-8"?>
<formControlPr xmlns="http://schemas.microsoft.com/office/spreadsheetml/2009/9/main" objectType="CheckBox" noThreeD="1" val="0"/>
</file>

<file path=xl/ctrlProps/ctrlProp40.xml><?xml version="1.0" encoding="utf-8"?>
<formControlPr xmlns="http://schemas.microsoft.com/office/spreadsheetml/2009/9/main" objectType="CheckBox" noThreeD="1" val="0"/>
</file>

<file path=xl/ctrlProps/ctrlProp41.xml><?xml version="1.0" encoding="utf-8"?>
<formControlPr xmlns="http://schemas.microsoft.com/office/spreadsheetml/2009/9/main" objectType="CheckBox" noThreeD="1" val="0"/>
</file>

<file path=xl/ctrlProps/ctrlProp42.xml><?xml version="1.0" encoding="utf-8"?>
<formControlPr xmlns="http://schemas.microsoft.com/office/spreadsheetml/2009/9/main" objectType="CheckBox" noThreeD="1" val="0"/>
</file>

<file path=xl/ctrlProps/ctrlProp43.xml><?xml version="1.0" encoding="utf-8"?>
<formControlPr xmlns="http://schemas.microsoft.com/office/spreadsheetml/2009/9/main" objectType="CheckBox" noThreeD="1" val="0"/>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141568</xdr:colOff>
      <xdr:row>11</xdr:row>
      <xdr:rowOff>249518</xdr:rowOff>
    </xdr:from>
    <xdr:to>
      <xdr:col>6</xdr:col>
      <xdr:colOff>493059</xdr:colOff>
      <xdr:row>11</xdr:row>
      <xdr:rowOff>1722818</xdr:rowOff>
    </xdr:to>
    <xdr:grpSp>
      <xdr:nvGrpSpPr>
        <xdr:cNvPr id="3" name="Group 2"/>
        <xdr:cNvGrpSpPr/>
      </xdr:nvGrpSpPr>
      <xdr:grpSpPr>
        <a:xfrm>
          <a:off x="12439015" y="6842760"/>
          <a:ext cx="351790" cy="1473835"/>
          <a:chOff x="11957057" y="5486400"/>
          <a:chExt cx="831843" cy="1473300"/>
        </a:xfrm>
      </xdr:grpSpPr>
      <mc:AlternateContent xmlns:mc="http://schemas.openxmlformats.org/markup-compatibility/2006">
        <mc:Choice xmlns:a14="http://schemas.microsoft.com/office/drawing/2010/main" Requires="a14">
          <xdr:sp>
            <xdr:nvSpPr>
              <xdr:cNvPr id="25602" name="Check Box 2" hidden="1">
                <a:extLst>
                  <a:ext uri="{63B3BB69-23CF-44E3-9099-C40C66FF867C}">
                    <a14:compatExt spid="_x0000_s25602"/>
                  </a:ext>
                </a:extLst>
              </xdr:cNvPr>
              <xdr:cNvSpPr/>
            </xdr:nvSpPr>
            <xdr:spPr>
              <a:xfrm>
                <a:off x="11957057" y="5486400"/>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3" name="Check Box 3" hidden="1">
                <a:extLst>
                  <a:ext uri="{63B3BB69-23CF-44E3-9099-C40C66FF867C}">
                    <a14:compatExt spid="_x0000_s25603"/>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4" name="Check Box 4" hidden="1">
                <a:extLst>
                  <a:ext uri="{63B3BB69-23CF-44E3-9099-C40C66FF867C}">
                    <a14:compatExt spid="_x0000_s25604"/>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5" name="Check Box 5" hidden="1">
                <a:extLst>
                  <a:ext uri="{63B3BB69-23CF-44E3-9099-C40C66FF867C}">
                    <a14:compatExt spid="_x0000_s25605"/>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6" name="Check Box 6" hidden="1">
                <a:extLst>
                  <a:ext uri="{63B3BB69-23CF-44E3-9099-C40C66FF867C}">
                    <a14:compatExt spid="_x0000_s25606"/>
                  </a:ext>
                </a:extLst>
              </xdr:cNvPr>
              <xdr:cNvSpPr/>
            </xdr:nvSpPr>
            <xdr:spPr>
              <a:xfrm>
                <a:off x="11963400" y="61912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7" name="Check Box 7" hidden="1">
                <a:extLst>
                  <a:ext uri="{63B3BB69-23CF-44E3-9099-C40C66FF867C}">
                    <a14:compatExt spid="_x0000_s25607"/>
                  </a:ext>
                </a:extLst>
              </xdr:cNvPr>
              <xdr:cNvSpPr/>
            </xdr:nvSpPr>
            <xdr:spPr>
              <a:xfrm>
                <a:off x="11963400" y="63690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F</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8" name="Check Box 8" hidden="1">
                <a:extLst>
                  <a:ext uri="{63B3BB69-23CF-44E3-9099-C40C66FF867C}">
                    <a14:compatExt spid="_x0000_s25608"/>
                  </a:ext>
                </a:extLst>
              </xdr:cNvPr>
              <xdr:cNvSpPr/>
            </xdr:nvSpPr>
            <xdr:spPr>
              <a:xfrm>
                <a:off x="11963400" y="6546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G</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09" name="Check Box 9" hidden="1">
                <a:extLst>
                  <a:ext uri="{63B3BB69-23CF-44E3-9099-C40C66FF867C}">
                    <a14:compatExt spid="_x0000_s25609"/>
                  </a:ext>
                </a:extLst>
              </xdr:cNvPr>
              <xdr:cNvSpPr/>
            </xdr:nvSpPr>
            <xdr:spPr>
              <a:xfrm>
                <a:off x="11963400" y="67437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H</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159124</xdr:colOff>
      <xdr:row>12</xdr:row>
      <xdr:rowOff>330200</xdr:rowOff>
    </xdr:from>
    <xdr:to>
      <xdr:col>6</xdr:col>
      <xdr:colOff>470647</xdr:colOff>
      <xdr:row>12</xdr:row>
      <xdr:rowOff>1003300</xdr:rowOff>
    </xdr:to>
    <xdr:grpSp>
      <xdr:nvGrpSpPr>
        <xdr:cNvPr id="12" name="Group 11"/>
        <xdr:cNvGrpSpPr/>
      </xdr:nvGrpSpPr>
      <xdr:grpSpPr>
        <a:xfrm>
          <a:off x="12456795" y="8855710"/>
          <a:ext cx="311785" cy="673100"/>
          <a:chOff x="11963400" y="7886700"/>
          <a:chExt cx="831850" cy="673100"/>
        </a:xfrm>
      </xdr:grpSpPr>
      <mc:AlternateContent xmlns:mc="http://schemas.openxmlformats.org/markup-compatibility/2006">
        <mc:Choice xmlns:a14="http://schemas.microsoft.com/office/drawing/2010/main" Requires="a14">
          <xdr:sp>
            <xdr:nvSpPr>
              <xdr:cNvPr id="25610" name="Check Box 10" hidden="1">
                <a:extLst>
                  <a:ext uri="{63B3BB69-23CF-44E3-9099-C40C66FF867C}">
                    <a14:compatExt spid="_x0000_s25610"/>
                  </a:ext>
                </a:extLst>
              </xdr:cNvPr>
              <xdr:cNvSpPr/>
            </xdr:nvSpPr>
            <xdr:spPr>
              <a:xfrm>
                <a:off x="11963400" y="7886700"/>
                <a:ext cx="825500" cy="2032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1" name="Check Box 11" hidden="1">
                <a:extLst>
                  <a:ext uri="{63B3BB69-23CF-44E3-9099-C40C66FF867C}">
                    <a14:compatExt spid="_x0000_s25611"/>
                  </a:ext>
                </a:extLst>
              </xdr:cNvPr>
              <xdr:cNvSpPr/>
            </xdr:nvSpPr>
            <xdr:spPr>
              <a:xfrm>
                <a:off x="11963400" y="8051800"/>
                <a:ext cx="831850" cy="2032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2" name="Check Box 12" hidden="1">
                <a:extLst>
                  <a:ext uri="{63B3BB69-23CF-44E3-9099-C40C66FF867C}">
                    <a14:compatExt spid="_x0000_s25612"/>
                  </a:ext>
                </a:extLst>
              </xdr:cNvPr>
              <xdr:cNvSpPr/>
            </xdr:nvSpPr>
            <xdr:spPr>
              <a:xfrm>
                <a:off x="11963400" y="8204200"/>
                <a:ext cx="831850" cy="2095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3" name="Check Box 13" hidden="1">
                <a:extLst>
                  <a:ext uri="{63B3BB69-23CF-44E3-9099-C40C66FF867C}">
                    <a14:compatExt spid="_x0000_s25613"/>
                  </a:ext>
                </a:extLst>
              </xdr:cNvPr>
              <xdr:cNvSpPr/>
            </xdr:nvSpPr>
            <xdr:spPr>
              <a:xfrm>
                <a:off x="11963400" y="8362950"/>
                <a:ext cx="831850" cy="19685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141568</xdr:colOff>
      <xdr:row>18</xdr:row>
      <xdr:rowOff>268940</xdr:rowOff>
    </xdr:from>
    <xdr:to>
      <xdr:col>6</xdr:col>
      <xdr:colOff>481853</xdr:colOff>
      <xdr:row>18</xdr:row>
      <xdr:rowOff>1700405</xdr:rowOff>
    </xdr:to>
    <xdr:grpSp>
      <xdr:nvGrpSpPr>
        <xdr:cNvPr id="17" name="Group 16"/>
        <xdr:cNvGrpSpPr/>
      </xdr:nvGrpSpPr>
      <xdr:grpSpPr>
        <a:xfrm>
          <a:off x="12439015" y="14574520"/>
          <a:ext cx="340360" cy="1431290"/>
          <a:chOff x="11957054" y="5486401"/>
          <a:chExt cx="831846" cy="1473296"/>
        </a:xfrm>
      </xdr:grpSpPr>
      <mc:AlternateContent xmlns:mc="http://schemas.openxmlformats.org/markup-compatibility/2006">
        <mc:Choice xmlns:a14="http://schemas.microsoft.com/office/drawing/2010/main" Requires="a14">
          <xdr:sp>
            <xdr:nvSpPr>
              <xdr:cNvPr id="25614" name="Check Box 14" hidden="1">
                <a:extLst>
                  <a:ext uri="{63B3BB69-23CF-44E3-9099-C40C66FF867C}">
                    <a14:compatExt spid="_x0000_s25614"/>
                  </a:ext>
                </a:extLst>
              </xdr:cNvPr>
              <xdr:cNvSpPr/>
            </xdr:nvSpPr>
            <xdr:spPr>
              <a:xfrm>
                <a:off x="11957054" y="5486401"/>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5" name="Check Box 15" hidden="1">
                <a:extLst>
                  <a:ext uri="{63B3BB69-23CF-44E3-9099-C40C66FF867C}">
                    <a14:compatExt spid="_x0000_s25615"/>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6" name="Check Box 16" hidden="1">
                <a:extLst>
                  <a:ext uri="{63B3BB69-23CF-44E3-9099-C40C66FF867C}">
                    <a14:compatExt spid="_x0000_s25616"/>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7" name="Check Box 17" hidden="1">
                <a:extLst>
                  <a:ext uri="{63B3BB69-23CF-44E3-9099-C40C66FF867C}">
                    <a14:compatExt spid="_x0000_s25617"/>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8" name="Check Box 18" hidden="1">
                <a:extLst>
                  <a:ext uri="{63B3BB69-23CF-44E3-9099-C40C66FF867C}">
                    <a14:compatExt spid="_x0000_s25618"/>
                  </a:ext>
                </a:extLst>
              </xdr:cNvPr>
              <xdr:cNvSpPr/>
            </xdr:nvSpPr>
            <xdr:spPr>
              <a:xfrm>
                <a:off x="11963400" y="6191251"/>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19" name="Check Box 19" hidden="1">
                <a:extLst>
                  <a:ext uri="{63B3BB69-23CF-44E3-9099-C40C66FF867C}">
                    <a14:compatExt spid="_x0000_s25619"/>
                  </a:ext>
                </a:extLst>
              </xdr:cNvPr>
              <xdr:cNvSpPr/>
            </xdr:nvSpPr>
            <xdr:spPr>
              <a:xfrm>
                <a:off x="11963400" y="63690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F</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0" name="Check Box 20" hidden="1">
                <a:extLst>
                  <a:ext uri="{63B3BB69-23CF-44E3-9099-C40C66FF867C}">
                    <a14:compatExt spid="_x0000_s25620"/>
                  </a:ext>
                </a:extLst>
              </xdr:cNvPr>
              <xdr:cNvSpPr/>
            </xdr:nvSpPr>
            <xdr:spPr>
              <a:xfrm>
                <a:off x="11963400" y="6546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G</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1" name="Check Box 21" hidden="1">
                <a:extLst>
                  <a:ext uri="{63B3BB69-23CF-44E3-9099-C40C66FF867C}">
                    <a14:compatExt spid="_x0000_s25621"/>
                  </a:ext>
                </a:extLst>
              </xdr:cNvPr>
              <xdr:cNvSpPr/>
            </xdr:nvSpPr>
            <xdr:spPr>
              <a:xfrm>
                <a:off x="11963400" y="6743697"/>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H</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136169</xdr:colOff>
      <xdr:row>58</xdr:row>
      <xdr:rowOff>216652</xdr:rowOff>
    </xdr:from>
    <xdr:to>
      <xdr:col>6</xdr:col>
      <xdr:colOff>481853</xdr:colOff>
      <xdr:row>58</xdr:row>
      <xdr:rowOff>1493102</xdr:rowOff>
    </xdr:to>
    <xdr:grpSp>
      <xdr:nvGrpSpPr>
        <xdr:cNvPr id="26" name="Group 25"/>
        <xdr:cNvGrpSpPr/>
      </xdr:nvGrpSpPr>
      <xdr:grpSpPr>
        <a:xfrm>
          <a:off x="12433935" y="52061110"/>
          <a:ext cx="345440" cy="1276350"/>
          <a:chOff x="11957040" y="5486400"/>
          <a:chExt cx="831860" cy="1276450"/>
        </a:xfrm>
      </xdr:grpSpPr>
      <mc:AlternateContent xmlns:mc="http://schemas.openxmlformats.org/markup-compatibility/2006">
        <mc:Choice xmlns:a14="http://schemas.microsoft.com/office/drawing/2010/main" Requires="a14">
          <xdr:sp>
            <xdr:nvSpPr>
              <xdr:cNvPr id="25622" name="Check Box 22" hidden="1">
                <a:extLst>
                  <a:ext uri="{63B3BB69-23CF-44E3-9099-C40C66FF867C}">
                    <a14:compatExt spid="_x0000_s25622"/>
                  </a:ext>
                </a:extLst>
              </xdr:cNvPr>
              <xdr:cNvSpPr/>
            </xdr:nvSpPr>
            <xdr:spPr>
              <a:xfrm>
                <a:off x="11957040" y="5486400"/>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3" name="Check Box 23" hidden="1">
                <a:extLst>
                  <a:ext uri="{63B3BB69-23CF-44E3-9099-C40C66FF867C}">
                    <a14:compatExt spid="_x0000_s25623"/>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4" name="Check Box 24" hidden="1">
                <a:extLst>
                  <a:ext uri="{63B3BB69-23CF-44E3-9099-C40C66FF867C}">
                    <a14:compatExt spid="_x0000_s25624"/>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5" name="Check Box 25" hidden="1">
                <a:extLst>
                  <a:ext uri="{63B3BB69-23CF-44E3-9099-C40C66FF867C}">
                    <a14:compatExt spid="_x0000_s25625"/>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6" name="Check Box 26" hidden="1">
                <a:extLst>
                  <a:ext uri="{63B3BB69-23CF-44E3-9099-C40C66FF867C}">
                    <a14:compatExt spid="_x0000_s25626"/>
                  </a:ext>
                </a:extLst>
              </xdr:cNvPr>
              <xdr:cNvSpPr/>
            </xdr:nvSpPr>
            <xdr:spPr>
              <a:xfrm>
                <a:off x="11963400" y="61912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7" name="Check Box 27" hidden="1">
                <a:extLst>
                  <a:ext uri="{63B3BB69-23CF-44E3-9099-C40C66FF867C}">
                    <a14:compatExt spid="_x0000_s25627"/>
                  </a:ext>
                </a:extLst>
              </xdr:cNvPr>
              <xdr:cNvSpPr/>
            </xdr:nvSpPr>
            <xdr:spPr>
              <a:xfrm>
                <a:off x="11963400" y="63690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F</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28" name="Check Box 28" hidden="1">
                <a:extLst>
                  <a:ext uri="{63B3BB69-23CF-44E3-9099-C40C66FF867C}">
                    <a14:compatExt spid="_x0000_s25628"/>
                  </a:ext>
                </a:extLst>
              </xdr:cNvPr>
              <xdr:cNvSpPr/>
            </xdr:nvSpPr>
            <xdr:spPr>
              <a:xfrm>
                <a:off x="11963400" y="6546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G</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158241</xdr:colOff>
      <xdr:row>60</xdr:row>
      <xdr:rowOff>318180</xdr:rowOff>
    </xdr:from>
    <xdr:to>
      <xdr:col>6</xdr:col>
      <xdr:colOff>493059</xdr:colOff>
      <xdr:row>60</xdr:row>
      <xdr:rowOff>1239030</xdr:rowOff>
    </xdr:to>
    <xdr:grpSp>
      <xdr:nvGrpSpPr>
        <xdr:cNvPr id="34" name="Group 33"/>
        <xdr:cNvGrpSpPr/>
      </xdr:nvGrpSpPr>
      <xdr:grpSpPr>
        <a:xfrm>
          <a:off x="12456160" y="54439185"/>
          <a:ext cx="334645" cy="920750"/>
          <a:chOff x="11957050" y="5486400"/>
          <a:chExt cx="831850" cy="920850"/>
        </a:xfrm>
      </xdr:grpSpPr>
      <mc:AlternateContent xmlns:mc="http://schemas.openxmlformats.org/markup-compatibility/2006">
        <mc:Choice xmlns:a14="http://schemas.microsoft.com/office/drawing/2010/main" Requires="a14">
          <xdr:sp>
            <xdr:nvSpPr>
              <xdr:cNvPr id="25629" name="Check Box 29" hidden="1">
                <a:extLst>
                  <a:ext uri="{63B3BB69-23CF-44E3-9099-C40C66FF867C}">
                    <a14:compatExt spid="_x0000_s25629"/>
                  </a:ext>
                </a:extLst>
              </xdr:cNvPr>
              <xdr:cNvSpPr/>
            </xdr:nvSpPr>
            <xdr:spPr>
              <a:xfrm>
                <a:off x="11957050" y="5486400"/>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0" name="Check Box 30" hidden="1">
                <a:extLst>
                  <a:ext uri="{63B3BB69-23CF-44E3-9099-C40C66FF867C}">
                    <a14:compatExt spid="_x0000_s25630"/>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1" name="Check Box 31" hidden="1">
                <a:extLst>
                  <a:ext uri="{63B3BB69-23CF-44E3-9099-C40C66FF867C}">
                    <a14:compatExt spid="_x0000_s25631"/>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2" name="Check Box 32" hidden="1">
                <a:extLst>
                  <a:ext uri="{63B3BB69-23CF-44E3-9099-C40C66FF867C}">
                    <a14:compatExt spid="_x0000_s25632"/>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3" name="Check Box 33" hidden="1">
                <a:extLst>
                  <a:ext uri="{63B3BB69-23CF-44E3-9099-C40C66FF867C}">
                    <a14:compatExt spid="_x0000_s25633"/>
                  </a:ext>
                </a:extLst>
              </xdr:cNvPr>
              <xdr:cNvSpPr/>
            </xdr:nvSpPr>
            <xdr:spPr>
              <a:xfrm>
                <a:off x="11963400" y="61912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158242</xdr:colOff>
      <xdr:row>65</xdr:row>
      <xdr:rowOff>212911</xdr:rowOff>
    </xdr:from>
    <xdr:to>
      <xdr:col>6</xdr:col>
      <xdr:colOff>493060</xdr:colOff>
      <xdr:row>65</xdr:row>
      <xdr:rowOff>1170776</xdr:rowOff>
    </xdr:to>
    <xdr:grpSp>
      <xdr:nvGrpSpPr>
        <xdr:cNvPr id="40" name="Group 39"/>
        <xdr:cNvGrpSpPr/>
      </xdr:nvGrpSpPr>
      <xdr:grpSpPr>
        <a:xfrm>
          <a:off x="12456160" y="59765565"/>
          <a:ext cx="334645" cy="957580"/>
          <a:chOff x="11957050" y="5486401"/>
          <a:chExt cx="831850" cy="920850"/>
        </a:xfrm>
      </xdr:grpSpPr>
      <mc:AlternateContent xmlns:mc="http://schemas.openxmlformats.org/markup-compatibility/2006">
        <mc:Choice xmlns:a14="http://schemas.microsoft.com/office/drawing/2010/main" Requires="a14">
          <xdr:sp>
            <xdr:nvSpPr>
              <xdr:cNvPr id="25634" name="Check Box 34" hidden="1">
                <a:extLst>
                  <a:ext uri="{63B3BB69-23CF-44E3-9099-C40C66FF867C}">
                    <a14:compatExt spid="_x0000_s25634"/>
                  </a:ext>
                </a:extLst>
              </xdr:cNvPr>
              <xdr:cNvSpPr/>
            </xdr:nvSpPr>
            <xdr:spPr>
              <a:xfrm>
                <a:off x="11957050" y="5486401"/>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5" name="Check Box 35" hidden="1">
                <a:extLst>
                  <a:ext uri="{63B3BB69-23CF-44E3-9099-C40C66FF867C}">
                    <a14:compatExt spid="_x0000_s25635"/>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6" name="Check Box 36" hidden="1">
                <a:extLst>
                  <a:ext uri="{63B3BB69-23CF-44E3-9099-C40C66FF867C}">
                    <a14:compatExt spid="_x0000_s25636"/>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7" name="Check Box 37" hidden="1">
                <a:extLst>
                  <a:ext uri="{63B3BB69-23CF-44E3-9099-C40C66FF867C}">
                    <a14:compatExt spid="_x0000_s25637"/>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38" name="Check Box 38" hidden="1">
                <a:extLst>
                  <a:ext uri="{63B3BB69-23CF-44E3-9099-C40C66FF867C}">
                    <a14:compatExt spid="_x0000_s25638"/>
                  </a:ext>
                </a:extLst>
              </xdr:cNvPr>
              <xdr:cNvSpPr/>
            </xdr:nvSpPr>
            <xdr:spPr>
              <a:xfrm>
                <a:off x="11963400" y="6191251"/>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twoCellAnchor>
    <xdr:from>
      <xdr:col>6</xdr:col>
      <xdr:colOff>171299</xdr:colOff>
      <xdr:row>82</xdr:row>
      <xdr:rowOff>194047</xdr:rowOff>
    </xdr:from>
    <xdr:to>
      <xdr:col>6</xdr:col>
      <xdr:colOff>459438</xdr:colOff>
      <xdr:row>82</xdr:row>
      <xdr:rowOff>1674649</xdr:rowOff>
    </xdr:to>
    <xdr:grpSp>
      <xdr:nvGrpSpPr>
        <xdr:cNvPr id="46" name="Group 45"/>
        <xdr:cNvGrpSpPr/>
      </xdr:nvGrpSpPr>
      <xdr:grpSpPr>
        <a:xfrm>
          <a:off x="12468860" y="74388980"/>
          <a:ext cx="288290" cy="1480820"/>
          <a:chOff x="12145825" y="71916711"/>
          <a:chExt cx="851482" cy="1097419"/>
        </a:xfrm>
      </xdr:grpSpPr>
      <xdr:grpSp>
        <xdr:nvGrpSpPr>
          <xdr:cNvPr id="47" name="Group 46"/>
          <xdr:cNvGrpSpPr/>
        </xdr:nvGrpSpPr>
        <xdr:grpSpPr>
          <a:xfrm>
            <a:off x="12145825" y="71916711"/>
            <a:ext cx="849163" cy="920778"/>
            <a:chOff x="11957055" y="5486475"/>
            <a:chExt cx="831845" cy="920778"/>
          </a:xfrm>
        </xdr:grpSpPr>
        <mc:AlternateContent xmlns:mc="http://schemas.openxmlformats.org/markup-compatibility/2006">
          <mc:Choice xmlns:a14="http://schemas.microsoft.com/office/drawing/2010/main" Requires="a14">
            <xdr:sp>
              <xdr:nvSpPr>
                <xdr:cNvPr id="25639" name="Check Box 39" hidden="1">
                  <a:extLst>
                    <a:ext uri="{63B3BB69-23CF-44E3-9099-C40C66FF867C}">
                      <a14:compatExt spid="_x0000_s25639"/>
                    </a:ext>
                  </a:extLst>
                </xdr:cNvPr>
                <xdr:cNvSpPr/>
              </xdr:nvSpPr>
              <xdr:spPr>
                <a:xfrm>
                  <a:off x="11957055" y="5486475"/>
                  <a:ext cx="825500" cy="2143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A</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40" name="Check Box 40" hidden="1">
                  <a:extLst>
                    <a:ext uri="{63B3BB69-23CF-44E3-9099-C40C66FF867C}">
                      <a14:compatExt spid="_x0000_s25640"/>
                    </a:ext>
                  </a:extLst>
                </xdr:cNvPr>
                <xdr:cNvSpPr/>
              </xdr:nvSpPr>
              <xdr:spPr>
                <a:xfrm>
                  <a:off x="11963400" y="56578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B</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41" name="Check Box 41" hidden="1">
                  <a:extLst>
                    <a:ext uri="{63B3BB69-23CF-44E3-9099-C40C66FF867C}">
                      <a14:compatExt spid="_x0000_s25641"/>
                    </a:ext>
                  </a:extLst>
                </xdr:cNvPr>
                <xdr:cNvSpPr/>
              </xdr:nvSpPr>
              <xdr:spPr>
                <a:xfrm>
                  <a:off x="11963400" y="583565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C</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42" name="Check Box 42" hidden="1">
                  <a:extLst>
                    <a:ext uri="{63B3BB69-23CF-44E3-9099-C40C66FF867C}">
                      <a14:compatExt spid="_x0000_s25642"/>
                    </a:ext>
                  </a:extLst>
                </xdr:cNvPr>
                <xdr:cNvSpPr/>
              </xdr:nvSpPr>
              <xdr:spPr>
                <a:xfrm>
                  <a:off x="11963400" y="6019800"/>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D</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mc:AlternateContent xmlns:mc="http://schemas.openxmlformats.org/markup-compatibility/2006">
          <mc:Choice xmlns:a14="http://schemas.microsoft.com/office/drawing/2010/main" Requires="a14">
            <xdr:sp>
              <xdr:nvSpPr>
                <xdr:cNvPr id="25643" name="Check Box 43" hidden="1">
                  <a:extLst>
                    <a:ext uri="{63B3BB69-23CF-44E3-9099-C40C66FF867C}">
                      <a14:compatExt spid="_x0000_s25643"/>
                    </a:ext>
                  </a:extLst>
                </xdr:cNvPr>
                <xdr:cNvSpPr/>
              </xdr:nvSpPr>
              <xdr:spPr>
                <a:xfrm>
                  <a:off x="11963400" y="6191253"/>
                  <a:ext cx="825500" cy="2160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E</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mc:AlternateContent xmlns:mc="http://schemas.openxmlformats.org/markup-compatibility/2006">
        <mc:Choice xmlns:a14="http://schemas.microsoft.com/office/drawing/2010/main" Requires="a14">
          <xdr:sp>
            <xdr:nvSpPr>
              <xdr:cNvPr id="25644" name="Check Box 44" hidden="1">
                <a:extLst>
                  <a:ext uri="{63B3BB69-23CF-44E3-9099-C40C66FF867C}">
                    <a14:compatExt spid="_x0000_s25644"/>
                  </a:ext>
                </a:extLst>
              </xdr:cNvPr>
              <xdr:cNvSpPr/>
            </xdr:nvSpPr>
            <xdr:spPr>
              <a:xfrm>
                <a:off x="12154489" y="72798230"/>
                <a:ext cx="842818" cy="215900"/>
              </a:xfrm>
              <a:prstGeom prst="rect">
                <a:avLst/>
              </a:prstGeom>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panose="020B0604030504040204"/>
                    <a:ea typeface="Tahoma" panose="020B0604030504040204"/>
                    <a:cs typeface="Tahoma" panose="020B0604030504040204"/>
                  </a:rPr>
                  <a:t>F</a:t>
                </a:r>
                <a:endParaRPr lang="en-US" sz="800" b="0" i="0" u="none" strike="noStrike" baseline="0">
                  <a:solidFill>
                    <a:srgbClr val="000000"/>
                  </a:solidFill>
                  <a:latin typeface="Tahoma" panose="020B0604030504040204"/>
                  <a:ea typeface="Tahoma" panose="020B0604030504040204"/>
                  <a:cs typeface="Tahoma" panose="020B0604030504040204"/>
                </a:endParaRPr>
              </a:p>
            </xdr:txBody>
          </xdr:sp>
        </mc:Choice>
        <mc:Fallback/>
      </mc:AlternateContent>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5" Type="http://schemas.openxmlformats.org/officeDocument/2006/relationships/ctrlProp" Target="../ctrlProps/ctrlProp43.xml"/><Relationship Id="rId44" Type="http://schemas.openxmlformats.org/officeDocument/2006/relationships/ctrlProp" Target="../ctrlProps/ctrlProp42.xml"/><Relationship Id="rId43" Type="http://schemas.openxmlformats.org/officeDocument/2006/relationships/ctrlProp" Target="../ctrlProps/ctrlProp41.xml"/><Relationship Id="rId42" Type="http://schemas.openxmlformats.org/officeDocument/2006/relationships/ctrlProp" Target="../ctrlProps/ctrlProp40.xml"/><Relationship Id="rId41" Type="http://schemas.openxmlformats.org/officeDocument/2006/relationships/ctrlProp" Target="../ctrlProps/ctrlProp39.xml"/><Relationship Id="rId40" Type="http://schemas.openxmlformats.org/officeDocument/2006/relationships/ctrlProp" Target="../ctrlProps/ctrlProp38.xml"/><Relationship Id="rId4" Type="http://schemas.openxmlformats.org/officeDocument/2006/relationships/ctrlProp" Target="../ctrlProps/ctrlProp2.xml"/><Relationship Id="rId39" Type="http://schemas.openxmlformats.org/officeDocument/2006/relationships/ctrlProp" Target="../ctrlProps/ctrlProp37.xml"/><Relationship Id="rId38" Type="http://schemas.openxmlformats.org/officeDocument/2006/relationships/ctrlProp" Target="../ctrlProps/ctrlProp36.xml"/><Relationship Id="rId37" Type="http://schemas.openxmlformats.org/officeDocument/2006/relationships/ctrlProp" Target="../ctrlProps/ctrlProp35.xml"/><Relationship Id="rId36" Type="http://schemas.openxmlformats.org/officeDocument/2006/relationships/ctrlProp" Target="../ctrlProps/ctrlProp34.xml"/><Relationship Id="rId35" Type="http://schemas.openxmlformats.org/officeDocument/2006/relationships/ctrlProp" Target="../ctrlProps/ctrlProp33.xml"/><Relationship Id="rId34" Type="http://schemas.openxmlformats.org/officeDocument/2006/relationships/ctrlProp" Target="../ctrlProps/ctrlProp32.xml"/><Relationship Id="rId33" Type="http://schemas.openxmlformats.org/officeDocument/2006/relationships/ctrlProp" Target="../ctrlProps/ctrlProp31.xml"/><Relationship Id="rId32" Type="http://schemas.openxmlformats.org/officeDocument/2006/relationships/ctrlProp" Target="../ctrlProps/ctrlProp30.xml"/><Relationship Id="rId31" Type="http://schemas.openxmlformats.org/officeDocument/2006/relationships/ctrlProp" Target="../ctrlProps/ctrlProp29.xml"/><Relationship Id="rId30" Type="http://schemas.openxmlformats.org/officeDocument/2006/relationships/ctrlProp" Target="../ctrlProps/ctrlProp28.xml"/><Relationship Id="rId3" Type="http://schemas.openxmlformats.org/officeDocument/2006/relationships/ctrlProp" Target="../ctrlProps/ctrlProp1.xml"/><Relationship Id="rId29" Type="http://schemas.openxmlformats.org/officeDocument/2006/relationships/ctrlProp" Target="../ctrlProps/ctrlProp27.xml"/><Relationship Id="rId28" Type="http://schemas.openxmlformats.org/officeDocument/2006/relationships/ctrlProp" Target="../ctrlProps/ctrlProp26.xml"/><Relationship Id="rId27" Type="http://schemas.openxmlformats.org/officeDocument/2006/relationships/ctrlProp" Target="../ctrlProps/ctrlProp25.xml"/><Relationship Id="rId26" Type="http://schemas.openxmlformats.org/officeDocument/2006/relationships/ctrlProp" Target="../ctrlProps/ctrlProp24.xml"/><Relationship Id="rId25" Type="http://schemas.openxmlformats.org/officeDocument/2006/relationships/ctrlProp" Target="../ctrlProps/ctrlProp23.xml"/><Relationship Id="rId24" Type="http://schemas.openxmlformats.org/officeDocument/2006/relationships/ctrlProp" Target="../ctrlProps/ctrlProp22.xml"/><Relationship Id="rId23" Type="http://schemas.openxmlformats.org/officeDocument/2006/relationships/ctrlProp" Target="../ctrlProps/ctrlProp21.xml"/><Relationship Id="rId22" Type="http://schemas.openxmlformats.org/officeDocument/2006/relationships/ctrlProp" Target="../ctrlProps/ctrlProp20.xml"/><Relationship Id="rId21" Type="http://schemas.openxmlformats.org/officeDocument/2006/relationships/ctrlProp" Target="../ctrlProps/ctrlProp19.xml"/><Relationship Id="rId20" Type="http://schemas.openxmlformats.org/officeDocument/2006/relationships/ctrlProp" Target="../ctrlProps/ctrlProp18.xml"/><Relationship Id="rId2" Type="http://schemas.openxmlformats.org/officeDocument/2006/relationships/vmlDrawing" Target="../drawings/vmlDrawing1.vml"/><Relationship Id="rId19" Type="http://schemas.openxmlformats.org/officeDocument/2006/relationships/ctrlProp" Target="../ctrlProps/ctrlProp17.xml"/><Relationship Id="rId18" Type="http://schemas.openxmlformats.org/officeDocument/2006/relationships/ctrlProp" Target="../ctrlProps/ctrlProp16.xml"/><Relationship Id="rId17" Type="http://schemas.openxmlformats.org/officeDocument/2006/relationships/ctrlProp" Target="../ctrlProps/ctrlProp15.xml"/><Relationship Id="rId16" Type="http://schemas.openxmlformats.org/officeDocument/2006/relationships/ctrlProp" Target="../ctrlProps/ctrlProp14.xml"/><Relationship Id="rId15" Type="http://schemas.openxmlformats.org/officeDocument/2006/relationships/ctrlProp" Target="../ctrlProps/ctrlProp13.xm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68"/>
  <sheetViews>
    <sheetView zoomScale="70" zoomScaleNormal="70" workbookViewId="0">
      <selection activeCell="P32" sqref="P32"/>
    </sheetView>
  </sheetViews>
  <sheetFormatPr defaultColWidth="9.14285714285714" defaultRowHeight="15"/>
  <cols>
    <col min="1" max="1" width="9.14285714285714" style="29"/>
    <col min="2" max="2" width="12.4285714285714" style="29" hidden="1" customWidth="1"/>
    <col min="3" max="3" width="44.8571428571429" style="29" hidden="1" customWidth="1"/>
    <col min="4" max="6" width="16.4285714285714" style="29" hidden="1" customWidth="1"/>
    <col min="7" max="13" width="9.14285714285714" style="29" hidden="1" customWidth="1"/>
    <col min="14" max="16384" width="9.14285714285714" style="29"/>
  </cols>
  <sheetData>
    <row r="1" spans="2:7">
      <c r="B1" s="28"/>
      <c r="C1" s="30" t="s">
        <v>0</v>
      </c>
      <c r="D1" s="30"/>
      <c r="E1" s="30"/>
      <c r="F1" s="30"/>
      <c r="G1" s="28"/>
    </row>
    <row r="2" s="28" customFormat="1" spans="2:7">
      <c r="B2" s="29"/>
      <c r="C2" s="29"/>
      <c r="D2" s="29"/>
      <c r="E2" s="29"/>
      <c r="F2" s="29"/>
      <c r="G2" s="29"/>
    </row>
    <row r="3" s="28" customFormat="1" spans="2:6">
      <c r="B3" s="31" t="s">
        <v>1</v>
      </c>
      <c r="C3" s="31" t="s">
        <v>2</v>
      </c>
      <c r="D3" s="32" t="s">
        <v>3</v>
      </c>
      <c r="E3" s="32" t="s">
        <v>4</v>
      </c>
      <c r="F3" s="32" t="s">
        <v>5</v>
      </c>
    </row>
    <row r="4" s="28" customFormat="1" spans="2:6">
      <c r="B4" s="33" t="s">
        <v>6</v>
      </c>
      <c r="C4" s="34" t="s">
        <v>7</v>
      </c>
      <c r="D4" s="35">
        <v>6</v>
      </c>
      <c r="E4" s="35">
        <v>12</v>
      </c>
      <c r="F4" s="36">
        <f>E4/E7</f>
        <v>0.193548387096774</v>
      </c>
    </row>
    <row r="5" s="28" customFormat="1" spans="2:6">
      <c r="B5" s="37"/>
      <c r="C5" s="34" t="s">
        <v>8</v>
      </c>
      <c r="D5" s="35">
        <v>12</v>
      </c>
      <c r="E5" s="35">
        <v>24</v>
      </c>
      <c r="F5" s="36">
        <f>E5/E7</f>
        <v>0.387096774193548</v>
      </c>
    </row>
    <row r="6" s="28" customFormat="1" spans="2:6">
      <c r="B6" s="37"/>
      <c r="C6" s="34" t="s">
        <v>9</v>
      </c>
      <c r="D6" s="35">
        <v>13</v>
      </c>
      <c r="E6" s="35">
        <v>26</v>
      </c>
      <c r="F6" s="36">
        <f>E6/E7</f>
        <v>0.419354838709677</v>
      </c>
    </row>
    <row r="7" s="28" customFormat="1" spans="2:6">
      <c r="B7" s="38"/>
      <c r="C7" s="34"/>
      <c r="D7" s="39">
        <f>SUM(D4:D6)</f>
        <v>31</v>
      </c>
      <c r="E7" s="39">
        <f>SUM(E4:E6)</f>
        <v>62</v>
      </c>
      <c r="F7" s="40">
        <f>E7/E18</f>
        <v>0.289719626168224</v>
      </c>
    </row>
    <row r="8" s="28" customFormat="1" spans="2:6">
      <c r="B8" s="41" t="s">
        <v>10</v>
      </c>
      <c r="C8" s="42" t="s">
        <v>7</v>
      </c>
      <c r="D8" s="35">
        <v>10</v>
      </c>
      <c r="E8" s="35">
        <v>20</v>
      </c>
      <c r="F8" s="36">
        <f>E8/E11</f>
        <v>0.24390243902439</v>
      </c>
    </row>
    <row r="9" s="28" customFormat="1" spans="2:6">
      <c r="B9" s="43"/>
      <c r="C9" s="42" t="s">
        <v>8</v>
      </c>
      <c r="D9" s="35">
        <v>19</v>
      </c>
      <c r="E9" s="35">
        <v>38</v>
      </c>
      <c r="F9" s="36">
        <f>E9/E11</f>
        <v>0.463414634146341</v>
      </c>
    </row>
    <row r="10" s="28" customFormat="1" spans="2:6">
      <c r="B10" s="43"/>
      <c r="C10" s="42" t="s">
        <v>9</v>
      </c>
      <c r="D10" s="35">
        <v>12</v>
      </c>
      <c r="E10" s="35">
        <v>24</v>
      </c>
      <c r="F10" s="36">
        <f>E10/E11</f>
        <v>0.292682926829268</v>
      </c>
    </row>
    <row r="11" s="28" customFormat="1" spans="2:6">
      <c r="B11" s="44"/>
      <c r="C11" s="42"/>
      <c r="D11" s="39">
        <f>SUM(D8:D10)</f>
        <v>41</v>
      </c>
      <c r="E11" s="39">
        <f>SUM(E8:E10)</f>
        <v>82</v>
      </c>
      <c r="F11" s="40">
        <f>E11/E18</f>
        <v>0.383177570093458</v>
      </c>
    </row>
    <row r="12" s="28" customFormat="1" customHeight="1" spans="2:6">
      <c r="B12" s="45" t="s">
        <v>11</v>
      </c>
      <c r="C12" s="46" t="s">
        <v>12</v>
      </c>
      <c r="D12" s="35">
        <v>8</v>
      </c>
      <c r="E12" s="35">
        <v>16</v>
      </c>
      <c r="F12" s="36">
        <f>E12/E17</f>
        <v>0.228571428571429</v>
      </c>
    </row>
    <row r="13" s="28" customFormat="1" spans="2:6">
      <c r="B13" s="47"/>
      <c r="C13" s="46" t="s">
        <v>13</v>
      </c>
      <c r="D13" s="35">
        <v>3</v>
      </c>
      <c r="E13" s="35">
        <v>6</v>
      </c>
      <c r="F13" s="36">
        <f>E13/E17</f>
        <v>0.0857142857142857</v>
      </c>
    </row>
    <row r="14" s="28" customFormat="1" spans="2:6">
      <c r="B14" s="47"/>
      <c r="C14" s="46" t="s">
        <v>14</v>
      </c>
      <c r="D14" s="35">
        <v>9</v>
      </c>
      <c r="E14" s="35">
        <v>18</v>
      </c>
      <c r="F14" s="36">
        <f>E14/E17</f>
        <v>0.257142857142857</v>
      </c>
    </row>
    <row r="15" s="28" customFormat="1" spans="2:6">
      <c r="B15" s="47"/>
      <c r="C15" s="48" t="s">
        <v>15</v>
      </c>
      <c r="D15" s="35">
        <v>11</v>
      </c>
      <c r="E15" s="35">
        <v>22</v>
      </c>
      <c r="F15" s="36">
        <f>E15/E17</f>
        <v>0.314285714285714</v>
      </c>
    </row>
    <row r="16" s="28" customFormat="1" spans="2:6">
      <c r="B16" s="47"/>
      <c r="C16" s="48" t="s">
        <v>16</v>
      </c>
      <c r="D16" s="35">
        <v>4</v>
      </c>
      <c r="E16" s="35">
        <v>8</v>
      </c>
      <c r="F16" s="36">
        <f>E16/E18</f>
        <v>0.0373831775700935</v>
      </c>
    </row>
    <row r="17" s="28" customFormat="1" spans="2:6">
      <c r="B17" s="49"/>
      <c r="C17" s="46"/>
      <c r="D17" s="39">
        <f>SUM(D12:D16)</f>
        <v>35</v>
      </c>
      <c r="E17" s="39">
        <f>SUM(E12:E16)</f>
        <v>70</v>
      </c>
      <c r="F17" s="40">
        <f>E17/E18</f>
        <v>0.327102803738318</v>
      </c>
    </row>
    <row r="18" s="28" customFormat="1" spans="4:6">
      <c r="D18" s="50">
        <f>SUM(D7+D11+D17)</f>
        <v>107</v>
      </c>
      <c r="E18" s="50">
        <f>SUM(E7+E11+E17)</f>
        <v>214</v>
      </c>
      <c r="F18" s="51">
        <f>SUM(F7+F11+F17)</f>
        <v>1</v>
      </c>
    </row>
    <row r="19" s="28" customFormat="1" spans="3:3">
      <c r="C19" s="28" t="s">
        <v>17</v>
      </c>
    </row>
    <row r="21" ht="14.45" customHeight="1" spans="3:11">
      <c r="C21" s="52" t="s">
        <v>18</v>
      </c>
      <c r="D21" s="52"/>
      <c r="E21" s="52"/>
      <c r="F21" s="52"/>
      <c r="G21" s="52"/>
      <c r="H21" s="52"/>
      <c r="I21" s="52"/>
      <c r="J21" s="52"/>
      <c r="K21" s="52"/>
    </row>
    <row r="22" spans="3:11">
      <c r="C22" s="53" t="s">
        <v>19</v>
      </c>
      <c r="D22" s="53"/>
      <c r="E22" s="53"/>
      <c r="F22" s="53"/>
      <c r="G22" s="53"/>
      <c r="H22" s="53"/>
      <c r="I22" s="53"/>
      <c r="J22" s="53"/>
      <c r="K22" s="53"/>
    </row>
    <row r="23" spans="3:11">
      <c r="C23" s="53"/>
      <c r="D23" s="53"/>
      <c r="E23" s="53"/>
      <c r="F23" s="53"/>
      <c r="G23" s="53"/>
      <c r="H23" s="53"/>
      <c r="I23" s="53"/>
      <c r="J23" s="53"/>
      <c r="K23" s="53"/>
    </row>
    <row r="24" spans="3:11">
      <c r="C24" s="53"/>
      <c r="D24" s="53"/>
      <c r="E24" s="53"/>
      <c r="F24" s="53"/>
      <c r="G24" s="53"/>
      <c r="H24" s="53"/>
      <c r="I24" s="53"/>
      <c r="J24" s="53"/>
      <c r="K24" s="53"/>
    </row>
    <row r="25" ht="34.5" customHeight="1" spans="3:11">
      <c r="C25" s="53"/>
      <c r="D25" s="53"/>
      <c r="E25" s="53"/>
      <c r="F25" s="53"/>
      <c r="G25" s="53"/>
      <c r="H25" s="53"/>
      <c r="I25" s="53"/>
      <c r="J25" s="53"/>
      <c r="K25" s="53"/>
    </row>
    <row r="27" spans="3:11">
      <c r="C27" s="52" t="s">
        <v>20</v>
      </c>
      <c r="D27" s="54"/>
      <c r="E27" s="54"/>
      <c r="F27" s="54"/>
      <c r="G27" s="54"/>
      <c r="H27" s="54"/>
      <c r="I27" s="54"/>
      <c r="J27" s="54"/>
      <c r="K27" s="54"/>
    </row>
    <row r="28" ht="14.45" customHeight="1" spans="3:11">
      <c r="C28" s="55" t="s">
        <v>21</v>
      </c>
      <c r="D28" s="53"/>
      <c r="E28" s="53"/>
      <c r="F28" s="53"/>
      <c r="G28" s="53"/>
      <c r="H28" s="53"/>
      <c r="I28" s="53"/>
      <c r="J28" s="53"/>
      <c r="K28" s="53"/>
    </row>
    <row r="29" spans="3:11">
      <c r="C29" s="53"/>
      <c r="D29" s="53"/>
      <c r="E29" s="53"/>
      <c r="F29" s="53"/>
      <c r="G29" s="53"/>
      <c r="H29" s="53"/>
      <c r="I29" s="53"/>
      <c r="J29" s="53"/>
      <c r="K29" s="53"/>
    </row>
    <row r="30" spans="3:11">
      <c r="C30" s="53"/>
      <c r="D30" s="53"/>
      <c r="E30" s="53"/>
      <c r="F30" s="53"/>
      <c r="G30" s="53"/>
      <c r="H30" s="53"/>
      <c r="I30" s="53"/>
      <c r="J30" s="53"/>
      <c r="K30" s="53"/>
    </row>
    <row r="31" spans="3:11">
      <c r="C31" s="53"/>
      <c r="D31" s="53"/>
      <c r="E31" s="53"/>
      <c r="F31" s="53"/>
      <c r="G31" s="53"/>
      <c r="H31" s="53"/>
      <c r="I31" s="53"/>
      <c r="J31" s="53"/>
      <c r="K31" s="53"/>
    </row>
    <row r="32" spans="3:11">
      <c r="C32" s="53"/>
      <c r="D32" s="53"/>
      <c r="E32" s="53"/>
      <c r="F32" s="53"/>
      <c r="G32" s="53"/>
      <c r="H32" s="53"/>
      <c r="I32" s="53"/>
      <c r="J32" s="53"/>
      <c r="K32" s="53"/>
    </row>
    <row r="33" spans="3:11">
      <c r="C33" s="53"/>
      <c r="D33" s="53"/>
      <c r="E33" s="53"/>
      <c r="F33" s="53"/>
      <c r="G33" s="53"/>
      <c r="H33" s="53"/>
      <c r="I33" s="53"/>
      <c r="J33" s="53"/>
      <c r="K33" s="53"/>
    </row>
    <row r="34" spans="3:11">
      <c r="C34" s="53"/>
      <c r="D34" s="53"/>
      <c r="E34" s="53"/>
      <c r="F34" s="53"/>
      <c r="G34" s="53"/>
      <c r="H34" s="53"/>
      <c r="I34" s="53"/>
      <c r="J34" s="53"/>
      <c r="K34" s="53"/>
    </row>
    <row r="35" spans="3:11">
      <c r="C35" s="53"/>
      <c r="D35" s="53"/>
      <c r="E35" s="53"/>
      <c r="F35" s="53"/>
      <c r="G35" s="53"/>
      <c r="H35" s="53"/>
      <c r="I35" s="53"/>
      <c r="J35" s="53"/>
      <c r="K35" s="53"/>
    </row>
    <row r="36" spans="3:11">
      <c r="C36" s="53"/>
      <c r="D36" s="53"/>
      <c r="E36" s="53"/>
      <c r="F36" s="53"/>
      <c r="G36" s="53"/>
      <c r="H36" s="53"/>
      <c r="I36" s="53"/>
      <c r="J36" s="53"/>
      <c r="K36" s="53"/>
    </row>
    <row r="37" spans="3:11">
      <c r="C37" s="53"/>
      <c r="D37" s="53"/>
      <c r="E37" s="53"/>
      <c r="F37" s="53"/>
      <c r="G37" s="53"/>
      <c r="H37" s="53"/>
      <c r="I37" s="53"/>
      <c r="J37" s="53"/>
      <c r="K37" s="53"/>
    </row>
    <row r="38" spans="3:11">
      <c r="C38" s="53"/>
      <c r="D38" s="53"/>
      <c r="E38" s="53"/>
      <c r="F38" s="53"/>
      <c r="G38" s="53"/>
      <c r="H38" s="53"/>
      <c r="I38" s="53"/>
      <c r="J38" s="53"/>
      <c r="K38" s="53"/>
    </row>
    <row r="40" spans="3:11">
      <c r="C40" s="52" t="s">
        <v>22</v>
      </c>
      <c r="D40" s="52"/>
      <c r="E40" s="52"/>
      <c r="F40" s="52"/>
      <c r="G40" s="52"/>
      <c r="H40" s="52"/>
      <c r="I40" s="52"/>
      <c r="J40" s="52"/>
      <c r="K40" s="52"/>
    </row>
    <row r="41" ht="14.45" customHeight="1" spans="3:11">
      <c r="C41" s="53" t="s">
        <v>23</v>
      </c>
      <c r="D41" s="53"/>
      <c r="E41" s="53"/>
      <c r="F41" s="53"/>
      <c r="G41" s="53"/>
      <c r="H41" s="53"/>
      <c r="I41" s="53"/>
      <c r="J41" s="53"/>
      <c r="K41" s="53"/>
    </row>
    <row r="42" spans="3:11">
      <c r="C42" s="53"/>
      <c r="D42" s="53"/>
      <c r="E42" s="53"/>
      <c r="F42" s="53"/>
      <c r="G42" s="53"/>
      <c r="H42" s="53"/>
      <c r="I42" s="53"/>
      <c r="J42" s="53"/>
      <c r="K42" s="53"/>
    </row>
    <row r="43" spans="3:11">
      <c r="C43" s="53"/>
      <c r="D43" s="53"/>
      <c r="E43" s="53"/>
      <c r="F43" s="53"/>
      <c r="G43" s="53"/>
      <c r="H43" s="53"/>
      <c r="I43" s="53"/>
      <c r="J43" s="53"/>
      <c r="K43" s="53"/>
    </row>
    <row r="44" spans="3:11">
      <c r="C44" s="53"/>
      <c r="D44" s="53"/>
      <c r="E44" s="53"/>
      <c r="F44" s="53"/>
      <c r="G44" s="53"/>
      <c r="H44" s="53"/>
      <c r="I44" s="53"/>
      <c r="J44" s="53"/>
      <c r="K44" s="53"/>
    </row>
    <row r="45" spans="3:11">
      <c r="C45" s="53"/>
      <c r="D45" s="53"/>
      <c r="E45" s="53"/>
      <c r="F45" s="53"/>
      <c r="G45" s="53"/>
      <c r="H45" s="53"/>
      <c r="I45" s="53"/>
      <c r="J45" s="53"/>
      <c r="K45" s="53"/>
    </row>
    <row r="46" spans="3:11">
      <c r="C46" s="53"/>
      <c r="D46" s="53"/>
      <c r="E46" s="53"/>
      <c r="F46" s="53"/>
      <c r="G46" s="53"/>
      <c r="H46" s="53"/>
      <c r="I46" s="53"/>
      <c r="J46" s="53"/>
      <c r="K46" s="53"/>
    </row>
    <row r="47" spans="3:11">
      <c r="C47" s="53"/>
      <c r="D47" s="53"/>
      <c r="E47" s="53"/>
      <c r="F47" s="53"/>
      <c r="G47" s="53"/>
      <c r="H47" s="53"/>
      <c r="I47" s="53"/>
      <c r="J47" s="53"/>
      <c r="K47" s="53"/>
    </row>
    <row r="48" spans="3:11">
      <c r="C48" s="53"/>
      <c r="D48" s="53"/>
      <c r="E48" s="53"/>
      <c r="F48" s="53"/>
      <c r="G48" s="53"/>
      <c r="H48" s="53"/>
      <c r="I48" s="53"/>
      <c r="J48" s="53"/>
      <c r="K48" s="53"/>
    </row>
    <row r="49" spans="3:11">
      <c r="C49" s="53"/>
      <c r="D49" s="53"/>
      <c r="E49" s="53"/>
      <c r="F49" s="53"/>
      <c r="G49" s="53"/>
      <c r="H49" s="53"/>
      <c r="I49" s="53"/>
      <c r="J49" s="53"/>
      <c r="K49" s="53"/>
    </row>
    <row r="50" spans="3:11">
      <c r="C50" s="53"/>
      <c r="D50" s="53"/>
      <c r="E50" s="53"/>
      <c r="F50" s="53"/>
      <c r="G50" s="53"/>
      <c r="H50" s="53"/>
      <c r="I50" s="53"/>
      <c r="J50" s="53"/>
      <c r="K50" s="53"/>
    </row>
    <row r="51" spans="3:11">
      <c r="C51" s="53"/>
      <c r="D51" s="53"/>
      <c r="E51" s="53"/>
      <c r="F51" s="53"/>
      <c r="G51" s="53"/>
      <c r="H51" s="53"/>
      <c r="I51" s="53"/>
      <c r="J51" s="53"/>
      <c r="K51" s="53"/>
    </row>
    <row r="52" spans="3:11">
      <c r="C52" s="53"/>
      <c r="D52" s="53"/>
      <c r="E52" s="53"/>
      <c r="F52" s="53"/>
      <c r="G52" s="53"/>
      <c r="H52" s="53"/>
      <c r="I52" s="53"/>
      <c r="J52" s="53"/>
      <c r="K52" s="53"/>
    </row>
    <row r="53" spans="3:11">
      <c r="C53" s="53"/>
      <c r="D53" s="53"/>
      <c r="E53" s="53"/>
      <c r="F53" s="53"/>
      <c r="G53" s="53"/>
      <c r="H53" s="53"/>
      <c r="I53" s="53"/>
      <c r="J53" s="53"/>
      <c r="K53" s="53"/>
    </row>
    <row r="55" s="28" customFormat="1" spans="3:7">
      <c r="C55" s="56"/>
      <c r="D55" s="56"/>
      <c r="E55" s="56"/>
      <c r="F55" s="56"/>
      <c r="G55" s="56"/>
    </row>
    <row r="56" s="28" customFormat="1" spans="3:7">
      <c r="C56" s="57" t="s">
        <v>24</v>
      </c>
      <c r="D56" s="58" t="s">
        <v>25</v>
      </c>
      <c r="E56" s="58" t="s">
        <v>26</v>
      </c>
      <c r="F56" s="58" t="s">
        <v>27</v>
      </c>
      <c r="G56" s="56"/>
    </row>
    <row r="57" s="28" customFormat="1" spans="3:11">
      <c r="C57" s="59" t="s">
        <v>28</v>
      </c>
      <c r="D57" s="60">
        <v>0.3</v>
      </c>
      <c r="E57" s="60">
        <v>0.2</v>
      </c>
      <c r="F57" s="60">
        <v>0.5</v>
      </c>
      <c r="G57" s="56"/>
      <c r="K57" s="62"/>
    </row>
    <row r="58" s="28" customFormat="1" spans="3:7">
      <c r="C58" s="59" t="s">
        <v>29</v>
      </c>
      <c r="D58" s="60">
        <v>0.3</v>
      </c>
      <c r="E58" s="60">
        <v>0.2</v>
      </c>
      <c r="F58" s="60">
        <v>0.5</v>
      </c>
      <c r="G58" s="56"/>
    </row>
    <row r="59" s="28" customFormat="1" spans="3:7">
      <c r="C59" s="59" t="s">
        <v>30</v>
      </c>
      <c r="D59" s="60">
        <v>0.6</v>
      </c>
      <c r="E59" s="60">
        <v>0.3</v>
      </c>
      <c r="F59" s="60">
        <v>0.1</v>
      </c>
      <c r="G59" s="56"/>
    </row>
    <row r="60" s="28" customFormat="1" spans="3:7">
      <c r="C60" s="59" t="s">
        <v>31</v>
      </c>
      <c r="D60" s="60">
        <v>0.45</v>
      </c>
      <c r="E60" s="60">
        <v>0.45</v>
      </c>
      <c r="F60" s="60">
        <v>0.1</v>
      </c>
      <c r="G60" s="56"/>
    </row>
    <row r="61" s="28" customFormat="1" spans="3:7">
      <c r="C61" s="59" t="s">
        <v>32</v>
      </c>
      <c r="D61" s="61">
        <v>0.35</v>
      </c>
      <c r="E61" s="61">
        <v>0.45</v>
      </c>
      <c r="F61" s="61">
        <v>0.2</v>
      </c>
      <c r="G61" s="56"/>
    </row>
    <row r="62" s="28" customFormat="1" spans="3:7">
      <c r="C62" s="59" t="s">
        <v>33</v>
      </c>
      <c r="D62" s="60">
        <v>0.3</v>
      </c>
      <c r="E62" s="60">
        <v>0.35</v>
      </c>
      <c r="F62" s="60">
        <v>0.35</v>
      </c>
      <c r="G62" s="56"/>
    </row>
    <row r="63" s="28" customFormat="1" spans="3:7">
      <c r="C63" s="59" t="s">
        <v>34</v>
      </c>
      <c r="D63" s="60">
        <v>0.3</v>
      </c>
      <c r="E63" s="60">
        <v>0.35</v>
      </c>
      <c r="F63" s="60">
        <v>0.35</v>
      </c>
      <c r="G63" s="56"/>
    </row>
    <row r="64" s="28" customFormat="1" spans="3:7">
      <c r="C64" s="59" t="s">
        <v>35</v>
      </c>
      <c r="D64" s="61">
        <v>0.3</v>
      </c>
      <c r="E64" s="61">
        <v>0.3</v>
      </c>
      <c r="F64" s="61">
        <v>0.4</v>
      </c>
      <c r="G64" s="56"/>
    </row>
    <row r="65" s="28" customFormat="1" spans="3:7">
      <c r="C65" s="59" t="s">
        <v>36</v>
      </c>
      <c r="D65" s="60">
        <v>0.3</v>
      </c>
      <c r="E65" s="60">
        <v>0.3</v>
      </c>
      <c r="F65" s="60">
        <v>0.4</v>
      </c>
      <c r="G65" s="56"/>
    </row>
    <row r="66" s="28" customFormat="1" spans="3:7">
      <c r="C66" s="59" t="s">
        <v>37</v>
      </c>
      <c r="D66" s="60">
        <v>0.3</v>
      </c>
      <c r="E66" s="60">
        <v>0.4</v>
      </c>
      <c r="F66" s="60">
        <v>0.3</v>
      </c>
      <c r="G66" s="56"/>
    </row>
    <row r="67" s="28" customFormat="1" spans="3:7">
      <c r="C67" s="63" t="s">
        <v>38</v>
      </c>
      <c r="D67" s="64">
        <v>0.4</v>
      </c>
      <c r="E67" s="64">
        <v>0.3</v>
      </c>
      <c r="F67" s="64">
        <v>0.3</v>
      </c>
      <c r="G67" s="56"/>
    </row>
    <row r="68" s="28" customFormat="1" ht="15.75" spans="3:7">
      <c r="C68" s="65"/>
      <c r="D68" s="66"/>
      <c r="E68" s="66"/>
      <c r="F68" s="66"/>
      <c r="G68" s="56"/>
    </row>
  </sheetData>
  <sheetProtection algorithmName="SHA-512" hashValue="YW9ee4OKrGvnZ1fGC2y2Sao5KRO9Cv4EQAKVPK2tkd46U3F/RPw7Dv0o7akZ++6Emrwo18qKyEPJWv+R94etMg==" saltValue="bzmQKRSODu6aAchaybN3Zw==" spinCount="100000" sheet="1" objects="1" scenarios="1"/>
  <mergeCells count="7">
    <mergeCell ref="C1:F1"/>
    <mergeCell ref="B4:B7"/>
    <mergeCell ref="B8:B11"/>
    <mergeCell ref="B12:B17"/>
    <mergeCell ref="C28:K38"/>
    <mergeCell ref="C22:K25"/>
    <mergeCell ref="C41:K53"/>
  </mergeCells>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22"/>
  <sheetViews>
    <sheetView tabSelected="1" zoomScale="85" zoomScaleNormal="85" workbookViewId="0">
      <pane xSplit="3" ySplit="4" topLeftCell="D25" activePane="bottomRight" state="frozen"/>
      <selection/>
      <selection pane="topRight"/>
      <selection pane="bottomLeft"/>
      <selection pane="bottomRight" activeCell="F35" sqref="F35"/>
    </sheetView>
  </sheetViews>
  <sheetFormatPr defaultColWidth="9.14285714285714" defaultRowHeight="12" outlineLevelCol="7"/>
  <cols>
    <col min="1" max="1" width="4.85714285714286" style="5" customWidth="1"/>
    <col min="2" max="2" width="12.7142857142857" style="6" customWidth="1"/>
    <col min="3" max="3" width="8.85714285714286" style="5" customWidth="1"/>
    <col min="4" max="4" width="63.8571428571429" style="5" customWidth="1"/>
    <col min="5" max="5" width="68.2857142857143" style="5" customWidth="1"/>
    <col min="6" max="6" width="25.8761904761905" style="5" customWidth="1"/>
    <col min="7" max="7" width="9.42857142857143" style="5" customWidth="1"/>
    <col min="8" max="8" width="40.4285714285714" style="5" customWidth="1"/>
    <col min="9" max="16384" width="9.14285714285714" style="5"/>
  </cols>
  <sheetData>
    <row r="1" ht="15.75" spans="2:2">
      <c r="B1" s="7" t="s">
        <v>39</v>
      </c>
    </row>
    <row r="3" ht="18.95" customHeight="1" spans="1:8">
      <c r="A3" s="8" t="s">
        <v>40</v>
      </c>
      <c r="B3" s="8"/>
      <c r="C3" s="9" t="s">
        <v>41</v>
      </c>
      <c r="D3" s="10" t="s">
        <v>42</v>
      </c>
      <c r="E3" s="10"/>
      <c r="F3" s="11" t="s">
        <v>43</v>
      </c>
      <c r="G3" s="12" t="s">
        <v>44</v>
      </c>
      <c r="H3" s="12"/>
    </row>
    <row r="4" ht="60" customHeight="1" spans="1:8">
      <c r="A4" s="13" t="s">
        <v>45</v>
      </c>
      <c r="B4" s="10" t="s">
        <v>46</v>
      </c>
      <c r="C4" s="14" t="s">
        <v>47</v>
      </c>
      <c r="D4" s="10" t="s">
        <v>48</v>
      </c>
      <c r="E4" s="10"/>
      <c r="F4" s="15"/>
      <c r="G4" s="16" t="s">
        <v>49</v>
      </c>
      <c r="H4" s="17" t="s">
        <v>50</v>
      </c>
    </row>
    <row r="5" ht="43.5" customHeight="1" spans="1:8">
      <c r="A5" s="18" t="s">
        <v>51</v>
      </c>
      <c r="B5" s="19" t="s">
        <v>52</v>
      </c>
      <c r="C5" s="20" t="s">
        <v>53</v>
      </c>
      <c r="D5" s="20" t="s">
        <v>54</v>
      </c>
      <c r="E5" s="20" t="s">
        <v>55</v>
      </c>
      <c r="F5" s="20" t="s">
        <v>56</v>
      </c>
      <c r="G5" s="21"/>
      <c r="H5" s="21"/>
    </row>
    <row r="6" ht="43.5" customHeight="1" spans="1:8">
      <c r="A6" s="18" t="s">
        <v>51</v>
      </c>
      <c r="B6" s="19" t="s">
        <v>52</v>
      </c>
      <c r="C6" s="20" t="s">
        <v>57</v>
      </c>
      <c r="D6" s="20" t="s">
        <v>58</v>
      </c>
      <c r="E6" s="20" t="s">
        <v>55</v>
      </c>
      <c r="F6" s="20" t="s">
        <v>59</v>
      </c>
      <c r="G6" s="21"/>
      <c r="H6" s="21"/>
    </row>
    <row r="7" ht="43.5" customHeight="1" spans="1:8">
      <c r="A7" s="18" t="s">
        <v>51</v>
      </c>
      <c r="B7" s="19" t="s">
        <v>52</v>
      </c>
      <c r="C7" s="20" t="s">
        <v>60</v>
      </c>
      <c r="D7" s="20" t="s">
        <v>61</v>
      </c>
      <c r="E7" s="20" t="s">
        <v>55</v>
      </c>
      <c r="F7" s="20" t="s">
        <v>56</v>
      </c>
      <c r="G7" s="21"/>
      <c r="H7" s="21"/>
    </row>
    <row r="8" ht="43.5" customHeight="1" spans="1:8">
      <c r="A8" s="18" t="s">
        <v>51</v>
      </c>
      <c r="B8" s="19" t="s">
        <v>52</v>
      </c>
      <c r="C8" s="20" t="s">
        <v>62</v>
      </c>
      <c r="D8" s="20" t="s">
        <v>63</v>
      </c>
      <c r="E8" s="20" t="s">
        <v>55</v>
      </c>
      <c r="F8" s="20" t="s">
        <v>64</v>
      </c>
      <c r="G8" s="21"/>
      <c r="H8" s="21"/>
    </row>
    <row r="9" ht="43.5" customHeight="1" spans="1:8">
      <c r="A9" s="18" t="s">
        <v>51</v>
      </c>
      <c r="B9" s="19" t="s">
        <v>52</v>
      </c>
      <c r="C9" s="20" t="s">
        <v>65</v>
      </c>
      <c r="D9" s="20" t="s">
        <v>66</v>
      </c>
      <c r="E9" s="20" t="s">
        <v>55</v>
      </c>
      <c r="F9" s="20" t="s">
        <v>64</v>
      </c>
      <c r="G9" s="21"/>
      <c r="H9" s="21"/>
    </row>
    <row r="10" ht="135" customHeight="1" spans="1:8">
      <c r="A10" s="22" t="s">
        <v>67</v>
      </c>
      <c r="B10" s="23" t="s">
        <v>68</v>
      </c>
      <c r="C10" s="22" t="s">
        <v>69</v>
      </c>
      <c r="D10" s="22" t="s">
        <v>70</v>
      </c>
      <c r="E10" s="22" t="s">
        <v>71</v>
      </c>
      <c r="F10" s="22" t="s">
        <v>72</v>
      </c>
      <c r="G10" s="21"/>
      <c r="H10" s="21"/>
    </row>
    <row r="11" ht="60" spans="1:8">
      <c r="A11" s="22" t="s">
        <v>67</v>
      </c>
      <c r="B11" s="23" t="s">
        <v>68</v>
      </c>
      <c r="C11" s="22" t="s">
        <v>73</v>
      </c>
      <c r="D11" s="22" t="s">
        <v>74</v>
      </c>
      <c r="E11" s="22" t="s">
        <v>75</v>
      </c>
      <c r="F11" s="22" t="s">
        <v>76</v>
      </c>
      <c r="G11" s="21"/>
      <c r="H11" s="21"/>
    </row>
    <row r="12" ht="152.1" customHeight="1" spans="1:8">
      <c r="A12" s="22" t="s">
        <v>67</v>
      </c>
      <c r="B12" s="23" t="s">
        <v>68</v>
      </c>
      <c r="C12" s="22" t="s">
        <v>77</v>
      </c>
      <c r="D12" s="22" t="s">
        <v>78</v>
      </c>
      <c r="E12" s="22" t="s">
        <v>79</v>
      </c>
      <c r="F12" s="67" t="s">
        <v>80</v>
      </c>
      <c r="G12" s="21"/>
      <c r="H12" s="21"/>
    </row>
    <row r="13" ht="134.1" customHeight="1" spans="1:8">
      <c r="A13" s="22" t="s">
        <v>67</v>
      </c>
      <c r="B13" s="23" t="s">
        <v>68</v>
      </c>
      <c r="C13" s="22" t="s">
        <v>81</v>
      </c>
      <c r="D13" s="22" t="s">
        <v>82</v>
      </c>
      <c r="E13" s="22" t="s">
        <v>83</v>
      </c>
      <c r="F13" s="67" t="s">
        <v>84</v>
      </c>
      <c r="G13" s="21"/>
      <c r="H13" s="21"/>
    </row>
    <row r="14" ht="69.95" customHeight="1" spans="1:8">
      <c r="A14" s="22" t="s">
        <v>67</v>
      </c>
      <c r="B14" s="23" t="s">
        <v>68</v>
      </c>
      <c r="C14" s="22" t="s">
        <v>85</v>
      </c>
      <c r="D14" s="22" t="s">
        <v>86</v>
      </c>
      <c r="E14" s="22" t="s">
        <v>87</v>
      </c>
      <c r="F14" s="22" t="s">
        <v>88</v>
      </c>
      <c r="G14" s="21"/>
      <c r="H14" s="21"/>
    </row>
    <row r="15" ht="68.1" customHeight="1" spans="1:8">
      <c r="A15" s="22" t="s">
        <v>67</v>
      </c>
      <c r="B15" s="23" t="s">
        <v>68</v>
      </c>
      <c r="C15" s="22" t="s">
        <v>89</v>
      </c>
      <c r="D15" s="22" t="s">
        <v>90</v>
      </c>
      <c r="E15" s="22" t="s">
        <v>91</v>
      </c>
      <c r="F15" s="22" t="s">
        <v>92</v>
      </c>
      <c r="G15" s="21"/>
      <c r="H15" s="21"/>
    </row>
    <row r="16" ht="36" spans="1:8">
      <c r="A16" s="22" t="s">
        <v>93</v>
      </c>
      <c r="B16" s="23" t="s">
        <v>94</v>
      </c>
      <c r="C16" s="22" t="s">
        <v>95</v>
      </c>
      <c r="D16" s="22" t="s">
        <v>96</v>
      </c>
      <c r="E16" s="22" t="s">
        <v>97</v>
      </c>
      <c r="F16" s="22" t="s">
        <v>98</v>
      </c>
      <c r="G16" s="21"/>
      <c r="H16" s="21"/>
    </row>
    <row r="17" ht="73.5" customHeight="1" spans="1:8">
      <c r="A17" s="22" t="s">
        <v>93</v>
      </c>
      <c r="B17" s="23" t="s">
        <v>94</v>
      </c>
      <c r="C17" s="22" t="s">
        <v>99</v>
      </c>
      <c r="D17" s="22" t="s">
        <v>100</v>
      </c>
      <c r="E17" s="22" t="s">
        <v>101</v>
      </c>
      <c r="F17" s="22" t="s">
        <v>92</v>
      </c>
      <c r="G17" s="21"/>
      <c r="H17" s="21"/>
    </row>
    <row r="18" ht="73.5" customHeight="1" spans="1:8">
      <c r="A18" s="22" t="s">
        <v>93</v>
      </c>
      <c r="B18" s="23" t="s">
        <v>94</v>
      </c>
      <c r="C18" s="22" t="s">
        <v>102</v>
      </c>
      <c r="D18" s="22" t="s">
        <v>103</v>
      </c>
      <c r="E18" s="22" t="s">
        <v>104</v>
      </c>
      <c r="F18" s="22" t="s">
        <v>105</v>
      </c>
      <c r="G18" s="21"/>
      <c r="H18" s="21"/>
    </row>
    <row r="19" ht="157.5" customHeight="1" spans="1:8">
      <c r="A19" s="22" t="s">
        <v>93</v>
      </c>
      <c r="B19" s="23" t="s">
        <v>94</v>
      </c>
      <c r="C19" s="22" t="s">
        <v>106</v>
      </c>
      <c r="D19" s="22" t="s">
        <v>107</v>
      </c>
      <c r="E19" s="22" t="s">
        <v>108</v>
      </c>
      <c r="F19" s="67" t="s">
        <v>80</v>
      </c>
      <c r="G19" s="21"/>
      <c r="H19" s="21"/>
    </row>
    <row r="20" ht="59.45" customHeight="1" spans="1:8">
      <c r="A20" s="22" t="s">
        <v>93</v>
      </c>
      <c r="B20" s="23" t="s">
        <v>94</v>
      </c>
      <c r="C20" s="22" t="s">
        <v>109</v>
      </c>
      <c r="D20" s="22" t="s">
        <v>110</v>
      </c>
      <c r="E20" s="22" t="s">
        <v>111</v>
      </c>
      <c r="F20" s="22" t="s">
        <v>98</v>
      </c>
      <c r="G20" s="21"/>
      <c r="H20" s="21"/>
    </row>
    <row r="21" ht="83.1" customHeight="1" spans="1:8">
      <c r="A21" s="22" t="s">
        <v>93</v>
      </c>
      <c r="B21" s="23" t="s">
        <v>94</v>
      </c>
      <c r="C21" s="22" t="s">
        <v>112</v>
      </c>
      <c r="D21" s="22" t="s">
        <v>113</v>
      </c>
      <c r="E21" s="22" t="s">
        <v>114</v>
      </c>
      <c r="F21" s="22" t="s">
        <v>92</v>
      </c>
      <c r="G21" s="21"/>
      <c r="H21" s="21"/>
    </row>
    <row r="22" ht="49.5" customHeight="1" spans="1:8">
      <c r="A22" s="22" t="s">
        <v>93</v>
      </c>
      <c r="B22" s="23" t="s">
        <v>94</v>
      </c>
      <c r="C22" s="22" t="s">
        <v>115</v>
      </c>
      <c r="D22" s="22" t="s">
        <v>116</v>
      </c>
      <c r="E22" s="22" t="s">
        <v>117</v>
      </c>
      <c r="F22" s="22" t="s">
        <v>98</v>
      </c>
      <c r="G22" s="21"/>
      <c r="H22" s="21"/>
    </row>
    <row r="23" ht="63.6" customHeight="1" spans="1:8">
      <c r="A23" s="22" t="s">
        <v>93</v>
      </c>
      <c r="B23" s="23" t="s">
        <v>94</v>
      </c>
      <c r="C23" s="22" t="s">
        <v>118</v>
      </c>
      <c r="D23" s="22" t="s">
        <v>119</v>
      </c>
      <c r="E23" s="22" t="s">
        <v>120</v>
      </c>
      <c r="F23" s="22" t="s">
        <v>98</v>
      </c>
      <c r="G23" s="21"/>
      <c r="H23" s="21"/>
    </row>
    <row r="24" ht="46.5" customHeight="1" spans="1:8">
      <c r="A24" s="22" t="s">
        <v>93</v>
      </c>
      <c r="B24" s="23" t="s">
        <v>94</v>
      </c>
      <c r="C24" s="22" t="s">
        <v>121</v>
      </c>
      <c r="D24" s="22" t="s">
        <v>122</v>
      </c>
      <c r="E24" s="22" t="s">
        <v>97</v>
      </c>
      <c r="F24" s="22" t="s">
        <v>98</v>
      </c>
      <c r="G24" s="21"/>
      <c r="H24" s="21"/>
    </row>
    <row r="25" ht="79.5" customHeight="1" spans="1:8">
      <c r="A25" s="22" t="s">
        <v>93</v>
      </c>
      <c r="B25" s="23" t="s">
        <v>94</v>
      </c>
      <c r="C25" s="22" t="s">
        <v>123</v>
      </c>
      <c r="D25" s="22" t="s">
        <v>124</v>
      </c>
      <c r="E25" s="22" t="s">
        <v>125</v>
      </c>
      <c r="F25" s="22" t="s">
        <v>105</v>
      </c>
      <c r="G25" s="21"/>
      <c r="H25" s="21"/>
    </row>
    <row r="26" ht="59.45" customHeight="1" spans="1:8">
      <c r="A26" s="22" t="s">
        <v>93</v>
      </c>
      <c r="B26" s="23" t="s">
        <v>94</v>
      </c>
      <c r="C26" s="22" t="s">
        <v>126</v>
      </c>
      <c r="D26" s="22" t="s">
        <v>127</v>
      </c>
      <c r="E26" s="22" t="s">
        <v>128</v>
      </c>
      <c r="F26" s="22" t="s">
        <v>98</v>
      </c>
      <c r="G26" s="21"/>
      <c r="H26" s="21"/>
    </row>
    <row r="27" ht="43.5" customHeight="1" spans="1:8">
      <c r="A27" s="22" t="s">
        <v>93</v>
      </c>
      <c r="B27" s="23" t="s">
        <v>94</v>
      </c>
      <c r="C27" s="22" t="s">
        <v>129</v>
      </c>
      <c r="D27" s="22" t="s">
        <v>130</v>
      </c>
      <c r="E27" s="22" t="s">
        <v>131</v>
      </c>
      <c r="F27" s="22" t="s">
        <v>98</v>
      </c>
      <c r="G27" s="21"/>
      <c r="H27" s="21"/>
    </row>
    <row r="28" ht="43.5" customHeight="1" spans="1:8">
      <c r="A28" s="22" t="s">
        <v>93</v>
      </c>
      <c r="B28" s="23" t="s">
        <v>94</v>
      </c>
      <c r="C28" s="22" t="s">
        <v>132</v>
      </c>
      <c r="D28" s="22" t="s">
        <v>133</v>
      </c>
      <c r="E28" s="22" t="s">
        <v>131</v>
      </c>
      <c r="F28" s="22" t="s">
        <v>98</v>
      </c>
      <c r="G28" s="21"/>
      <c r="H28" s="21"/>
    </row>
    <row r="29" ht="43.5" customHeight="1" spans="1:8">
      <c r="A29" s="22" t="s">
        <v>93</v>
      </c>
      <c r="B29" s="23" t="s">
        <v>94</v>
      </c>
      <c r="C29" s="22" t="s">
        <v>134</v>
      </c>
      <c r="D29" s="22" t="s">
        <v>135</v>
      </c>
      <c r="E29" s="22" t="s">
        <v>131</v>
      </c>
      <c r="F29" s="22" t="s">
        <v>98</v>
      </c>
      <c r="G29" s="21"/>
      <c r="H29" s="21"/>
    </row>
    <row r="30" ht="43.5" customHeight="1" spans="1:8">
      <c r="A30" s="22" t="s">
        <v>93</v>
      </c>
      <c r="B30" s="23" t="s">
        <v>94</v>
      </c>
      <c r="C30" s="22" t="s">
        <v>136</v>
      </c>
      <c r="D30" s="22" t="s">
        <v>137</v>
      </c>
      <c r="E30" s="22" t="s">
        <v>131</v>
      </c>
      <c r="F30" s="22" t="s">
        <v>98</v>
      </c>
      <c r="G30" s="21"/>
      <c r="H30" s="21"/>
    </row>
    <row r="31" ht="43.5" customHeight="1" spans="1:8">
      <c r="A31" s="22" t="s">
        <v>93</v>
      </c>
      <c r="B31" s="23" t="s">
        <v>94</v>
      </c>
      <c r="C31" s="22" t="s">
        <v>138</v>
      </c>
      <c r="D31" s="22" t="s">
        <v>139</v>
      </c>
      <c r="E31" s="22" t="s">
        <v>131</v>
      </c>
      <c r="F31" s="22" t="s">
        <v>98</v>
      </c>
      <c r="G31" s="21"/>
      <c r="H31" s="21"/>
    </row>
    <row r="32" ht="43.5" customHeight="1" spans="1:8">
      <c r="A32" s="22" t="s">
        <v>93</v>
      </c>
      <c r="B32" s="23" t="s">
        <v>94</v>
      </c>
      <c r="C32" s="22" t="s">
        <v>140</v>
      </c>
      <c r="D32" s="22" t="s">
        <v>141</v>
      </c>
      <c r="E32" s="22" t="s">
        <v>131</v>
      </c>
      <c r="F32" s="22" t="s">
        <v>98</v>
      </c>
      <c r="G32" s="21"/>
      <c r="H32" s="21"/>
    </row>
    <row r="33" ht="42" customHeight="1" spans="1:8">
      <c r="A33" s="22" t="s">
        <v>93</v>
      </c>
      <c r="B33" s="23" t="s">
        <v>94</v>
      </c>
      <c r="C33" s="22" t="s">
        <v>142</v>
      </c>
      <c r="D33" s="22" t="s">
        <v>143</v>
      </c>
      <c r="E33" s="22" t="s">
        <v>97</v>
      </c>
      <c r="F33" s="22" t="s">
        <v>98</v>
      </c>
      <c r="G33" s="21"/>
      <c r="H33" s="21"/>
    </row>
    <row r="34" ht="72" spans="1:8">
      <c r="A34" s="22" t="s">
        <v>93</v>
      </c>
      <c r="B34" s="23" t="s">
        <v>94</v>
      </c>
      <c r="C34" s="22" t="s">
        <v>144</v>
      </c>
      <c r="D34" s="22" t="s">
        <v>145</v>
      </c>
      <c r="E34" s="22" t="s">
        <v>146</v>
      </c>
      <c r="F34" s="22" t="s">
        <v>147</v>
      </c>
      <c r="G34" s="21"/>
      <c r="H34" s="21"/>
    </row>
    <row r="35" ht="126.75" customHeight="1" spans="1:8">
      <c r="A35" s="22" t="s">
        <v>148</v>
      </c>
      <c r="B35" s="23" t="s">
        <v>149</v>
      </c>
      <c r="C35" s="22" t="s">
        <v>150</v>
      </c>
      <c r="D35" s="22" t="s">
        <v>151</v>
      </c>
      <c r="E35" s="22" t="s">
        <v>152</v>
      </c>
      <c r="F35" s="22" t="s">
        <v>153</v>
      </c>
      <c r="G35" s="21"/>
      <c r="H35" s="21"/>
    </row>
    <row r="36" ht="72" spans="1:8">
      <c r="A36" s="22" t="s">
        <v>148</v>
      </c>
      <c r="B36" s="23" t="s">
        <v>149</v>
      </c>
      <c r="C36" s="22" t="s">
        <v>154</v>
      </c>
      <c r="D36" s="22" t="s">
        <v>155</v>
      </c>
      <c r="E36" s="22" t="s">
        <v>156</v>
      </c>
      <c r="F36" s="22" t="s">
        <v>153</v>
      </c>
      <c r="G36" s="21"/>
      <c r="H36" s="21"/>
    </row>
    <row r="37" ht="72" spans="1:8">
      <c r="A37" s="22" t="s">
        <v>148</v>
      </c>
      <c r="B37" s="23" t="s">
        <v>157</v>
      </c>
      <c r="C37" s="22" t="s">
        <v>158</v>
      </c>
      <c r="D37" s="22" t="s">
        <v>159</v>
      </c>
      <c r="E37" s="22" t="s">
        <v>160</v>
      </c>
      <c r="F37" s="22" t="s">
        <v>153</v>
      </c>
      <c r="G37" s="21"/>
      <c r="H37" s="21"/>
    </row>
    <row r="38" ht="72" spans="1:8">
      <c r="A38" s="22" t="s">
        <v>148</v>
      </c>
      <c r="B38" s="23" t="s">
        <v>157</v>
      </c>
      <c r="C38" s="22" t="s">
        <v>161</v>
      </c>
      <c r="D38" s="22" t="s">
        <v>162</v>
      </c>
      <c r="E38" s="22" t="s">
        <v>163</v>
      </c>
      <c r="F38" s="22" t="s">
        <v>153</v>
      </c>
      <c r="G38" s="21"/>
      <c r="H38" s="21"/>
    </row>
    <row r="39" ht="72" spans="1:8">
      <c r="A39" s="22" t="s">
        <v>148</v>
      </c>
      <c r="B39" s="23" t="s">
        <v>164</v>
      </c>
      <c r="C39" s="22" t="s">
        <v>165</v>
      </c>
      <c r="D39" s="22" t="s">
        <v>166</v>
      </c>
      <c r="E39" s="22" t="s">
        <v>167</v>
      </c>
      <c r="F39" s="22" t="s">
        <v>153</v>
      </c>
      <c r="G39" s="21"/>
      <c r="H39" s="21"/>
    </row>
    <row r="40" ht="72" spans="1:8">
      <c r="A40" s="22" t="s">
        <v>148</v>
      </c>
      <c r="B40" s="23" t="s">
        <v>164</v>
      </c>
      <c r="C40" s="22" t="s">
        <v>168</v>
      </c>
      <c r="D40" s="22" t="s">
        <v>169</v>
      </c>
      <c r="E40" s="22" t="s">
        <v>170</v>
      </c>
      <c r="F40" s="22" t="s">
        <v>153</v>
      </c>
      <c r="G40" s="21"/>
      <c r="H40" s="21"/>
    </row>
    <row r="41" ht="117.75" customHeight="1" spans="1:8">
      <c r="A41" s="22" t="s">
        <v>148</v>
      </c>
      <c r="B41" s="23" t="s">
        <v>171</v>
      </c>
      <c r="C41" s="22" t="s">
        <v>172</v>
      </c>
      <c r="D41" s="22" t="s">
        <v>173</v>
      </c>
      <c r="E41" s="22" t="s">
        <v>174</v>
      </c>
      <c r="F41" s="22" t="s">
        <v>153</v>
      </c>
      <c r="G41" s="21"/>
      <c r="H41" s="21"/>
    </row>
    <row r="42" ht="111.75" customHeight="1" spans="1:8">
      <c r="A42" s="22" t="s">
        <v>148</v>
      </c>
      <c r="B42" s="23" t="s">
        <v>171</v>
      </c>
      <c r="C42" s="22" t="s">
        <v>175</v>
      </c>
      <c r="D42" s="22" t="s">
        <v>176</v>
      </c>
      <c r="E42" s="22" t="s">
        <v>177</v>
      </c>
      <c r="F42" s="22" t="s">
        <v>178</v>
      </c>
      <c r="G42" s="21"/>
      <c r="H42" s="21"/>
    </row>
    <row r="43" ht="87.6" customHeight="1" spans="1:8">
      <c r="A43" s="22" t="s">
        <v>148</v>
      </c>
      <c r="B43" s="23" t="s">
        <v>179</v>
      </c>
      <c r="C43" s="22" t="s">
        <v>180</v>
      </c>
      <c r="D43" s="22" t="s">
        <v>181</v>
      </c>
      <c r="E43" s="22" t="s">
        <v>182</v>
      </c>
      <c r="F43" s="22" t="s">
        <v>105</v>
      </c>
      <c r="G43" s="21"/>
      <c r="H43" s="21"/>
    </row>
    <row r="44" ht="72" spans="1:8">
      <c r="A44" s="22" t="s">
        <v>148</v>
      </c>
      <c r="B44" s="23" t="s">
        <v>179</v>
      </c>
      <c r="C44" s="22" t="s">
        <v>183</v>
      </c>
      <c r="D44" s="22" t="s">
        <v>184</v>
      </c>
      <c r="E44" s="22" t="s">
        <v>185</v>
      </c>
      <c r="F44" s="22" t="s">
        <v>153</v>
      </c>
      <c r="G44" s="21"/>
      <c r="H44" s="21"/>
    </row>
    <row r="45" ht="72" spans="1:8">
      <c r="A45" s="22" t="s">
        <v>148</v>
      </c>
      <c r="B45" s="23" t="s">
        <v>186</v>
      </c>
      <c r="C45" s="22" t="s">
        <v>187</v>
      </c>
      <c r="D45" s="22" t="s">
        <v>188</v>
      </c>
      <c r="E45" s="22" t="s">
        <v>189</v>
      </c>
      <c r="F45" s="22" t="s">
        <v>153</v>
      </c>
      <c r="G45" s="21"/>
      <c r="H45" s="21"/>
    </row>
    <row r="46" ht="138.6" customHeight="1" spans="1:8">
      <c r="A46" s="24" t="s">
        <v>190</v>
      </c>
      <c r="B46" s="25" t="s">
        <v>191</v>
      </c>
      <c r="C46" s="24" t="s">
        <v>192</v>
      </c>
      <c r="D46" s="24" t="s">
        <v>193</v>
      </c>
      <c r="E46" s="24" t="s">
        <v>194</v>
      </c>
      <c r="F46" s="24" t="s">
        <v>72</v>
      </c>
      <c r="G46" s="21"/>
      <c r="H46" s="21"/>
    </row>
    <row r="47" ht="110.45" customHeight="1" spans="1:8">
      <c r="A47" s="24" t="s">
        <v>190</v>
      </c>
      <c r="B47" s="25" t="s">
        <v>191</v>
      </c>
      <c r="C47" s="24" t="s">
        <v>195</v>
      </c>
      <c r="D47" s="24" t="s">
        <v>196</v>
      </c>
      <c r="E47" s="24" t="s">
        <v>197</v>
      </c>
      <c r="F47" s="24" t="s">
        <v>198</v>
      </c>
      <c r="G47" s="21"/>
      <c r="H47" s="21"/>
    </row>
    <row r="48" ht="96.6" customHeight="1" spans="1:8">
      <c r="A48" s="24" t="s">
        <v>190</v>
      </c>
      <c r="B48" s="25" t="s">
        <v>191</v>
      </c>
      <c r="C48" s="24" t="s">
        <v>199</v>
      </c>
      <c r="D48" s="24" t="s">
        <v>200</v>
      </c>
      <c r="E48" s="24" t="s">
        <v>201</v>
      </c>
      <c r="F48" s="24" t="s">
        <v>105</v>
      </c>
      <c r="G48" s="21"/>
      <c r="H48" s="21"/>
    </row>
    <row r="49" ht="81" customHeight="1" spans="1:8">
      <c r="A49" s="24" t="s">
        <v>190</v>
      </c>
      <c r="B49" s="25" t="s">
        <v>191</v>
      </c>
      <c r="C49" s="24" t="s">
        <v>202</v>
      </c>
      <c r="D49" s="24" t="s">
        <v>203</v>
      </c>
      <c r="E49" s="24" t="s">
        <v>204</v>
      </c>
      <c r="F49" s="24" t="s">
        <v>105</v>
      </c>
      <c r="G49" s="21"/>
      <c r="H49" s="21"/>
    </row>
    <row r="50" ht="49.5" customHeight="1" spans="1:8">
      <c r="A50" s="24" t="s">
        <v>190</v>
      </c>
      <c r="B50" s="25" t="s">
        <v>191</v>
      </c>
      <c r="C50" s="24" t="s">
        <v>205</v>
      </c>
      <c r="D50" s="24" t="s">
        <v>206</v>
      </c>
      <c r="E50" s="24" t="s">
        <v>97</v>
      </c>
      <c r="F50" s="24" t="s">
        <v>98</v>
      </c>
      <c r="G50" s="21"/>
      <c r="H50" s="21"/>
    </row>
    <row r="51" ht="49.5" customHeight="1" spans="1:8">
      <c r="A51" s="24" t="s">
        <v>190</v>
      </c>
      <c r="B51" s="25" t="s">
        <v>191</v>
      </c>
      <c r="C51" s="24" t="s">
        <v>207</v>
      </c>
      <c r="D51" s="24" t="s">
        <v>208</v>
      </c>
      <c r="E51" s="24" t="s">
        <v>97</v>
      </c>
      <c r="F51" s="24" t="s">
        <v>98</v>
      </c>
      <c r="G51" s="21"/>
      <c r="H51" s="21"/>
    </row>
    <row r="52" ht="95.45" customHeight="1" spans="1:8">
      <c r="A52" s="24" t="s">
        <v>190</v>
      </c>
      <c r="B52" s="25" t="s">
        <v>191</v>
      </c>
      <c r="C52" s="24" t="s">
        <v>209</v>
      </c>
      <c r="D52" s="24" t="s">
        <v>210</v>
      </c>
      <c r="E52" s="24" t="s">
        <v>211</v>
      </c>
      <c r="F52" s="24" t="s">
        <v>212</v>
      </c>
      <c r="G52" s="21"/>
      <c r="H52" s="21"/>
    </row>
    <row r="53" ht="49.5" customHeight="1" spans="1:8">
      <c r="A53" s="24" t="s">
        <v>190</v>
      </c>
      <c r="B53" s="25" t="s">
        <v>191</v>
      </c>
      <c r="C53" s="24" t="s">
        <v>213</v>
      </c>
      <c r="D53" s="24" t="s">
        <v>214</v>
      </c>
      <c r="E53" s="24" t="s">
        <v>97</v>
      </c>
      <c r="F53" s="24" t="s">
        <v>98</v>
      </c>
      <c r="G53" s="21"/>
      <c r="H53" s="21"/>
    </row>
    <row r="54" ht="90" customHeight="1" spans="1:8">
      <c r="A54" s="24" t="s">
        <v>190</v>
      </c>
      <c r="B54" s="25" t="s">
        <v>191</v>
      </c>
      <c r="C54" s="24" t="s">
        <v>215</v>
      </c>
      <c r="D54" s="24" t="s">
        <v>216</v>
      </c>
      <c r="E54" s="24" t="s">
        <v>217</v>
      </c>
      <c r="F54" s="24" t="s">
        <v>92</v>
      </c>
      <c r="G54" s="21"/>
      <c r="H54" s="21"/>
    </row>
    <row r="55" ht="63" customHeight="1" spans="1:8">
      <c r="A55" s="24" t="s">
        <v>190</v>
      </c>
      <c r="B55" s="25" t="s">
        <v>191</v>
      </c>
      <c r="C55" s="24" t="s">
        <v>218</v>
      </c>
      <c r="D55" s="24" t="s">
        <v>219</v>
      </c>
      <c r="E55" s="24" t="s">
        <v>220</v>
      </c>
      <c r="F55" s="24" t="s">
        <v>98</v>
      </c>
      <c r="G55" s="21"/>
      <c r="H55" s="21"/>
    </row>
    <row r="56" ht="48" spans="1:8">
      <c r="A56" s="24" t="s">
        <v>221</v>
      </c>
      <c r="B56" s="25" t="s">
        <v>222</v>
      </c>
      <c r="C56" s="24" t="s">
        <v>223</v>
      </c>
      <c r="D56" s="24" t="s">
        <v>224</v>
      </c>
      <c r="E56" s="24" t="s">
        <v>97</v>
      </c>
      <c r="F56" s="24" t="s">
        <v>98</v>
      </c>
      <c r="G56" s="21"/>
      <c r="H56" s="21"/>
    </row>
    <row r="57" ht="85.5" customHeight="1" spans="1:8">
      <c r="A57" s="24" t="s">
        <v>221</v>
      </c>
      <c r="B57" s="25" t="s">
        <v>222</v>
      </c>
      <c r="C57" s="24" t="s">
        <v>225</v>
      </c>
      <c r="D57" s="24" t="s">
        <v>226</v>
      </c>
      <c r="E57" s="24" t="s">
        <v>227</v>
      </c>
      <c r="F57" s="24" t="s">
        <v>92</v>
      </c>
      <c r="G57" s="21"/>
      <c r="H57" s="21"/>
    </row>
    <row r="58" ht="77.25" customHeight="1" spans="1:8">
      <c r="A58" s="24" t="s">
        <v>221</v>
      </c>
      <c r="B58" s="25" t="s">
        <v>222</v>
      </c>
      <c r="C58" s="24" t="s">
        <v>228</v>
      </c>
      <c r="D58" s="24" t="s">
        <v>229</v>
      </c>
      <c r="E58" s="24" t="s">
        <v>230</v>
      </c>
      <c r="F58" s="24" t="s">
        <v>105</v>
      </c>
      <c r="G58" s="21"/>
      <c r="H58" s="21"/>
    </row>
    <row r="59" ht="131.25" customHeight="1" spans="1:8">
      <c r="A59" s="24" t="s">
        <v>221</v>
      </c>
      <c r="B59" s="25" t="s">
        <v>222</v>
      </c>
      <c r="C59" s="24" t="s">
        <v>231</v>
      </c>
      <c r="D59" s="24" t="s">
        <v>232</v>
      </c>
      <c r="E59" s="24" t="s">
        <v>233</v>
      </c>
      <c r="F59" s="68" t="s">
        <v>234</v>
      </c>
      <c r="G59" s="21"/>
      <c r="H59" s="21"/>
    </row>
    <row r="60" ht="48" spans="1:8">
      <c r="A60" s="24" t="s">
        <v>221</v>
      </c>
      <c r="B60" s="25" t="s">
        <v>222</v>
      </c>
      <c r="C60" s="24" t="s">
        <v>235</v>
      </c>
      <c r="D60" s="24" t="s">
        <v>236</v>
      </c>
      <c r="E60" s="24" t="s">
        <v>97</v>
      </c>
      <c r="F60" s="24" t="s">
        <v>98</v>
      </c>
      <c r="G60" s="21"/>
      <c r="H60" s="21"/>
    </row>
    <row r="61" ht="119.25" customHeight="1" spans="1:8">
      <c r="A61" s="24" t="s">
        <v>221</v>
      </c>
      <c r="B61" s="25" t="s">
        <v>222</v>
      </c>
      <c r="C61" s="24" t="s">
        <v>237</v>
      </c>
      <c r="D61" s="24" t="s">
        <v>238</v>
      </c>
      <c r="E61" s="24" t="s">
        <v>239</v>
      </c>
      <c r="F61" s="68" t="s">
        <v>240</v>
      </c>
      <c r="G61" s="21"/>
      <c r="H61" s="21"/>
    </row>
    <row r="62" ht="94.5" customHeight="1" spans="1:8">
      <c r="A62" s="24" t="s">
        <v>221</v>
      </c>
      <c r="B62" s="25" t="s">
        <v>222</v>
      </c>
      <c r="C62" s="24" t="s">
        <v>241</v>
      </c>
      <c r="D62" s="24" t="s">
        <v>242</v>
      </c>
      <c r="E62" s="24" t="s">
        <v>243</v>
      </c>
      <c r="F62" s="24" t="s">
        <v>244</v>
      </c>
      <c r="G62" s="21"/>
      <c r="H62" s="21"/>
    </row>
    <row r="63" ht="75.95" customHeight="1" spans="1:8">
      <c r="A63" s="24" t="s">
        <v>221</v>
      </c>
      <c r="B63" s="25" t="s">
        <v>222</v>
      </c>
      <c r="C63" s="24" t="s">
        <v>245</v>
      </c>
      <c r="D63" s="24" t="s">
        <v>246</v>
      </c>
      <c r="E63" s="24" t="s">
        <v>97</v>
      </c>
      <c r="F63" s="24" t="s">
        <v>98</v>
      </c>
      <c r="G63" s="21"/>
      <c r="H63" s="21"/>
    </row>
    <row r="64" ht="90" customHeight="1" spans="1:8">
      <c r="A64" s="24" t="s">
        <v>221</v>
      </c>
      <c r="B64" s="25" t="s">
        <v>222</v>
      </c>
      <c r="C64" s="24" t="s">
        <v>247</v>
      </c>
      <c r="D64" s="24" t="s">
        <v>248</v>
      </c>
      <c r="E64" s="24" t="s">
        <v>249</v>
      </c>
      <c r="F64" s="24" t="s">
        <v>250</v>
      </c>
      <c r="G64" s="21"/>
      <c r="H64" s="21"/>
    </row>
    <row r="65" ht="48" spans="1:8">
      <c r="A65" s="24" t="s">
        <v>221</v>
      </c>
      <c r="B65" s="25" t="s">
        <v>222</v>
      </c>
      <c r="C65" s="24" t="s">
        <v>251</v>
      </c>
      <c r="D65" s="24" t="s">
        <v>252</v>
      </c>
      <c r="E65" s="24" t="s">
        <v>253</v>
      </c>
      <c r="F65" s="24" t="s">
        <v>98</v>
      </c>
      <c r="G65" s="21"/>
      <c r="H65" s="21"/>
    </row>
    <row r="66" ht="107.25" customHeight="1" spans="1:8">
      <c r="A66" s="24" t="s">
        <v>221</v>
      </c>
      <c r="B66" s="25" t="s">
        <v>222</v>
      </c>
      <c r="C66" s="24" t="s">
        <v>254</v>
      </c>
      <c r="D66" s="24" t="s">
        <v>255</v>
      </c>
      <c r="E66" s="24" t="s">
        <v>256</v>
      </c>
      <c r="F66" s="68" t="s">
        <v>240</v>
      </c>
      <c r="G66" s="21"/>
      <c r="H66" s="21"/>
    </row>
    <row r="67" ht="79.5" customHeight="1" spans="1:8">
      <c r="A67" s="24" t="s">
        <v>221</v>
      </c>
      <c r="B67" s="25" t="s">
        <v>222</v>
      </c>
      <c r="C67" s="24" t="s">
        <v>257</v>
      </c>
      <c r="D67" s="24" t="s">
        <v>258</v>
      </c>
      <c r="E67" s="24" t="s">
        <v>259</v>
      </c>
      <c r="F67" s="24" t="s">
        <v>260</v>
      </c>
      <c r="G67" s="21"/>
      <c r="H67" s="21"/>
    </row>
    <row r="68" ht="71.45" customHeight="1" spans="1:8">
      <c r="A68" s="24" t="s">
        <v>221</v>
      </c>
      <c r="B68" s="25" t="s">
        <v>222</v>
      </c>
      <c r="C68" s="24" t="s">
        <v>261</v>
      </c>
      <c r="D68" s="24" t="s">
        <v>262</v>
      </c>
      <c r="E68" s="24" t="s">
        <v>97</v>
      </c>
      <c r="F68" s="24" t="s">
        <v>98</v>
      </c>
      <c r="G68" s="21"/>
      <c r="H68" s="21"/>
    </row>
    <row r="69" ht="85.5" customHeight="1" spans="1:8">
      <c r="A69" s="24" t="s">
        <v>221</v>
      </c>
      <c r="B69" s="25" t="s">
        <v>222</v>
      </c>
      <c r="C69" s="24" t="s">
        <v>263</v>
      </c>
      <c r="D69" s="24" t="s">
        <v>264</v>
      </c>
      <c r="E69" s="24" t="s">
        <v>265</v>
      </c>
      <c r="F69" s="24" t="s">
        <v>212</v>
      </c>
      <c r="G69" s="21"/>
      <c r="H69" s="21"/>
    </row>
    <row r="70" ht="60" customHeight="1" spans="1:8">
      <c r="A70" s="24" t="s">
        <v>221</v>
      </c>
      <c r="B70" s="25" t="s">
        <v>222</v>
      </c>
      <c r="C70" s="24" t="s">
        <v>266</v>
      </c>
      <c r="D70" s="24" t="s">
        <v>267</v>
      </c>
      <c r="E70" s="24" t="s">
        <v>268</v>
      </c>
      <c r="F70" s="24" t="s">
        <v>269</v>
      </c>
      <c r="G70" s="21"/>
      <c r="H70" s="21"/>
    </row>
    <row r="71" ht="48" spans="1:8">
      <c r="A71" s="24" t="s">
        <v>221</v>
      </c>
      <c r="B71" s="25" t="s">
        <v>222</v>
      </c>
      <c r="C71" s="24" t="s">
        <v>270</v>
      </c>
      <c r="D71" s="24" t="s">
        <v>271</v>
      </c>
      <c r="E71" s="24" t="s">
        <v>97</v>
      </c>
      <c r="F71" s="24" t="s">
        <v>98</v>
      </c>
      <c r="G71" s="21"/>
      <c r="H71" s="21"/>
    </row>
    <row r="72" ht="48" spans="1:8">
      <c r="A72" s="24" t="s">
        <v>221</v>
      </c>
      <c r="B72" s="25" t="s">
        <v>222</v>
      </c>
      <c r="C72" s="24" t="s">
        <v>272</v>
      </c>
      <c r="D72" s="24" t="s">
        <v>273</v>
      </c>
      <c r="E72" s="24" t="s">
        <v>97</v>
      </c>
      <c r="F72" s="24" t="s">
        <v>98</v>
      </c>
      <c r="G72" s="21"/>
      <c r="H72" s="21"/>
    </row>
    <row r="73" ht="48" spans="1:8">
      <c r="A73" s="24" t="s">
        <v>221</v>
      </c>
      <c r="B73" s="25" t="s">
        <v>222</v>
      </c>
      <c r="C73" s="24" t="s">
        <v>274</v>
      </c>
      <c r="D73" s="24" t="s">
        <v>275</v>
      </c>
      <c r="E73" s="24" t="s">
        <v>97</v>
      </c>
      <c r="F73" s="24" t="s">
        <v>98</v>
      </c>
      <c r="G73" s="21"/>
      <c r="H73" s="21"/>
    </row>
    <row r="74" ht="84" spans="1:8">
      <c r="A74" s="24" t="s">
        <v>221</v>
      </c>
      <c r="B74" s="25" t="s">
        <v>222</v>
      </c>
      <c r="C74" s="24" t="s">
        <v>276</v>
      </c>
      <c r="D74" s="24" t="s">
        <v>277</v>
      </c>
      <c r="E74" s="24" t="s">
        <v>278</v>
      </c>
      <c r="F74" s="24" t="s">
        <v>212</v>
      </c>
      <c r="G74" s="21"/>
      <c r="H74" s="21"/>
    </row>
    <row r="75" ht="57" customHeight="1" spans="1:8">
      <c r="A75" s="24" t="s">
        <v>221</v>
      </c>
      <c r="B75" s="25" t="s">
        <v>222</v>
      </c>
      <c r="C75" s="24" t="s">
        <v>279</v>
      </c>
      <c r="D75" s="24" t="s">
        <v>280</v>
      </c>
      <c r="E75" s="24" t="s">
        <v>97</v>
      </c>
      <c r="F75" s="24" t="s">
        <v>98</v>
      </c>
      <c r="G75" s="21"/>
      <c r="H75" s="21"/>
    </row>
    <row r="76" ht="57" customHeight="1" spans="1:8">
      <c r="A76" s="24" t="s">
        <v>281</v>
      </c>
      <c r="B76" s="25" t="s">
        <v>282</v>
      </c>
      <c r="C76" s="24" t="s">
        <v>283</v>
      </c>
      <c r="D76" s="24" t="s">
        <v>284</v>
      </c>
      <c r="E76" s="24" t="s">
        <v>97</v>
      </c>
      <c r="F76" s="24" t="s">
        <v>98</v>
      </c>
      <c r="G76" s="21"/>
      <c r="H76" s="21"/>
    </row>
    <row r="77" ht="57" customHeight="1" spans="1:8">
      <c r="A77" s="24" t="s">
        <v>281</v>
      </c>
      <c r="B77" s="25" t="s">
        <v>282</v>
      </c>
      <c r="C77" s="24" t="s">
        <v>285</v>
      </c>
      <c r="D77" s="24" t="s">
        <v>286</v>
      </c>
      <c r="E77" s="24" t="s">
        <v>97</v>
      </c>
      <c r="F77" s="24" t="s">
        <v>98</v>
      </c>
      <c r="G77" s="21"/>
      <c r="H77" s="21"/>
    </row>
    <row r="78" ht="110.25" customHeight="1" spans="1:8">
      <c r="A78" s="24" t="s">
        <v>281</v>
      </c>
      <c r="B78" s="25" t="s">
        <v>282</v>
      </c>
      <c r="C78" s="24" t="s">
        <v>287</v>
      </c>
      <c r="D78" s="24" t="s">
        <v>288</v>
      </c>
      <c r="E78" s="24" t="s">
        <v>289</v>
      </c>
      <c r="F78" s="24" t="s">
        <v>290</v>
      </c>
      <c r="G78" s="21"/>
      <c r="H78" s="21"/>
    </row>
    <row r="79" ht="109.5" customHeight="1" spans="1:8">
      <c r="A79" s="24" t="s">
        <v>281</v>
      </c>
      <c r="B79" s="25" t="s">
        <v>282</v>
      </c>
      <c r="C79" s="24" t="s">
        <v>291</v>
      </c>
      <c r="D79" s="24" t="s">
        <v>292</v>
      </c>
      <c r="E79" s="24" t="s">
        <v>293</v>
      </c>
      <c r="F79" s="24" t="s">
        <v>290</v>
      </c>
      <c r="G79" s="21"/>
      <c r="H79" s="21"/>
    </row>
    <row r="80" ht="43.5" customHeight="1" spans="1:8">
      <c r="A80" s="24" t="s">
        <v>281</v>
      </c>
      <c r="B80" s="25" t="s">
        <v>282</v>
      </c>
      <c r="C80" s="24" t="s">
        <v>294</v>
      </c>
      <c r="D80" s="24" t="s">
        <v>295</v>
      </c>
      <c r="E80" s="24" t="s">
        <v>97</v>
      </c>
      <c r="F80" s="24" t="s">
        <v>98</v>
      </c>
      <c r="G80" s="21"/>
      <c r="H80" s="21"/>
    </row>
    <row r="81" ht="43.5" customHeight="1" spans="1:8">
      <c r="A81" s="24" t="s">
        <v>281</v>
      </c>
      <c r="B81" s="25" t="s">
        <v>282</v>
      </c>
      <c r="C81" s="24" t="s">
        <v>296</v>
      </c>
      <c r="D81" s="24" t="s">
        <v>297</v>
      </c>
      <c r="E81" s="24" t="s">
        <v>97</v>
      </c>
      <c r="F81" s="24" t="s">
        <v>98</v>
      </c>
      <c r="G81" s="21"/>
      <c r="H81" s="21"/>
    </row>
    <row r="82" ht="43.5" customHeight="1" spans="1:8">
      <c r="A82" s="24" t="s">
        <v>281</v>
      </c>
      <c r="B82" s="25" t="s">
        <v>282</v>
      </c>
      <c r="C82" s="24" t="s">
        <v>298</v>
      </c>
      <c r="D82" s="24" t="s">
        <v>299</v>
      </c>
      <c r="E82" s="24" t="s">
        <v>300</v>
      </c>
      <c r="F82" s="24" t="s">
        <v>105</v>
      </c>
      <c r="G82" s="21"/>
      <c r="H82" s="21"/>
    </row>
    <row r="83" ht="149.1" customHeight="1" spans="1:8">
      <c r="A83" s="24" t="s">
        <v>281</v>
      </c>
      <c r="B83" s="25" t="s">
        <v>282</v>
      </c>
      <c r="C83" s="24" t="s">
        <v>301</v>
      </c>
      <c r="D83" s="24" t="s">
        <v>302</v>
      </c>
      <c r="E83" s="24" t="s">
        <v>303</v>
      </c>
      <c r="F83" s="68" t="s">
        <v>304</v>
      </c>
      <c r="G83" s="21"/>
      <c r="H83" s="21"/>
    </row>
    <row r="84" ht="48" spans="1:8">
      <c r="A84" s="24" t="s">
        <v>281</v>
      </c>
      <c r="B84" s="25" t="s">
        <v>282</v>
      </c>
      <c r="C84" s="24" t="s">
        <v>305</v>
      </c>
      <c r="D84" s="24" t="s">
        <v>306</v>
      </c>
      <c r="E84" s="24" t="s">
        <v>307</v>
      </c>
      <c r="F84" s="24" t="s">
        <v>308</v>
      </c>
      <c r="G84" s="21"/>
      <c r="H84" s="21"/>
    </row>
    <row r="85" ht="126" customHeight="1" spans="1:8">
      <c r="A85" s="24" t="s">
        <v>281</v>
      </c>
      <c r="B85" s="25" t="s">
        <v>282</v>
      </c>
      <c r="C85" s="24" t="s">
        <v>309</v>
      </c>
      <c r="D85" s="24" t="s">
        <v>310</v>
      </c>
      <c r="E85" s="24" t="s">
        <v>311</v>
      </c>
      <c r="F85" s="24" t="s">
        <v>312</v>
      </c>
      <c r="G85" s="21"/>
      <c r="H85" s="21"/>
    </row>
    <row r="86" ht="65.25" customHeight="1" spans="1:8">
      <c r="A86" s="26" t="s">
        <v>313</v>
      </c>
      <c r="B86" s="27" t="s">
        <v>314</v>
      </c>
      <c r="C86" s="26" t="s">
        <v>315</v>
      </c>
      <c r="D86" s="26" t="s">
        <v>316</v>
      </c>
      <c r="E86" s="26" t="s">
        <v>97</v>
      </c>
      <c r="F86" s="26" t="s">
        <v>98</v>
      </c>
      <c r="G86" s="21"/>
      <c r="H86" s="21"/>
    </row>
    <row r="87" ht="81" customHeight="1" spans="1:8">
      <c r="A87" s="26" t="s">
        <v>313</v>
      </c>
      <c r="B87" s="27" t="s">
        <v>314</v>
      </c>
      <c r="C87" s="26" t="s">
        <v>317</v>
      </c>
      <c r="D87" s="26" t="s">
        <v>318</v>
      </c>
      <c r="E87" s="26" t="s">
        <v>97</v>
      </c>
      <c r="F87" s="26" t="s">
        <v>98</v>
      </c>
      <c r="G87" s="21"/>
      <c r="H87" s="21"/>
    </row>
    <row r="88" ht="58.5" customHeight="1" spans="1:8">
      <c r="A88" s="26" t="s">
        <v>313</v>
      </c>
      <c r="B88" s="27" t="s">
        <v>314</v>
      </c>
      <c r="C88" s="26" t="s">
        <v>319</v>
      </c>
      <c r="D88" s="26" t="s">
        <v>320</v>
      </c>
      <c r="E88" s="26" t="s">
        <v>97</v>
      </c>
      <c r="F88" s="26" t="s">
        <v>98</v>
      </c>
      <c r="G88" s="21"/>
      <c r="H88" s="21"/>
    </row>
    <row r="89" ht="52.5" customHeight="1" spans="1:8">
      <c r="A89" s="26" t="s">
        <v>313</v>
      </c>
      <c r="B89" s="27" t="s">
        <v>314</v>
      </c>
      <c r="C89" s="26" t="s">
        <v>321</v>
      </c>
      <c r="D89" s="26" t="s">
        <v>322</v>
      </c>
      <c r="E89" s="26" t="s">
        <v>97</v>
      </c>
      <c r="F89" s="26" t="s">
        <v>98</v>
      </c>
      <c r="G89" s="21"/>
      <c r="H89" s="21"/>
    </row>
    <row r="90" ht="52.5" customHeight="1" spans="1:8">
      <c r="A90" s="26" t="s">
        <v>313</v>
      </c>
      <c r="B90" s="27" t="s">
        <v>314</v>
      </c>
      <c r="C90" s="26" t="s">
        <v>323</v>
      </c>
      <c r="D90" s="26" t="s">
        <v>324</v>
      </c>
      <c r="E90" s="26" t="s">
        <v>97</v>
      </c>
      <c r="F90" s="26" t="s">
        <v>98</v>
      </c>
      <c r="G90" s="21"/>
      <c r="H90" s="21"/>
    </row>
    <row r="91" ht="52.5" customHeight="1" spans="1:8">
      <c r="A91" s="26" t="s">
        <v>313</v>
      </c>
      <c r="B91" s="27" t="s">
        <v>314</v>
      </c>
      <c r="C91" s="26" t="s">
        <v>325</v>
      </c>
      <c r="D91" s="26" t="s">
        <v>326</v>
      </c>
      <c r="E91" s="26" t="s">
        <v>97</v>
      </c>
      <c r="F91" s="26" t="s">
        <v>98</v>
      </c>
      <c r="G91" s="21"/>
      <c r="H91" s="21"/>
    </row>
    <row r="92" ht="52.5" customHeight="1" spans="1:8">
      <c r="A92" s="26" t="s">
        <v>313</v>
      </c>
      <c r="B92" s="27" t="s">
        <v>314</v>
      </c>
      <c r="C92" s="26" t="s">
        <v>327</v>
      </c>
      <c r="D92" s="26" t="s">
        <v>328</v>
      </c>
      <c r="E92" s="26" t="s">
        <v>97</v>
      </c>
      <c r="F92" s="26" t="s">
        <v>98</v>
      </c>
      <c r="G92" s="21"/>
      <c r="H92" s="21"/>
    </row>
    <row r="93" ht="52.5" customHeight="1" spans="1:8">
      <c r="A93" s="26" t="s">
        <v>313</v>
      </c>
      <c r="B93" s="27" t="s">
        <v>314</v>
      </c>
      <c r="C93" s="26" t="s">
        <v>329</v>
      </c>
      <c r="D93" s="26" t="s">
        <v>330</v>
      </c>
      <c r="E93" s="26" t="s">
        <v>97</v>
      </c>
      <c r="F93" s="26" t="s">
        <v>98</v>
      </c>
      <c r="G93" s="21"/>
      <c r="H93" s="21"/>
    </row>
    <row r="94" ht="51.75" customHeight="1" spans="1:8">
      <c r="A94" s="26" t="s">
        <v>313</v>
      </c>
      <c r="B94" s="27" t="s">
        <v>314</v>
      </c>
      <c r="C94" s="26" t="s">
        <v>331</v>
      </c>
      <c r="D94" s="26" t="s">
        <v>332</v>
      </c>
      <c r="E94" s="26" t="s">
        <v>97</v>
      </c>
      <c r="F94" s="26" t="s">
        <v>98</v>
      </c>
      <c r="G94" s="21"/>
      <c r="H94" s="21"/>
    </row>
    <row r="95" ht="51.75" customHeight="1" spans="1:8">
      <c r="A95" s="26" t="s">
        <v>333</v>
      </c>
      <c r="B95" s="27" t="s">
        <v>334</v>
      </c>
      <c r="C95" s="26" t="s">
        <v>335</v>
      </c>
      <c r="D95" s="26" t="s">
        <v>336</v>
      </c>
      <c r="E95" s="26" t="s">
        <v>97</v>
      </c>
      <c r="F95" s="26" t="s">
        <v>98</v>
      </c>
      <c r="G95" s="21"/>
      <c r="H95" s="21"/>
    </row>
    <row r="96" ht="51.75" customHeight="1" spans="1:8">
      <c r="A96" s="26" t="s">
        <v>333</v>
      </c>
      <c r="B96" s="27" t="s">
        <v>334</v>
      </c>
      <c r="C96" s="26" t="s">
        <v>337</v>
      </c>
      <c r="D96" s="26" t="s">
        <v>338</v>
      </c>
      <c r="E96" s="26" t="s">
        <v>97</v>
      </c>
      <c r="F96" s="26" t="s">
        <v>98</v>
      </c>
      <c r="G96" s="21"/>
      <c r="H96" s="21"/>
    </row>
    <row r="97" ht="51.75" customHeight="1" spans="1:8">
      <c r="A97" s="26" t="s">
        <v>333</v>
      </c>
      <c r="B97" s="27" t="s">
        <v>334</v>
      </c>
      <c r="C97" s="26" t="s">
        <v>339</v>
      </c>
      <c r="D97" s="26" t="s">
        <v>340</v>
      </c>
      <c r="E97" s="26" t="s">
        <v>97</v>
      </c>
      <c r="F97" s="26" t="s">
        <v>98</v>
      </c>
      <c r="G97" s="21"/>
      <c r="H97" s="21"/>
    </row>
    <row r="98" ht="51.75" customHeight="1" spans="1:8">
      <c r="A98" s="26" t="s">
        <v>333</v>
      </c>
      <c r="B98" s="27" t="s">
        <v>334</v>
      </c>
      <c r="C98" s="26" t="s">
        <v>341</v>
      </c>
      <c r="D98" s="26" t="s">
        <v>342</v>
      </c>
      <c r="E98" s="26" t="s">
        <v>97</v>
      </c>
      <c r="F98" s="26" t="s">
        <v>98</v>
      </c>
      <c r="G98" s="21"/>
      <c r="H98" s="21"/>
    </row>
    <row r="99" ht="63" customHeight="1" spans="1:8">
      <c r="A99" s="26" t="s">
        <v>333</v>
      </c>
      <c r="B99" s="27" t="s">
        <v>334</v>
      </c>
      <c r="C99" s="26" t="s">
        <v>343</v>
      </c>
      <c r="D99" s="26" t="s">
        <v>344</v>
      </c>
      <c r="E99" s="26" t="s">
        <v>97</v>
      </c>
      <c r="F99" s="26" t="s">
        <v>98</v>
      </c>
      <c r="G99" s="21"/>
      <c r="H99" s="21"/>
    </row>
    <row r="100" ht="63" customHeight="1" spans="1:8">
      <c r="A100" s="26" t="s">
        <v>333</v>
      </c>
      <c r="B100" s="27" t="s">
        <v>334</v>
      </c>
      <c r="C100" s="26" t="s">
        <v>345</v>
      </c>
      <c r="D100" s="26" t="s">
        <v>346</v>
      </c>
      <c r="E100" s="26" t="s">
        <v>97</v>
      </c>
      <c r="F100" s="26" t="s">
        <v>98</v>
      </c>
      <c r="G100" s="21"/>
      <c r="H100" s="21"/>
    </row>
    <row r="101" ht="63" customHeight="1" spans="1:8">
      <c r="A101" s="26" t="s">
        <v>333</v>
      </c>
      <c r="B101" s="27" t="s">
        <v>334</v>
      </c>
      <c r="C101" s="26" t="s">
        <v>347</v>
      </c>
      <c r="D101" s="26" t="s">
        <v>348</v>
      </c>
      <c r="E101" s="26" t="s">
        <v>97</v>
      </c>
      <c r="F101" s="26" t="s">
        <v>98</v>
      </c>
      <c r="G101" s="21"/>
      <c r="H101" s="21"/>
    </row>
    <row r="102" ht="48.75" customHeight="1" spans="1:8">
      <c r="A102" s="26" t="s">
        <v>333</v>
      </c>
      <c r="B102" s="27" t="s">
        <v>334</v>
      </c>
      <c r="C102" s="26" t="s">
        <v>349</v>
      </c>
      <c r="D102" s="26" t="s">
        <v>350</v>
      </c>
      <c r="E102" s="26" t="s">
        <v>97</v>
      </c>
      <c r="F102" s="26" t="s">
        <v>98</v>
      </c>
      <c r="G102" s="21"/>
      <c r="H102" s="21"/>
    </row>
    <row r="103" ht="48.75" customHeight="1" spans="1:8">
      <c r="A103" s="26" t="s">
        <v>333</v>
      </c>
      <c r="B103" s="27" t="s">
        <v>334</v>
      </c>
      <c r="C103" s="26" t="s">
        <v>351</v>
      </c>
      <c r="D103" s="26" t="s">
        <v>352</v>
      </c>
      <c r="E103" s="26" t="s">
        <v>97</v>
      </c>
      <c r="F103" s="26" t="s">
        <v>98</v>
      </c>
      <c r="G103" s="21"/>
      <c r="H103" s="21"/>
    </row>
    <row r="104" ht="48.75" customHeight="1" spans="1:8">
      <c r="A104" s="26" t="s">
        <v>353</v>
      </c>
      <c r="B104" s="27" t="s">
        <v>354</v>
      </c>
      <c r="C104" s="26" t="s">
        <v>355</v>
      </c>
      <c r="D104" s="26" t="s">
        <v>356</v>
      </c>
      <c r="E104" s="26" t="s">
        <v>97</v>
      </c>
      <c r="F104" s="26" t="s">
        <v>98</v>
      </c>
      <c r="G104" s="21"/>
      <c r="H104" s="21"/>
    </row>
    <row r="105" ht="52.5" customHeight="1" spans="1:8">
      <c r="A105" s="26" t="s">
        <v>353</v>
      </c>
      <c r="B105" s="27" t="s">
        <v>354</v>
      </c>
      <c r="C105" s="26" t="s">
        <v>357</v>
      </c>
      <c r="D105" s="26" t="s">
        <v>358</v>
      </c>
      <c r="E105" s="26" t="s">
        <v>97</v>
      </c>
      <c r="F105" s="26" t="s">
        <v>98</v>
      </c>
      <c r="G105" s="21"/>
      <c r="H105" s="21"/>
    </row>
    <row r="106" ht="52.5" customHeight="1" spans="1:8">
      <c r="A106" s="26" t="s">
        <v>353</v>
      </c>
      <c r="B106" s="27" t="s">
        <v>354</v>
      </c>
      <c r="C106" s="26" t="s">
        <v>359</v>
      </c>
      <c r="D106" s="26" t="s">
        <v>360</v>
      </c>
      <c r="E106" s="26" t="s">
        <v>97</v>
      </c>
      <c r="F106" s="26" t="s">
        <v>98</v>
      </c>
      <c r="G106" s="21"/>
      <c r="H106" s="21"/>
    </row>
    <row r="107" ht="52.5" customHeight="1" spans="1:8">
      <c r="A107" s="26" t="s">
        <v>353</v>
      </c>
      <c r="B107" s="27" t="s">
        <v>354</v>
      </c>
      <c r="C107" s="26" t="s">
        <v>361</v>
      </c>
      <c r="D107" s="26" t="s">
        <v>362</v>
      </c>
      <c r="E107" s="26" t="s">
        <v>97</v>
      </c>
      <c r="F107" s="26" t="s">
        <v>98</v>
      </c>
      <c r="G107" s="21"/>
      <c r="H107" s="21"/>
    </row>
    <row r="108" ht="64.5" customHeight="1" spans="1:8">
      <c r="A108" s="26" t="s">
        <v>353</v>
      </c>
      <c r="B108" s="27" t="s">
        <v>354</v>
      </c>
      <c r="C108" s="26" t="s">
        <v>363</v>
      </c>
      <c r="D108" s="26" t="s">
        <v>364</v>
      </c>
      <c r="E108" s="26" t="s">
        <v>365</v>
      </c>
      <c r="F108" s="26" t="s">
        <v>98</v>
      </c>
      <c r="G108" s="21"/>
      <c r="H108" s="21"/>
    </row>
    <row r="109" ht="54" customHeight="1" spans="1:8">
      <c r="A109" s="26" t="s">
        <v>353</v>
      </c>
      <c r="B109" s="27" t="s">
        <v>354</v>
      </c>
      <c r="C109" s="26" t="s">
        <v>366</v>
      </c>
      <c r="D109" s="26" t="s">
        <v>367</v>
      </c>
      <c r="E109" s="26" t="s">
        <v>368</v>
      </c>
      <c r="F109" s="26" t="s">
        <v>98</v>
      </c>
      <c r="G109" s="21"/>
      <c r="H109" s="21"/>
    </row>
    <row r="110" ht="51.75" customHeight="1" spans="1:8">
      <c r="A110" s="26" t="s">
        <v>353</v>
      </c>
      <c r="B110" s="27" t="s">
        <v>354</v>
      </c>
      <c r="C110" s="26" t="s">
        <v>369</v>
      </c>
      <c r="D110" s="26" t="s">
        <v>370</v>
      </c>
      <c r="E110" s="26" t="s">
        <v>97</v>
      </c>
      <c r="F110" s="26" t="s">
        <v>98</v>
      </c>
      <c r="G110" s="21"/>
      <c r="H110" s="21"/>
    </row>
    <row r="111" ht="51.75" customHeight="1" spans="1:8">
      <c r="A111" s="26" t="s">
        <v>353</v>
      </c>
      <c r="B111" s="27" t="s">
        <v>354</v>
      </c>
      <c r="C111" s="26" t="s">
        <v>371</v>
      </c>
      <c r="D111" s="26" t="s">
        <v>372</v>
      </c>
      <c r="E111" s="26" t="s">
        <v>97</v>
      </c>
      <c r="F111" s="26" t="s">
        <v>98</v>
      </c>
      <c r="G111" s="21"/>
      <c r="H111" s="21"/>
    </row>
    <row r="112" ht="51.75" customHeight="1" spans="1:8">
      <c r="A112" s="26" t="s">
        <v>353</v>
      </c>
      <c r="B112" s="27" t="s">
        <v>354</v>
      </c>
      <c r="C112" s="26" t="s">
        <v>373</v>
      </c>
      <c r="D112" s="26" t="s">
        <v>374</v>
      </c>
      <c r="E112" s="26" t="s">
        <v>97</v>
      </c>
      <c r="F112" s="26" t="s">
        <v>98</v>
      </c>
      <c r="G112" s="21"/>
      <c r="H112" s="21"/>
    </row>
    <row r="113" ht="51.75" customHeight="1" spans="1:8">
      <c r="A113" s="26" t="s">
        <v>353</v>
      </c>
      <c r="B113" s="27" t="s">
        <v>354</v>
      </c>
      <c r="C113" s="26" t="s">
        <v>375</v>
      </c>
      <c r="D113" s="26" t="s">
        <v>376</v>
      </c>
      <c r="E113" s="26" t="s">
        <v>97</v>
      </c>
      <c r="F113" s="26" t="s">
        <v>98</v>
      </c>
      <c r="G113" s="21"/>
      <c r="H113" s="21"/>
    </row>
    <row r="114" ht="51.75" customHeight="1" spans="1:8">
      <c r="A114" s="26" t="s">
        <v>377</v>
      </c>
      <c r="B114" s="27" t="s">
        <v>378</v>
      </c>
      <c r="C114" s="26" t="s">
        <v>379</v>
      </c>
      <c r="D114" s="26" t="s">
        <v>380</v>
      </c>
      <c r="E114" s="26" t="s">
        <v>97</v>
      </c>
      <c r="F114" s="26" t="s">
        <v>98</v>
      </c>
      <c r="G114" s="21"/>
      <c r="H114" s="21"/>
    </row>
    <row r="115" ht="51.75" customHeight="1" spans="1:8">
      <c r="A115" s="26" t="s">
        <v>377</v>
      </c>
      <c r="B115" s="27" t="s">
        <v>378</v>
      </c>
      <c r="C115" s="26" t="s">
        <v>381</v>
      </c>
      <c r="D115" s="26" t="s">
        <v>382</v>
      </c>
      <c r="E115" s="26" t="s">
        <v>368</v>
      </c>
      <c r="F115" s="26" t="s">
        <v>98</v>
      </c>
      <c r="G115" s="21"/>
      <c r="H115" s="21"/>
    </row>
    <row r="116" ht="52.5" customHeight="1" spans="1:8">
      <c r="A116" s="26" t="s">
        <v>377</v>
      </c>
      <c r="B116" s="27" t="s">
        <v>378</v>
      </c>
      <c r="C116" s="26" t="s">
        <v>383</v>
      </c>
      <c r="D116" s="26" t="s">
        <v>384</v>
      </c>
      <c r="E116" s="26" t="s">
        <v>97</v>
      </c>
      <c r="F116" s="26" t="s">
        <v>98</v>
      </c>
      <c r="G116" s="21"/>
      <c r="H116" s="21"/>
    </row>
    <row r="117" ht="52.5" customHeight="1" spans="1:8">
      <c r="A117" s="26" t="s">
        <v>377</v>
      </c>
      <c r="B117" s="27" t="s">
        <v>378</v>
      </c>
      <c r="C117" s="26" t="s">
        <v>385</v>
      </c>
      <c r="D117" s="26" t="s">
        <v>386</v>
      </c>
      <c r="E117" s="26" t="s">
        <v>368</v>
      </c>
      <c r="F117" s="26" t="s">
        <v>98</v>
      </c>
      <c r="G117" s="21"/>
      <c r="H117" s="21"/>
    </row>
    <row r="118" ht="52.5" customHeight="1" spans="1:8">
      <c r="A118" s="26" t="s">
        <v>377</v>
      </c>
      <c r="B118" s="27" t="s">
        <v>378</v>
      </c>
      <c r="C118" s="26" t="s">
        <v>387</v>
      </c>
      <c r="D118" s="26" t="s">
        <v>388</v>
      </c>
      <c r="E118" s="26" t="s">
        <v>97</v>
      </c>
      <c r="F118" s="26" t="s">
        <v>98</v>
      </c>
      <c r="G118" s="21"/>
      <c r="H118" s="21"/>
    </row>
    <row r="119" ht="96" spans="1:8">
      <c r="A119" s="26" t="s">
        <v>389</v>
      </c>
      <c r="B119" s="27" t="s">
        <v>390</v>
      </c>
      <c r="C119" s="26" t="s">
        <v>391</v>
      </c>
      <c r="D119" s="26" t="s">
        <v>392</v>
      </c>
      <c r="E119" s="26" t="s">
        <v>393</v>
      </c>
      <c r="F119" s="26" t="s">
        <v>290</v>
      </c>
      <c r="G119" s="21"/>
      <c r="H119" s="21"/>
    </row>
    <row r="120" ht="47.25" customHeight="1" spans="1:8">
      <c r="A120" s="26" t="s">
        <v>389</v>
      </c>
      <c r="B120" s="27" t="s">
        <v>390</v>
      </c>
      <c r="C120" s="26" t="s">
        <v>394</v>
      </c>
      <c r="D120" s="26" t="s">
        <v>395</v>
      </c>
      <c r="E120" s="26" t="s">
        <v>97</v>
      </c>
      <c r="F120" s="26" t="s">
        <v>98</v>
      </c>
      <c r="G120" s="21"/>
      <c r="H120" s="21"/>
    </row>
    <row r="121" ht="59.25" customHeight="1" spans="1:8">
      <c r="A121" s="26" t="s">
        <v>389</v>
      </c>
      <c r="B121" s="27" t="s">
        <v>390</v>
      </c>
      <c r="C121" s="26" t="s">
        <v>396</v>
      </c>
      <c r="D121" s="26" t="s">
        <v>397</v>
      </c>
      <c r="E121" s="26" t="s">
        <v>398</v>
      </c>
      <c r="F121" s="26" t="s">
        <v>98</v>
      </c>
      <c r="G121" s="21"/>
      <c r="H121" s="21"/>
    </row>
    <row r="122" ht="60" spans="1:8">
      <c r="A122" s="26" t="s">
        <v>389</v>
      </c>
      <c r="B122" s="27" t="s">
        <v>390</v>
      </c>
      <c r="C122" s="26" t="s">
        <v>399</v>
      </c>
      <c r="D122" s="26" t="s">
        <v>400</v>
      </c>
      <c r="E122" s="26" t="s">
        <v>401</v>
      </c>
      <c r="F122" s="26" t="s">
        <v>98</v>
      </c>
      <c r="G122" s="21"/>
      <c r="H122" s="21"/>
    </row>
  </sheetData>
  <autoFilter xmlns:etc="http://www.wps.cn/officeDocument/2017/etCustomData" ref="A4:H122" etc:filterBottomFollowUsedRange="0">
    <extLst/>
  </autoFilter>
  <mergeCells count="3">
    <mergeCell ref="D3:E3"/>
    <mergeCell ref="D4:E4"/>
    <mergeCell ref="F3:F4"/>
  </mergeCells>
  <dataValidations count="3">
    <dataValidation type="list" allowBlank="1" showInputMessage="1" showErrorMessage="1" prompt="chọn câu trả lời" sqref="G10 G42 G52 G62 G64 G67 G69 G74 G119 G46:G47 G78:G79">
      <formula1>"A,B,C,D"</formula1>
    </dataValidation>
    <dataValidation type="list" allowBlank="1" showInputMessage="1" showErrorMessage="1" prompt="chọn câu trả lời" sqref="G11 G21 G25 G43 G54 G70 G82 G14:G15 G17:G18 G48:G49 G57:G58">
      <formula1>"A,B,C"</formula1>
    </dataValidation>
    <dataValidation type="list" allowBlank="1" showInputMessage="1" showErrorMessage="1" prompt="chọn câu trả lời" sqref="G16 G20 G36 G41 G53 G60 G63 G65 G68 G5:G9 G22:G24 G26:G33 G50:G51 G55:G56 G71:G73 G75:G77 G80:G81 G85:G118 G120:G122">
      <formula1>"A,B"</formula1>
    </dataValidation>
  </dataValidations>
  <pageMargins left="0.7" right="0.7" top="0.75" bottom="0.75" header="0.3" footer="0.3"/>
  <pageSetup paperSize="1" scale="58" fitToHeight="0" orientation="landscape"/>
  <headerFooter/>
  <drawing r:id="rId1"/>
  <legacyDrawing r:id="rId2"/>
  <mc:AlternateContent xmlns:mc="http://schemas.openxmlformats.org/markup-compatibility/2006">
    <mc:Choice Requires="x14">
      <controls>
        <mc:AlternateContent xmlns:mc="http://schemas.openxmlformats.org/markup-compatibility/2006">
          <mc:Choice Requires="x14">
            <control shapeId="25602" name="Check Box 2" r:id="rId3">
              <controlPr defaultSize="0">
                <anchor moveWithCells="1" sizeWithCells="1">
                  <from>
                    <xdr:col>6</xdr:col>
                    <xdr:colOff>140970</xdr:colOff>
                    <xdr:row>11</xdr:row>
                    <xdr:rowOff>248920</xdr:rowOff>
                  </from>
                  <to>
                    <xdr:col>6</xdr:col>
                    <xdr:colOff>489585</xdr:colOff>
                    <xdr:row>11</xdr:row>
                    <xdr:rowOff>462915</xdr:rowOff>
                  </to>
                </anchor>
              </controlPr>
            </control>
          </mc:Choice>
        </mc:AlternateContent>
        <mc:AlternateContent xmlns:mc="http://schemas.openxmlformats.org/markup-compatibility/2006">
          <mc:Choice Requires="x14">
            <control shapeId="25603" name="Check Box 3" r:id="rId4">
              <controlPr defaultSize="0">
                <anchor moveWithCells="1" sizeWithCells="1">
                  <from>
                    <xdr:col>6</xdr:col>
                    <xdr:colOff>143510</xdr:colOff>
                    <xdr:row>11</xdr:row>
                    <xdr:rowOff>420370</xdr:rowOff>
                  </from>
                  <to>
                    <xdr:col>6</xdr:col>
                    <xdr:colOff>492760</xdr:colOff>
                    <xdr:row>11</xdr:row>
                    <xdr:rowOff>636270</xdr:rowOff>
                  </to>
                </anchor>
              </controlPr>
            </control>
          </mc:Choice>
        </mc:AlternateContent>
        <mc:AlternateContent xmlns:mc="http://schemas.openxmlformats.org/markup-compatibility/2006">
          <mc:Choice Requires="x14">
            <control shapeId="25604" name="Check Box 4" r:id="rId5">
              <controlPr defaultSize="0">
                <anchor moveWithCells="1" sizeWithCells="1">
                  <from>
                    <xdr:col>6</xdr:col>
                    <xdr:colOff>143510</xdr:colOff>
                    <xdr:row>11</xdr:row>
                    <xdr:rowOff>598170</xdr:rowOff>
                  </from>
                  <to>
                    <xdr:col>6</xdr:col>
                    <xdr:colOff>492760</xdr:colOff>
                    <xdr:row>11</xdr:row>
                    <xdr:rowOff>814070</xdr:rowOff>
                  </to>
                </anchor>
              </controlPr>
            </control>
          </mc:Choice>
        </mc:AlternateContent>
        <mc:AlternateContent xmlns:mc="http://schemas.openxmlformats.org/markup-compatibility/2006">
          <mc:Choice Requires="x14">
            <control shapeId="25605" name="Check Box 5" r:id="rId6">
              <controlPr defaultSize="0">
                <anchor moveWithCells="1" sizeWithCells="1">
                  <from>
                    <xdr:col>6</xdr:col>
                    <xdr:colOff>143510</xdr:colOff>
                    <xdr:row>11</xdr:row>
                    <xdr:rowOff>782320</xdr:rowOff>
                  </from>
                  <to>
                    <xdr:col>6</xdr:col>
                    <xdr:colOff>492760</xdr:colOff>
                    <xdr:row>11</xdr:row>
                    <xdr:rowOff>998220</xdr:rowOff>
                  </to>
                </anchor>
              </controlPr>
            </control>
          </mc:Choice>
        </mc:AlternateContent>
        <mc:AlternateContent xmlns:mc="http://schemas.openxmlformats.org/markup-compatibility/2006">
          <mc:Choice Requires="x14">
            <control shapeId="25606" name="Check Box 6" r:id="rId7">
              <controlPr defaultSize="0">
                <anchor moveWithCells="1" sizeWithCells="1">
                  <from>
                    <xdr:col>6</xdr:col>
                    <xdr:colOff>143510</xdr:colOff>
                    <xdr:row>11</xdr:row>
                    <xdr:rowOff>953770</xdr:rowOff>
                  </from>
                  <to>
                    <xdr:col>6</xdr:col>
                    <xdr:colOff>492760</xdr:colOff>
                    <xdr:row>11</xdr:row>
                    <xdr:rowOff>1169670</xdr:rowOff>
                  </to>
                </anchor>
              </controlPr>
            </control>
          </mc:Choice>
        </mc:AlternateContent>
        <mc:AlternateContent xmlns:mc="http://schemas.openxmlformats.org/markup-compatibility/2006">
          <mc:Choice Requires="x14">
            <control shapeId="25607" name="Check Box 7" r:id="rId8">
              <controlPr defaultSize="0">
                <anchor moveWithCells="1" sizeWithCells="1">
                  <from>
                    <xdr:col>6</xdr:col>
                    <xdr:colOff>143510</xdr:colOff>
                    <xdr:row>11</xdr:row>
                    <xdr:rowOff>1131570</xdr:rowOff>
                  </from>
                  <to>
                    <xdr:col>6</xdr:col>
                    <xdr:colOff>492760</xdr:colOff>
                    <xdr:row>11</xdr:row>
                    <xdr:rowOff>1347470</xdr:rowOff>
                  </to>
                </anchor>
              </controlPr>
            </control>
          </mc:Choice>
        </mc:AlternateContent>
        <mc:AlternateContent xmlns:mc="http://schemas.openxmlformats.org/markup-compatibility/2006">
          <mc:Choice Requires="x14">
            <control shapeId="25608" name="Check Box 8" r:id="rId9">
              <controlPr defaultSize="0">
                <anchor moveWithCells="1" sizeWithCells="1">
                  <from>
                    <xdr:col>6</xdr:col>
                    <xdr:colOff>143510</xdr:colOff>
                    <xdr:row>11</xdr:row>
                    <xdr:rowOff>1309370</xdr:rowOff>
                  </from>
                  <to>
                    <xdr:col>6</xdr:col>
                    <xdr:colOff>492760</xdr:colOff>
                    <xdr:row>11</xdr:row>
                    <xdr:rowOff>1525270</xdr:rowOff>
                  </to>
                </anchor>
              </controlPr>
            </control>
          </mc:Choice>
        </mc:AlternateContent>
        <mc:AlternateContent xmlns:mc="http://schemas.openxmlformats.org/markup-compatibility/2006">
          <mc:Choice Requires="x14">
            <control shapeId="25609" name="Check Box 9" r:id="rId10">
              <controlPr defaultSize="0">
                <anchor moveWithCells="1" sizeWithCells="1">
                  <from>
                    <xdr:col>6</xdr:col>
                    <xdr:colOff>143510</xdr:colOff>
                    <xdr:row>11</xdr:row>
                    <xdr:rowOff>1506220</xdr:rowOff>
                  </from>
                  <to>
                    <xdr:col>6</xdr:col>
                    <xdr:colOff>492760</xdr:colOff>
                    <xdr:row>11</xdr:row>
                    <xdr:rowOff>1722755</xdr:rowOff>
                  </to>
                </anchor>
              </controlPr>
            </control>
          </mc:Choice>
        </mc:AlternateContent>
        <mc:AlternateContent xmlns:mc="http://schemas.openxmlformats.org/markup-compatibility/2006">
          <mc:Choice Requires="x14">
            <control shapeId="25610" name="Check Box 10" r:id="rId11">
              <controlPr defaultSize="0">
                <anchor moveWithCells="1" sizeWithCells="1">
                  <from>
                    <xdr:col>6</xdr:col>
                    <xdr:colOff>158750</xdr:colOff>
                    <xdr:row>12</xdr:row>
                    <xdr:rowOff>330200</xdr:rowOff>
                  </from>
                  <to>
                    <xdr:col>6</xdr:col>
                    <xdr:colOff>467995</xdr:colOff>
                    <xdr:row>12</xdr:row>
                    <xdr:rowOff>533400</xdr:rowOff>
                  </to>
                </anchor>
              </controlPr>
            </control>
          </mc:Choice>
        </mc:AlternateContent>
        <mc:AlternateContent xmlns:mc="http://schemas.openxmlformats.org/markup-compatibility/2006">
          <mc:Choice Requires="x14">
            <control shapeId="25611" name="Check Box 11" r:id="rId12">
              <controlPr defaultSize="0">
                <anchor moveWithCells="1" sizeWithCells="1">
                  <from>
                    <xdr:col>6</xdr:col>
                    <xdr:colOff>158750</xdr:colOff>
                    <xdr:row>12</xdr:row>
                    <xdr:rowOff>495300</xdr:rowOff>
                  </from>
                  <to>
                    <xdr:col>6</xdr:col>
                    <xdr:colOff>470535</xdr:colOff>
                    <xdr:row>12</xdr:row>
                    <xdr:rowOff>698500</xdr:rowOff>
                  </to>
                </anchor>
              </controlPr>
            </control>
          </mc:Choice>
        </mc:AlternateContent>
        <mc:AlternateContent xmlns:mc="http://schemas.openxmlformats.org/markup-compatibility/2006">
          <mc:Choice Requires="x14">
            <control shapeId="25612" name="Check Box 12" r:id="rId13">
              <controlPr defaultSize="0">
                <anchor moveWithCells="1" sizeWithCells="1">
                  <from>
                    <xdr:col>6</xdr:col>
                    <xdr:colOff>158750</xdr:colOff>
                    <xdr:row>12</xdr:row>
                    <xdr:rowOff>647700</xdr:rowOff>
                  </from>
                  <to>
                    <xdr:col>6</xdr:col>
                    <xdr:colOff>470535</xdr:colOff>
                    <xdr:row>12</xdr:row>
                    <xdr:rowOff>857250</xdr:rowOff>
                  </to>
                </anchor>
              </controlPr>
            </control>
          </mc:Choice>
        </mc:AlternateContent>
        <mc:AlternateContent xmlns:mc="http://schemas.openxmlformats.org/markup-compatibility/2006">
          <mc:Choice Requires="x14">
            <control shapeId="25613" name="Check Box 13" r:id="rId14">
              <controlPr defaultSize="0">
                <anchor moveWithCells="1" sizeWithCells="1">
                  <from>
                    <xdr:col>6</xdr:col>
                    <xdr:colOff>158750</xdr:colOff>
                    <xdr:row>12</xdr:row>
                    <xdr:rowOff>806450</xdr:rowOff>
                  </from>
                  <to>
                    <xdr:col>6</xdr:col>
                    <xdr:colOff>470535</xdr:colOff>
                    <xdr:row>12</xdr:row>
                    <xdr:rowOff>1003300</xdr:rowOff>
                  </to>
                </anchor>
              </controlPr>
            </control>
          </mc:Choice>
        </mc:AlternateContent>
        <mc:AlternateContent xmlns:mc="http://schemas.openxmlformats.org/markup-compatibility/2006">
          <mc:Choice Requires="x14">
            <control shapeId="25614" name="Check Box 14" r:id="rId15">
              <controlPr defaultSize="0">
                <anchor moveWithCells="1" sizeWithCells="1">
                  <from>
                    <xdr:col>6</xdr:col>
                    <xdr:colOff>140970</xdr:colOff>
                    <xdr:row>18</xdr:row>
                    <xdr:rowOff>268605</xdr:rowOff>
                  </from>
                  <to>
                    <xdr:col>6</xdr:col>
                    <xdr:colOff>478155</xdr:colOff>
                    <xdr:row>18</xdr:row>
                    <xdr:rowOff>476250</xdr:rowOff>
                  </to>
                </anchor>
              </controlPr>
            </control>
          </mc:Choice>
        </mc:AlternateContent>
        <mc:AlternateContent xmlns:mc="http://schemas.openxmlformats.org/markup-compatibility/2006">
          <mc:Choice Requires="x14">
            <control shapeId="25615" name="Check Box 15" r:id="rId16">
              <controlPr defaultSize="0">
                <anchor moveWithCells="1" sizeWithCells="1">
                  <from>
                    <xdr:col>6</xdr:col>
                    <xdr:colOff>143510</xdr:colOff>
                    <xdr:row>18</xdr:row>
                    <xdr:rowOff>434975</xdr:rowOff>
                  </from>
                  <to>
                    <xdr:col>6</xdr:col>
                    <xdr:colOff>481330</xdr:colOff>
                    <xdr:row>18</xdr:row>
                    <xdr:rowOff>644525</xdr:rowOff>
                  </to>
                </anchor>
              </controlPr>
            </control>
          </mc:Choice>
        </mc:AlternateContent>
        <mc:AlternateContent xmlns:mc="http://schemas.openxmlformats.org/markup-compatibility/2006">
          <mc:Choice Requires="x14">
            <control shapeId="25616" name="Check Box 16" r:id="rId17">
              <controlPr defaultSize="0">
                <anchor moveWithCells="1" sizeWithCells="1">
                  <from>
                    <xdr:col>6</xdr:col>
                    <xdr:colOff>143510</xdr:colOff>
                    <xdr:row>18</xdr:row>
                    <xdr:rowOff>607695</xdr:rowOff>
                  </from>
                  <to>
                    <xdr:col>6</xdr:col>
                    <xdr:colOff>481330</xdr:colOff>
                    <xdr:row>18</xdr:row>
                    <xdr:rowOff>817245</xdr:rowOff>
                  </to>
                </anchor>
              </controlPr>
            </control>
          </mc:Choice>
        </mc:AlternateContent>
        <mc:AlternateContent xmlns:mc="http://schemas.openxmlformats.org/markup-compatibility/2006">
          <mc:Choice Requires="x14">
            <control shapeId="25617" name="Check Box 17" r:id="rId18">
              <controlPr defaultSize="0">
                <anchor moveWithCells="1" sizeWithCells="1">
                  <from>
                    <xdr:col>6</xdr:col>
                    <xdr:colOff>143510</xdr:colOff>
                    <xdr:row>18</xdr:row>
                    <xdr:rowOff>786765</xdr:rowOff>
                  </from>
                  <to>
                    <xdr:col>6</xdr:col>
                    <xdr:colOff>481330</xdr:colOff>
                    <xdr:row>18</xdr:row>
                    <xdr:rowOff>996315</xdr:rowOff>
                  </to>
                </anchor>
              </controlPr>
            </control>
          </mc:Choice>
        </mc:AlternateContent>
        <mc:AlternateContent xmlns:mc="http://schemas.openxmlformats.org/markup-compatibility/2006">
          <mc:Choice Requires="x14">
            <control shapeId="25618" name="Check Box 18" r:id="rId19">
              <controlPr defaultSize="0">
                <anchor moveWithCells="1" sizeWithCells="1">
                  <from>
                    <xdr:col>6</xdr:col>
                    <xdr:colOff>143510</xdr:colOff>
                    <xdr:row>18</xdr:row>
                    <xdr:rowOff>953135</xdr:rowOff>
                  </from>
                  <to>
                    <xdr:col>6</xdr:col>
                    <xdr:colOff>481330</xdr:colOff>
                    <xdr:row>18</xdr:row>
                    <xdr:rowOff>1162685</xdr:rowOff>
                  </to>
                </anchor>
              </controlPr>
            </control>
          </mc:Choice>
        </mc:AlternateContent>
        <mc:AlternateContent xmlns:mc="http://schemas.openxmlformats.org/markup-compatibility/2006">
          <mc:Choice Requires="x14">
            <control shapeId="25619" name="Check Box 19" r:id="rId20">
              <controlPr defaultSize="0">
                <anchor moveWithCells="1" sizeWithCells="1">
                  <from>
                    <xdr:col>6</xdr:col>
                    <xdr:colOff>143510</xdr:colOff>
                    <xdr:row>18</xdr:row>
                    <xdr:rowOff>1125855</xdr:rowOff>
                  </from>
                  <to>
                    <xdr:col>6</xdr:col>
                    <xdr:colOff>481330</xdr:colOff>
                    <xdr:row>18</xdr:row>
                    <xdr:rowOff>1335405</xdr:rowOff>
                  </to>
                </anchor>
              </controlPr>
            </control>
          </mc:Choice>
        </mc:AlternateContent>
        <mc:AlternateContent xmlns:mc="http://schemas.openxmlformats.org/markup-compatibility/2006">
          <mc:Choice Requires="x14">
            <control shapeId="25620" name="Check Box 20" r:id="rId21">
              <controlPr defaultSize="0">
                <anchor moveWithCells="1" sizeWithCells="1">
                  <from>
                    <xdr:col>6</xdr:col>
                    <xdr:colOff>143510</xdr:colOff>
                    <xdr:row>18</xdr:row>
                    <xdr:rowOff>1298575</xdr:rowOff>
                  </from>
                  <to>
                    <xdr:col>6</xdr:col>
                    <xdr:colOff>481330</xdr:colOff>
                    <xdr:row>18</xdr:row>
                    <xdr:rowOff>1508125</xdr:rowOff>
                  </to>
                </anchor>
              </controlPr>
            </control>
          </mc:Choice>
        </mc:AlternateContent>
        <mc:AlternateContent xmlns:mc="http://schemas.openxmlformats.org/markup-compatibility/2006">
          <mc:Choice Requires="x14">
            <control shapeId="25621" name="Check Box 21" r:id="rId22">
              <controlPr defaultSize="0">
                <anchor moveWithCells="1" sizeWithCells="1">
                  <from>
                    <xdr:col>6</xdr:col>
                    <xdr:colOff>143510</xdr:colOff>
                    <xdr:row>18</xdr:row>
                    <xdr:rowOff>1489710</xdr:rowOff>
                  </from>
                  <to>
                    <xdr:col>6</xdr:col>
                    <xdr:colOff>481330</xdr:colOff>
                    <xdr:row>18</xdr:row>
                    <xdr:rowOff>1699895</xdr:rowOff>
                  </to>
                </anchor>
              </controlPr>
            </control>
          </mc:Choice>
        </mc:AlternateContent>
        <mc:AlternateContent xmlns:mc="http://schemas.openxmlformats.org/markup-compatibility/2006">
          <mc:Choice Requires="x14">
            <control shapeId="25622" name="Check Box 22" r:id="rId23">
              <controlPr defaultSize="0">
                <anchor moveWithCells="1" sizeWithCells="1">
                  <from>
                    <xdr:col>6</xdr:col>
                    <xdr:colOff>135890</xdr:colOff>
                    <xdr:row>58</xdr:row>
                    <xdr:rowOff>216535</xdr:rowOff>
                  </from>
                  <to>
                    <xdr:col>6</xdr:col>
                    <xdr:colOff>478155</xdr:colOff>
                    <xdr:row>58</xdr:row>
                    <xdr:rowOff>430530</xdr:rowOff>
                  </to>
                </anchor>
              </controlPr>
            </control>
          </mc:Choice>
        </mc:AlternateContent>
        <mc:AlternateContent xmlns:mc="http://schemas.openxmlformats.org/markup-compatibility/2006">
          <mc:Choice Requires="x14">
            <control shapeId="25623" name="Check Box 23" r:id="rId24">
              <controlPr defaultSize="0">
                <anchor moveWithCells="1" sizeWithCells="1">
                  <from>
                    <xdr:col>6</xdr:col>
                    <xdr:colOff>138430</xdr:colOff>
                    <xdr:row>58</xdr:row>
                    <xdr:rowOff>387350</xdr:rowOff>
                  </from>
                  <to>
                    <xdr:col>6</xdr:col>
                    <xdr:colOff>481330</xdr:colOff>
                    <xdr:row>58</xdr:row>
                    <xdr:rowOff>603885</xdr:rowOff>
                  </to>
                </anchor>
              </controlPr>
            </control>
          </mc:Choice>
        </mc:AlternateContent>
        <mc:AlternateContent xmlns:mc="http://schemas.openxmlformats.org/markup-compatibility/2006">
          <mc:Choice Requires="x14">
            <control shapeId="25624" name="Check Box 24" r:id="rId25">
              <controlPr defaultSize="0">
                <anchor moveWithCells="1" sizeWithCells="1">
                  <from>
                    <xdr:col>6</xdr:col>
                    <xdr:colOff>138430</xdr:colOff>
                    <xdr:row>58</xdr:row>
                    <xdr:rowOff>565150</xdr:rowOff>
                  </from>
                  <to>
                    <xdr:col>6</xdr:col>
                    <xdr:colOff>481330</xdr:colOff>
                    <xdr:row>58</xdr:row>
                    <xdr:rowOff>781685</xdr:rowOff>
                  </to>
                </anchor>
              </controlPr>
            </control>
          </mc:Choice>
        </mc:AlternateContent>
        <mc:AlternateContent xmlns:mc="http://schemas.openxmlformats.org/markup-compatibility/2006">
          <mc:Choice Requires="x14">
            <control shapeId="25625" name="Check Box 25" r:id="rId26">
              <controlPr defaultSize="0">
                <anchor moveWithCells="1" sizeWithCells="1">
                  <from>
                    <xdr:col>6</xdr:col>
                    <xdr:colOff>138430</xdr:colOff>
                    <xdr:row>58</xdr:row>
                    <xdr:rowOff>749300</xdr:rowOff>
                  </from>
                  <to>
                    <xdr:col>6</xdr:col>
                    <xdr:colOff>481330</xdr:colOff>
                    <xdr:row>58</xdr:row>
                    <xdr:rowOff>965835</xdr:rowOff>
                  </to>
                </anchor>
              </controlPr>
            </control>
          </mc:Choice>
        </mc:AlternateContent>
        <mc:AlternateContent xmlns:mc="http://schemas.openxmlformats.org/markup-compatibility/2006">
          <mc:Choice Requires="x14">
            <control shapeId="25626" name="Check Box 26" r:id="rId27">
              <controlPr defaultSize="0">
                <anchor moveWithCells="1" sizeWithCells="1">
                  <from>
                    <xdr:col>6</xdr:col>
                    <xdr:colOff>138430</xdr:colOff>
                    <xdr:row>58</xdr:row>
                    <xdr:rowOff>920750</xdr:rowOff>
                  </from>
                  <to>
                    <xdr:col>6</xdr:col>
                    <xdr:colOff>481330</xdr:colOff>
                    <xdr:row>58</xdr:row>
                    <xdr:rowOff>1137285</xdr:rowOff>
                  </to>
                </anchor>
              </controlPr>
            </control>
          </mc:Choice>
        </mc:AlternateContent>
        <mc:AlternateContent xmlns:mc="http://schemas.openxmlformats.org/markup-compatibility/2006">
          <mc:Choice Requires="x14">
            <control shapeId="25627" name="Check Box 27" r:id="rId28">
              <controlPr defaultSize="0">
                <anchor moveWithCells="1" sizeWithCells="1">
                  <from>
                    <xdr:col>6</xdr:col>
                    <xdr:colOff>138430</xdr:colOff>
                    <xdr:row>58</xdr:row>
                    <xdr:rowOff>1098550</xdr:rowOff>
                  </from>
                  <to>
                    <xdr:col>6</xdr:col>
                    <xdr:colOff>481330</xdr:colOff>
                    <xdr:row>58</xdr:row>
                    <xdr:rowOff>1315085</xdr:rowOff>
                  </to>
                </anchor>
              </controlPr>
            </control>
          </mc:Choice>
        </mc:AlternateContent>
        <mc:AlternateContent xmlns:mc="http://schemas.openxmlformats.org/markup-compatibility/2006">
          <mc:Choice Requires="x14">
            <control shapeId="25628" name="Check Box 28" r:id="rId29">
              <controlPr defaultSize="0">
                <anchor moveWithCells="1" sizeWithCells="1">
                  <from>
                    <xdr:col>6</xdr:col>
                    <xdr:colOff>138430</xdr:colOff>
                    <xdr:row>58</xdr:row>
                    <xdr:rowOff>1276350</xdr:rowOff>
                  </from>
                  <to>
                    <xdr:col>6</xdr:col>
                    <xdr:colOff>481330</xdr:colOff>
                    <xdr:row>58</xdr:row>
                    <xdr:rowOff>1492885</xdr:rowOff>
                  </to>
                </anchor>
              </controlPr>
            </control>
          </mc:Choice>
        </mc:AlternateContent>
        <mc:AlternateContent xmlns:mc="http://schemas.openxmlformats.org/markup-compatibility/2006">
          <mc:Choice Requires="x14">
            <control shapeId="25629" name="Check Box 29" r:id="rId30">
              <controlPr defaultSize="0">
                <anchor moveWithCells="1" sizeWithCells="1">
                  <from>
                    <xdr:col>6</xdr:col>
                    <xdr:colOff>158115</xdr:colOff>
                    <xdr:row>60</xdr:row>
                    <xdr:rowOff>318135</xdr:rowOff>
                  </from>
                  <to>
                    <xdr:col>6</xdr:col>
                    <xdr:colOff>489585</xdr:colOff>
                    <xdr:row>60</xdr:row>
                    <xdr:rowOff>532130</xdr:rowOff>
                  </to>
                </anchor>
              </controlPr>
            </control>
          </mc:Choice>
        </mc:AlternateContent>
        <mc:AlternateContent xmlns:mc="http://schemas.openxmlformats.org/markup-compatibility/2006">
          <mc:Choice Requires="x14">
            <control shapeId="25630" name="Check Box 30" r:id="rId31">
              <controlPr defaultSize="0">
                <anchor moveWithCells="1" sizeWithCells="1">
                  <from>
                    <xdr:col>6</xdr:col>
                    <xdr:colOff>160655</xdr:colOff>
                    <xdr:row>60</xdr:row>
                    <xdr:rowOff>488950</xdr:rowOff>
                  </from>
                  <to>
                    <xdr:col>6</xdr:col>
                    <xdr:colOff>492760</xdr:colOff>
                    <xdr:row>60</xdr:row>
                    <xdr:rowOff>705485</xdr:rowOff>
                  </to>
                </anchor>
              </controlPr>
            </control>
          </mc:Choice>
        </mc:AlternateContent>
        <mc:AlternateContent xmlns:mc="http://schemas.openxmlformats.org/markup-compatibility/2006">
          <mc:Choice Requires="x14">
            <control shapeId="25631" name="Check Box 31" r:id="rId32">
              <controlPr defaultSize="0">
                <anchor moveWithCells="1" sizeWithCells="1">
                  <from>
                    <xdr:col>6</xdr:col>
                    <xdr:colOff>160655</xdr:colOff>
                    <xdr:row>60</xdr:row>
                    <xdr:rowOff>666750</xdr:rowOff>
                  </from>
                  <to>
                    <xdr:col>6</xdr:col>
                    <xdr:colOff>492760</xdr:colOff>
                    <xdr:row>60</xdr:row>
                    <xdr:rowOff>883285</xdr:rowOff>
                  </to>
                </anchor>
              </controlPr>
            </control>
          </mc:Choice>
        </mc:AlternateContent>
        <mc:AlternateContent xmlns:mc="http://schemas.openxmlformats.org/markup-compatibility/2006">
          <mc:Choice Requires="x14">
            <control shapeId="25632" name="Check Box 32" r:id="rId33">
              <controlPr defaultSize="0">
                <anchor moveWithCells="1" sizeWithCells="1">
                  <from>
                    <xdr:col>6</xdr:col>
                    <xdr:colOff>160655</xdr:colOff>
                    <xdr:row>60</xdr:row>
                    <xdr:rowOff>850900</xdr:rowOff>
                  </from>
                  <to>
                    <xdr:col>6</xdr:col>
                    <xdr:colOff>492760</xdr:colOff>
                    <xdr:row>60</xdr:row>
                    <xdr:rowOff>1067435</xdr:rowOff>
                  </to>
                </anchor>
              </controlPr>
            </control>
          </mc:Choice>
        </mc:AlternateContent>
        <mc:AlternateContent xmlns:mc="http://schemas.openxmlformats.org/markup-compatibility/2006">
          <mc:Choice Requires="x14">
            <control shapeId="25633" name="Check Box 33" r:id="rId34">
              <controlPr defaultSize="0">
                <anchor moveWithCells="1" sizeWithCells="1">
                  <from>
                    <xdr:col>6</xdr:col>
                    <xdr:colOff>160655</xdr:colOff>
                    <xdr:row>60</xdr:row>
                    <xdr:rowOff>1022350</xdr:rowOff>
                  </from>
                  <to>
                    <xdr:col>6</xdr:col>
                    <xdr:colOff>492760</xdr:colOff>
                    <xdr:row>60</xdr:row>
                    <xdr:rowOff>1238885</xdr:rowOff>
                  </to>
                </anchor>
              </controlPr>
            </control>
          </mc:Choice>
        </mc:AlternateContent>
        <mc:AlternateContent xmlns:mc="http://schemas.openxmlformats.org/markup-compatibility/2006">
          <mc:Choice Requires="x14">
            <control shapeId="25634" name="Check Box 34" r:id="rId35">
              <controlPr defaultSize="0">
                <anchor moveWithCells="1" sizeWithCells="1">
                  <from>
                    <xdr:col>6</xdr:col>
                    <xdr:colOff>158115</xdr:colOff>
                    <xdr:row>65</xdr:row>
                    <xdr:rowOff>212725</xdr:rowOff>
                  </from>
                  <to>
                    <xdr:col>6</xdr:col>
                    <xdr:colOff>489585</xdr:colOff>
                    <xdr:row>65</xdr:row>
                    <xdr:rowOff>434975</xdr:rowOff>
                  </to>
                </anchor>
              </controlPr>
            </control>
          </mc:Choice>
        </mc:AlternateContent>
        <mc:AlternateContent xmlns:mc="http://schemas.openxmlformats.org/markup-compatibility/2006">
          <mc:Choice Requires="x14">
            <control shapeId="25635" name="Check Box 35" r:id="rId36">
              <controlPr defaultSize="0">
                <anchor moveWithCells="1" sizeWithCells="1">
                  <from>
                    <xdr:col>6</xdr:col>
                    <xdr:colOff>160655</xdr:colOff>
                    <xdr:row>65</xdr:row>
                    <xdr:rowOff>390525</xdr:rowOff>
                  </from>
                  <to>
                    <xdr:col>6</xdr:col>
                    <xdr:colOff>492760</xdr:colOff>
                    <xdr:row>65</xdr:row>
                    <xdr:rowOff>615315</xdr:rowOff>
                  </to>
                </anchor>
              </controlPr>
            </control>
          </mc:Choice>
        </mc:AlternateContent>
        <mc:AlternateContent xmlns:mc="http://schemas.openxmlformats.org/markup-compatibility/2006">
          <mc:Choice Requires="x14">
            <control shapeId="25636" name="Check Box 36" r:id="rId37">
              <controlPr defaultSize="0">
                <anchor moveWithCells="1" sizeWithCells="1">
                  <from>
                    <xdr:col>6</xdr:col>
                    <xdr:colOff>160655</xdr:colOff>
                    <xdr:row>65</xdr:row>
                    <xdr:rowOff>575310</xdr:rowOff>
                  </from>
                  <to>
                    <xdr:col>6</xdr:col>
                    <xdr:colOff>492760</xdr:colOff>
                    <xdr:row>65</xdr:row>
                    <xdr:rowOff>800100</xdr:rowOff>
                  </to>
                </anchor>
              </controlPr>
            </control>
          </mc:Choice>
        </mc:AlternateContent>
        <mc:AlternateContent xmlns:mc="http://schemas.openxmlformats.org/markup-compatibility/2006">
          <mc:Choice Requires="x14">
            <control shapeId="25637" name="Check Box 37" r:id="rId38">
              <controlPr defaultSize="0">
                <anchor moveWithCells="1" sizeWithCells="1">
                  <from>
                    <xdr:col>6</xdr:col>
                    <xdr:colOff>160655</xdr:colOff>
                    <xdr:row>65</xdr:row>
                    <xdr:rowOff>767080</xdr:rowOff>
                  </from>
                  <to>
                    <xdr:col>6</xdr:col>
                    <xdr:colOff>492760</xdr:colOff>
                    <xdr:row>65</xdr:row>
                    <xdr:rowOff>991870</xdr:rowOff>
                  </to>
                </anchor>
              </controlPr>
            </control>
          </mc:Choice>
        </mc:AlternateContent>
        <mc:AlternateContent xmlns:mc="http://schemas.openxmlformats.org/markup-compatibility/2006">
          <mc:Choice Requires="x14">
            <control shapeId="25638" name="Check Box 38" r:id="rId39">
              <controlPr defaultSize="0">
                <anchor moveWithCells="1" sizeWithCells="1">
                  <from>
                    <xdr:col>6</xdr:col>
                    <xdr:colOff>160655</xdr:colOff>
                    <xdr:row>65</xdr:row>
                    <xdr:rowOff>945515</xdr:rowOff>
                  </from>
                  <to>
                    <xdr:col>6</xdr:col>
                    <xdr:colOff>492760</xdr:colOff>
                    <xdr:row>65</xdr:row>
                    <xdr:rowOff>1170305</xdr:rowOff>
                  </to>
                </anchor>
              </controlPr>
            </control>
          </mc:Choice>
        </mc:AlternateContent>
        <mc:AlternateContent xmlns:mc="http://schemas.openxmlformats.org/markup-compatibility/2006">
          <mc:Choice Requires="x14">
            <control shapeId="25639" name="Check Box 39" r:id="rId40">
              <controlPr defaultSize="0">
                <anchor moveWithCells="1" sizeWithCells="1">
                  <from>
                    <xdr:col>6</xdr:col>
                    <xdr:colOff>170815</xdr:colOff>
                    <xdr:row>82</xdr:row>
                    <xdr:rowOff>193675</xdr:rowOff>
                  </from>
                  <to>
                    <xdr:col>6</xdr:col>
                    <xdr:colOff>455930</xdr:colOff>
                    <xdr:row>82</xdr:row>
                    <xdr:rowOff>482600</xdr:rowOff>
                  </to>
                </anchor>
              </controlPr>
            </control>
          </mc:Choice>
        </mc:AlternateContent>
        <mc:AlternateContent xmlns:mc="http://schemas.openxmlformats.org/markup-compatibility/2006">
          <mc:Choice Requires="x14">
            <control shapeId="25640" name="Check Box 40" r:id="rId41">
              <controlPr defaultSize="0">
                <anchor moveWithCells="1" sizeWithCells="1">
                  <from>
                    <xdr:col>6</xdr:col>
                    <xdr:colOff>172720</xdr:colOff>
                    <xdr:row>82</xdr:row>
                    <xdr:rowOff>424815</xdr:rowOff>
                  </from>
                  <to>
                    <xdr:col>6</xdr:col>
                    <xdr:colOff>457835</xdr:colOff>
                    <xdr:row>82</xdr:row>
                    <xdr:rowOff>716280</xdr:rowOff>
                  </to>
                </anchor>
              </controlPr>
            </control>
          </mc:Choice>
        </mc:AlternateContent>
        <mc:AlternateContent xmlns:mc="http://schemas.openxmlformats.org/markup-compatibility/2006">
          <mc:Choice Requires="x14">
            <control shapeId="25641" name="Check Box 41" r:id="rId42">
              <controlPr defaultSize="0">
                <anchor moveWithCells="1" sizeWithCells="1">
                  <from>
                    <xdr:col>6</xdr:col>
                    <xdr:colOff>172720</xdr:colOff>
                    <xdr:row>82</xdr:row>
                    <xdr:rowOff>664210</xdr:rowOff>
                  </from>
                  <to>
                    <xdr:col>6</xdr:col>
                    <xdr:colOff>457835</xdr:colOff>
                    <xdr:row>82</xdr:row>
                    <xdr:rowOff>955675</xdr:rowOff>
                  </to>
                </anchor>
              </controlPr>
            </control>
          </mc:Choice>
        </mc:AlternateContent>
        <mc:AlternateContent xmlns:mc="http://schemas.openxmlformats.org/markup-compatibility/2006">
          <mc:Choice Requires="x14">
            <control shapeId="25642" name="Check Box 42" r:id="rId43">
              <controlPr defaultSize="0">
                <anchor moveWithCells="1" sizeWithCells="1">
                  <from>
                    <xdr:col>6</xdr:col>
                    <xdr:colOff>172720</xdr:colOff>
                    <xdr:row>82</xdr:row>
                    <xdr:rowOff>913130</xdr:rowOff>
                  </from>
                  <to>
                    <xdr:col>6</xdr:col>
                    <xdr:colOff>457835</xdr:colOff>
                    <xdr:row>82</xdr:row>
                    <xdr:rowOff>1204595</xdr:rowOff>
                  </to>
                </anchor>
              </controlPr>
            </control>
          </mc:Choice>
        </mc:AlternateContent>
        <mc:AlternateContent xmlns:mc="http://schemas.openxmlformats.org/markup-compatibility/2006">
          <mc:Choice Requires="x14">
            <control shapeId="25643" name="Check Box 43" r:id="rId44">
              <controlPr defaultSize="0">
                <anchor moveWithCells="1" sizeWithCells="1">
                  <from>
                    <xdr:col>6</xdr:col>
                    <xdr:colOff>172720</xdr:colOff>
                    <xdr:row>82</xdr:row>
                    <xdr:rowOff>1144270</xdr:rowOff>
                  </from>
                  <to>
                    <xdr:col>6</xdr:col>
                    <xdr:colOff>457835</xdr:colOff>
                    <xdr:row>82</xdr:row>
                    <xdr:rowOff>1435735</xdr:rowOff>
                  </to>
                </anchor>
              </controlPr>
            </control>
          </mc:Choice>
        </mc:AlternateContent>
        <mc:AlternateContent xmlns:mc="http://schemas.openxmlformats.org/markup-compatibility/2006">
          <mc:Choice Requires="x14">
            <control shapeId="25644" name="Check Box 44" r:id="rId45">
              <controlPr defaultSize="0">
                <anchor moveWithCells="1" sizeWithCells="1">
                  <from>
                    <xdr:col>6</xdr:col>
                    <xdr:colOff>173355</xdr:colOff>
                    <xdr:row>82</xdr:row>
                    <xdr:rowOff>1383030</xdr:rowOff>
                  </from>
                  <to>
                    <xdr:col>6</xdr:col>
                    <xdr:colOff>459105</xdr:colOff>
                    <xdr:row>82</xdr:row>
                    <xdr:rowOff>1674495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topLeftCell="A3" workbookViewId="0">
      <selection activeCell="G4" sqref="G4"/>
    </sheetView>
  </sheetViews>
  <sheetFormatPr defaultColWidth="9.14285714285714" defaultRowHeight="15" outlineLevelCol="6"/>
  <cols>
    <col min="1" max="1" width="25.5714285714286" customWidth="1"/>
  </cols>
  <sheetData>
    <row r="1" ht="45.75" spans="1:7">
      <c r="A1" s="2" t="s">
        <v>402</v>
      </c>
      <c r="B1" s="3" t="s">
        <v>403</v>
      </c>
      <c r="D1" s="4" t="s">
        <v>404</v>
      </c>
      <c r="E1" s="4"/>
      <c r="F1" s="4"/>
      <c r="G1" s="4"/>
    </row>
    <row r="2" ht="35" customHeight="1" spans="1:2">
      <c r="A2" s="3" t="s">
        <v>405</v>
      </c>
      <c r="B2" s="3" t="s">
        <v>406</v>
      </c>
    </row>
    <row r="3" ht="30" spans="1:2">
      <c r="A3" s="3" t="s">
        <v>407</v>
      </c>
      <c r="B3" s="3" t="s">
        <v>408</v>
      </c>
    </row>
    <row r="4" ht="30" spans="1:2">
      <c r="A4" s="3" t="s">
        <v>409</v>
      </c>
      <c r="B4" s="3" t="s">
        <v>410</v>
      </c>
    </row>
    <row r="5" ht="15.75" spans="1:2">
      <c r="A5" s="3" t="s">
        <v>411</v>
      </c>
      <c r="B5" s="3" t="s">
        <v>412</v>
      </c>
    </row>
    <row r="6" ht="30" spans="1:2">
      <c r="A6" s="3" t="s">
        <v>413</v>
      </c>
      <c r="B6" s="3" t="s">
        <v>414</v>
      </c>
    </row>
    <row r="7" ht="30" spans="1:2">
      <c r="A7" s="3" t="s">
        <v>415</v>
      </c>
      <c r="B7" s="3" t="s">
        <v>416</v>
      </c>
    </row>
    <row r="8" ht="30" spans="1:2">
      <c r="A8" s="3" t="s">
        <v>417</v>
      </c>
      <c r="B8" s="3" t="s">
        <v>418</v>
      </c>
    </row>
    <row r="9" ht="30" spans="1:2">
      <c r="A9" s="3" t="s">
        <v>419</v>
      </c>
      <c r="B9" s="3" t="s">
        <v>420</v>
      </c>
    </row>
    <row r="10" ht="30" spans="1:2">
      <c r="A10" s="3" t="s">
        <v>421</v>
      </c>
      <c r="B10" s="3" t="s">
        <v>422</v>
      </c>
    </row>
  </sheetData>
  <mergeCells count="1">
    <mergeCell ref="D1:G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102"/>
  <sheetViews>
    <sheetView workbookViewId="0">
      <selection activeCell="S17" sqref="S17"/>
    </sheetView>
  </sheetViews>
  <sheetFormatPr defaultColWidth="8.85714285714286" defaultRowHeight="15"/>
  <cols>
    <col min="2" max="4" width="8.85714285714286" hidden="1" customWidth="1"/>
    <col min="5" max="5" width="11.4285714285714" hidden="1" customWidth="1"/>
    <col min="6" max="8" width="8.85714285714286" hidden="1" customWidth="1"/>
    <col min="9" max="9" width="18" hidden="1" customWidth="1"/>
    <col min="10" max="12" width="8.85714285714286" hidden="1" customWidth="1"/>
    <col min="13" max="13" width="22.4285714285714" hidden="1" customWidth="1"/>
    <col min="14" max="15" width="8.85714285714286" hidden="1" customWidth="1"/>
  </cols>
  <sheetData>
    <row r="2" spans="2:12">
      <c r="B2" t="s">
        <v>423</v>
      </c>
      <c r="C2" t="s">
        <v>424</v>
      </c>
      <c r="E2" t="s">
        <v>425</v>
      </c>
      <c r="F2" s="1" t="s">
        <v>426</v>
      </c>
      <c r="G2" s="1"/>
      <c r="H2" s="1"/>
      <c r="I2" t="s">
        <v>427</v>
      </c>
      <c r="L2" t="s">
        <v>428</v>
      </c>
    </row>
    <row r="3" spans="2:13">
      <c r="B3">
        <v>1</v>
      </c>
      <c r="C3" t="s">
        <v>429</v>
      </c>
      <c r="E3" t="s">
        <v>430</v>
      </c>
      <c r="F3">
        <v>2</v>
      </c>
      <c r="G3">
        <v>2</v>
      </c>
      <c r="H3">
        <v>2</v>
      </c>
      <c r="I3" t="s">
        <v>431</v>
      </c>
      <c r="L3" t="s">
        <v>429</v>
      </c>
      <c r="M3" t="s">
        <v>29</v>
      </c>
    </row>
    <row r="4" spans="2:13">
      <c r="B4">
        <v>2</v>
      </c>
      <c r="C4" t="s">
        <v>432</v>
      </c>
      <c r="E4" t="s">
        <v>433</v>
      </c>
      <c r="F4">
        <v>-1</v>
      </c>
      <c r="G4">
        <v>1</v>
      </c>
      <c r="H4">
        <v>1.5</v>
      </c>
      <c r="I4" t="s">
        <v>434</v>
      </c>
      <c r="L4" t="s">
        <v>432</v>
      </c>
      <c r="M4" t="s">
        <v>33</v>
      </c>
    </row>
    <row r="5" spans="2:13">
      <c r="B5">
        <v>3</v>
      </c>
      <c r="C5" t="s">
        <v>435</v>
      </c>
      <c r="E5" t="s">
        <v>436</v>
      </c>
      <c r="F5">
        <v>0</v>
      </c>
      <c r="G5">
        <v>0</v>
      </c>
      <c r="H5">
        <v>1</v>
      </c>
      <c r="L5" t="s">
        <v>435</v>
      </c>
      <c r="M5" t="s">
        <v>36</v>
      </c>
    </row>
    <row r="6" spans="2:13">
      <c r="B6">
        <v>4</v>
      </c>
      <c r="C6" t="s">
        <v>437</v>
      </c>
      <c r="E6" t="s">
        <v>438</v>
      </c>
      <c r="G6">
        <v>1.5</v>
      </c>
      <c r="H6">
        <v>0.5</v>
      </c>
      <c r="L6" t="s">
        <v>437</v>
      </c>
      <c r="M6" t="s">
        <v>34</v>
      </c>
    </row>
    <row r="7" spans="2:13">
      <c r="B7">
        <v>5</v>
      </c>
      <c r="C7" t="s">
        <v>439</v>
      </c>
      <c r="E7" t="s">
        <v>27</v>
      </c>
      <c r="G7">
        <v>0.5</v>
      </c>
      <c r="H7">
        <v>0</v>
      </c>
      <c r="L7" t="s">
        <v>439</v>
      </c>
      <c r="M7" t="s">
        <v>29</v>
      </c>
    </row>
    <row r="8" spans="2:13">
      <c r="B8">
        <v>6</v>
      </c>
      <c r="C8" t="s">
        <v>440</v>
      </c>
      <c r="E8" t="s">
        <v>441</v>
      </c>
      <c r="G8">
        <v>-1</v>
      </c>
      <c r="L8" t="s">
        <v>440</v>
      </c>
      <c r="M8" t="s">
        <v>30</v>
      </c>
    </row>
    <row r="9" spans="2:13">
      <c r="B9">
        <v>7</v>
      </c>
      <c r="C9" t="s">
        <v>442</v>
      </c>
      <c r="E9" t="s">
        <v>25</v>
      </c>
      <c r="F9">
        <v>2</v>
      </c>
      <c r="L9" t="s">
        <v>442</v>
      </c>
      <c r="M9" t="s">
        <v>30</v>
      </c>
    </row>
    <row r="10" spans="2:13">
      <c r="B10">
        <v>8</v>
      </c>
      <c r="C10" t="s">
        <v>443</v>
      </c>
      <c r="E10" t="s">
        <v>444</v>
      </c>
      <c r="F10">
        <v>1</v>
      </c>
      <c r="L10" t="s">
        <v>443</v>
      </c>
      <c r="M10" t="s">
        <v>35</v>
      </c>
    </row>
    <row r="11" spans="2:13">
      <c r="B11">
        <v>9</v>
      </c>
      <c r="C11" t="s">
        <v>445</v>
      </c>
      <c r="F11">
        <v>0.5</v>
      </c>
      <c r="L11" t="s">
        <v>445</v>
      </c>
      <c r="M11" t="s">
        <v>30</v>
      </c>
    </row>
    <row r="12" spans="2:13">
      <c r="B12">
        <v>10</v>
      </c>
      <c r="C12" t="s">
        <v>446</v>
      </c>
      <c r="F12">
        <v>0</v>
      </c>
      <c r="L12" t="s">
        <v>446</v>
      </c>
      <c r="M12" t="s">
        <v>38</v>
      </c>
    </row>
    <row r="13" spans="2:13">
      <c r="B13">
        <v>11</v>
      </c>
      <c r="C13" t="s">
        <v>447</v>
      </c>
      <c r="L13" t="s">
        <v>447</v>
      </c>
      <c r="M13" t="s">
        <v>35</v>
      </c>
    </row>
    <row r="14" spans="2:13">
      <c r="B14">
        <v>12</v>
      </c>
      <c r="C14" t="s">
        <v>448</v>
      </c>
      <c r="L14" t="s">
        <v>448</v>
      </c>
      <c r="M14" t="s">
        <v>31</v>
      </c>
    </row>
    <row r="15" spans="2:13">
      <c r="B15">
        <v>13</v>
      </c>
      <c r="C15" t="s">
        <v>449</v>
      </c>
      <c r="L15" t="s">
        <v>449</v>
      </c>
      <c r="M15" t="s">
        <v>36</v>
      </c>
    </row>
    <row r="16" spans="2:13">
      <c r="B16">
        <v>14</v>
      </c>
      <c r="C16" t="s">
        <v>450</v>
      </c>
      <c r="L16" t="s">
        <v>450</v>
      </c>
      <c r="M16" t="s">
        <v>34</v>
      </c>
    </row>
    <row r="17" spans="2:13">
      <c r="B17">
        <v>15</v>
      </c>
      <c r="C17" t="s">
        <v>451</v>
      </c>
      <c r="L17" t="s">
        <v>451</v>
      </c>
      <c r="M17" t="s">
        <v>29</v>
      </c>
    </row>
    <row r="18" spans="2:13">
      <c r="B18">
        <v>16</v>
      </c>
      <c r="C18" t="s">
        <v>452</v>
      </c>
      <c r="L18" t="s">
        <v>452</v>
      </c>
      <c r="M18" t="s">
        <v>35</v>
      </c>
    </row>
    <row r="19" spans="2:13">
      <c r="B19">
        <v>17</v>
      </c>
      <c r="C19" t="s">
        <v>453</v>
      </c>
      <c r="L19" t="s">
        <v>453</v>
      </c>
      <c r="M19" t="s">
        <v>30</v>
      </c>
    </row>
    <row r="20" spans="2:13">
      <c r="B20">
        <v>18</v>
      </c>
      <c r="C20" t="s">
        <v>454</v>
      </c>
      <c r="L20" t="s">
        <v>454</v>
      </c>
      <c r="M20" t="s">
        <v>29</v>
      </c>
    </row>
    <row r="21" spans="2:13">
      <c r="B21">
        <v>19</v>
      </c>
      <c r="C21" t="s">
        <v>455</v>
      </c>
      <c r="L21" t="s">
        <v>455</v>
      </c>
      <c r="M21" t="s">
        <v>37</v>
      </c>
    </row>
    <row r="22" spans="2:13">
      <c r="B22">
        <v>20</v>
      </c>
      <c r="C22" t="s">
        <v>456</v>
      </c>
      <c r="L22" t="s">
        <v>456</v>
      </c>
      <c r="M22" t="s">
        <v>29</v>
      </c>
    </row>
    <row r="23" spans="2:13">
      <c r="B23">
        <v>21</v>
      </c>
      <c r="C23" t="s">
        <v>457</v>
      </c>
      <c r="L23" t="s">
        <v>457</v>
      </c>
      <c r="M23" t="s">
        <v>35</v>
      </c>
    </row>
    <row r="24" spans="2:13">
      <c r="B24">
        <v>22</v>
      </c>
      <c r="C24" t="s">
        <v>458</v>
      </c>
      <c r="L24" t="s">
        <v>458</v>
      </c>
      <c r="M24" t="s">
        <v>29</v>
      </c>
    </row>
    <row r="25" spans="2:13">
      <c r="B25">
        <v>23</v>
      </c>
      <c r="C25" t="s">
        <v>459</v>
      </c>
      <c r="L25" t="s">
        <v>459</v>
      </c>
      <c r="M25" t="s">
        <v>29</v>
      </c>
    </row>
    <row r="26" spans="2:13">
      <c r="B26">
        <v>24</v>
      </c>
      <c r="C26" t="s">
        <v>460</v>
      </c>
      <c r="L26" t="s">
        <v>460</v>
      </c>
      <c r="M26" t="s">
        <v>34</v>
      </c>
    </row>
    <row r="27" spans="2:13">
      <c r="B27">
        <v>25</v>
      </c>
      <c r="C27" t="s">
        <v>461</v>
      </c>
      <c r="L27" t="s">
        <v>461</v>
      </c>
      <c r="M27" t="s">
        <v>36</v>
      </c>
    </row>
    <row r="28" spans="2:13">
      <c r="B28">
        <v>26</v>
      </c>
      <c r="C28" t="s">
        <v>462</v>
      </c>
      <c r="L28" t="s">
        <v>462</v>
      </c>
      <c r="M28" t="s">
        <v>30</v>
      </c>
    </row>
    <row r="29" spans="2:13">
      <c r="B29">
        <v>27</v>
      </c>
      <c r="C29" t="s">
        <v>463</v>
      </c>
      <c r="L29" t="s">
        <v>463</v>
      </c>
      <c r="M29" t="s">
        <v>35</v>
      </c>
    </row>
    <row r="30" spans="2:13">
      <c r="B30">
        <v>28</v>
      </c>
      <c r="C30" t="s">
        <v>464</v>
      </c>
      <c r="L30" t="s">
        <v>464</v>
      </c>
      <c r="M30" t="s">
        <v>36</v>
      </c>
    </row>
    <row r="31" spans="2:13">
      <c r="B31">
        <v>29</v>
      </c>
      <c r="C31" t="s">
        <v>465</v>
      </c>
      <c r="L31" t="s">
        <v>465</v>
      </c>
      <c r="M31" t="s">
        <v>31</v>
      </c>
    </row>
    <row r="32" spans="2:13">
      <c r="B32">
        <v>30</v>
      </c>
      <c r="C32" t="s">
        <v>466</v>
      </c>
      <c r="L32" t="s">
        <v>466</v>
      </c>
      <c r="M32" t="s">
        <v>34</v>
      </c>
    </row>
    <row r="33" spans="2:13">
      <c r="B33">
        <v>31</v>
      </c>
      <c r="C33" t="s">
        <v>467</v>
      </c>
      <c r="L33" t="s">
        <v>467</v>
      </c>
      <c r="M33" t="s">
        <v>38</v>
      </c>
    </row>
    <row r="34" spans="2:13">
      <c r="B34">
        <v>32</v>
      </c>
      <c r="C34" t="s">
        <v>468</v>
      </c>
      <c r="L34" t="s">
        <v>468</v>
      </c>
      <c r="M34" t="s">
        <v>35</v>
      </c>
    </row>
    <row r="35" spans="2:13">
      <c r="B35">
        <v>33</v>
      </c>
      <c r="C35" t="s">
        <v>469</v>
      </c>
      <c r="L35" t="s">
        <v>469</v>
      </c>
      <c r="M35" t="s">
        <v>35</v>
      </c>
    </row>
    <row r="36" spans="2:13">
      <c r="B36">
        <v>34</v>
      </c>
      <c r="C36" t="s">
        <v>470</v>
      </c>
      <c r="L36" t="s">
        <v>470</v>
      </c>
      <c r="M36" t="s">
        <v>33</v>
      </c>
    </row>
    <row r="37" spans="2:13">
      <c r="B37">
        <v>35</v>
      </c>
      <c r="C37" t="s">
        <v>471</v>
      </c>
      <c r="L37" t="s">
        <v>471</v>
      </c>
      <c r="M37" t="s">
        <v>33</v>
      </c>
    </row>
    <row r="38" spans="2:13">
      <c r="B38">
        <v>36</v>
      </c>
      <c r="C38" t="s">
        <v>472</v>
      </c>
      <c r="L38" t="s">
        <v>472</v>
      </c>
      <c r="M38" t="s">
        <v>35</v>
      </c>
    </row>
    <row r="39" spans="2:13">
      <c r="B39">
        <v>37</v>
      </c>
      <c r="C39" t="s">
        <v>473</v>
      </c>
      <c r="L39" t="s">
        <v>473</v>
      </c>
      <c r="M39" t="s">
        <v>30</v>
      </c>
    </row>
    <row r="40" spans="2:13">
      <c r="B40">
        <v>38</v>
      </c>
      <c r="C40" t="s">
        <v>474</v>
      </c>
      <c r="L40" t="s">
        <v>474</v>
      </c>
      <c r="M40" t="s">
        <v>30</v>
      </c>
    </row>
    <row r="41" spans="2:13">
      <c r="B41">
        <v>39</v>
      </c>
      <c r="C41" t="s">
        <v>475</v>
      </c>
      <c r="L41" t="s">
        <v>475</v>
      </c>
      <c r="M41" t="s">
        <v>35</v>
      </c>
    </row>
    <row r="42" spans="2:13">
      <c r="B42">
        <v>40</v>
      </c>
      <c r="C42" t="s">
        <v>476</v>
      </c>
      <c r="L42" t="s">
        <v>476</v>
      </c>
      <c r="M42" t="s">
        <v>33</v>
      </c>
    </row>
    <row r="43" spans="2:13">
      <c r="B43">
        <v>41</v>
      </c>
      <c r="C43" t="s">
        <v>477</v>
      </c>
      <c r="L43" t="s">
        <v>477</v>
      </c>
      <c r="M43" t="s">
        <v>29</v>
      </c>
    </row>
    <row r="44" spans="2:13">
      <c r="B44">
        <v>42</v>
      </c>
      <c r="C44" t="s">
        <v>478</v>
      </c>
      <c r="L44" t="s">
        <v>478</v>
      </c>
      <c r="M44" t="s">
        <v>36</v>
      </c>
    </row>
    <row r="45" spans="2:13">
      <c r="B45">
        <v>43</v>
      </c>
      <c r="C45" t="s">
        <v>479</v>
      </c>
      <c r="L45" t="s">
        <v>479</v>
      </c>
      <c r="M45" t="s">
        <v>29</v>
      </c>
    </row>
    <row r="46" spans="2:13">
      <c r="B46">
        <v>44</v>
      </c>
      <c r="C46" t="s">
        <v>480</v>
      </c>
      <c r="L46" t="s">
        <v>480</v>
      </c>
      <c r="M46" t="s">
        <v>29</v>
      </c>
    </row>
    <row r="47" spans="2:13">
      <c r="B47">
        <v>45</v>
      </c>
      <c r="C47" t="s">
        <v>481</v>
      </c>
      <c r="L47" t="s">
        <v>481</v>
      </c>
      <c r="M47" t="s">
        <v>35</v>
      </c>
    </row>
    <row r="48" spans="2:13">
      <c r="B48">
        <v>46</v>
      </c>
      <c r="C48" t="s">
        <v>482</v>
      </c>
      <c r="L48" t="s">
        <v>482</v>
      </c>
      <c r="M48" t="s">
        <v>36</v>
      </c>
    </row>
    <row r="49" spans="2:13">
      <c r="B49">
        <v>47</v>
      </c>
      <c r="C49" t="s">
        <v>483</v>
      </c>
      <c r="L49" t="s">
        <v>483</v>
      </c>
      <c r="M49" t="s">
        <v>33</v>
      </c>
    </row>
    <row r="50" spans="2:13">
      <c r="B50">
        <v>48</v>
      </c>
      <c r="C50" t="s">
        <v>484</v>
      </c>
      <c r="L50" t="s">
        <v>484</v>
      </c>
      <c r="M50" t="s">
        <v>36</v>
      </c>
    </row>
    <row r="51" spans="2:13">
      <c r="B51">
        <v>49</v>
      </c>
      <c r="C51" t="s">
        <v>485</v>
      </c>
      <c r="L51" t="s">
        <v>485</v>
      </c>
      <c r="M51" t="s">
        <v>29</v>
      </c>
    </row>
    <row r="52" spans="2:13">
      <c r="B52">
        <v>50</v>
      </c>
      <c r="C52" t="s">
        <v>486</v>
      </c>
      <c r="L52" t="s">
        <v>486</v>
      </c>
      <c r="M52" t="s">
        <v>36</v>
      </c>
    </row>
    <row r="53" spans="2:13">
      <c r="B53">
        <v>51</v>
      </c>
      <c r="C53" t="s">
        <v>487</v>
      </c>
      <c r="L53" t="s">
        <v>487</v>
      </c>
      <c r="M53" t="s">
        <v>33</v>
      </c>
    </row>
    <row r="54" spans="2:13">
      <c r="B54">
        <v>52</v>
      </c>
      <c r="C54" t="s">
        <v>488</v>
      </c>
      <c r="L54" t="s">
        <v>488</v>
      </c>
      <c r="M54" t="s">
        <v>30</v>
      </c>
    </row>
    <row r="55" spans="2:13">
      <c r="B55">
        <v>53</v>
      </c>
      <c r="C55" t="s">
        <v>489</v>
      </c>
      <c r="L55" t="s">
        <v>489</v>
      </c>
      <c r="M55" t="s">
        <v>34</v>
      </c>
    </row>
    <row r="56" spans="2:13">
      <c r="B56">
        <v>54</v>
      </c>
      <c r="C56" t="s">
        <v>490</v>
      </c>
      <c r="L56" t="s">
        <v>490</v>
      </c>
      <c r="M56" t="s">
        <v>33</v>
      </c>
    </row>
    <row r="57" spans="2:13">
      <c r="B57">
        <v>55</v>
      </c>
      <c r="C57" t="s">
        <v>491</v>
      </c>
      <c r="L57" t="s">
        <v>491</v>
      </c>
      <c r="M57" t="s">
        <v>34</v>
      </c>
    </row>
    <row r="58" spans="2:13">
      <c r="B58">
        <v>56</v>
      </c>
      <c r="C58" t="s">
        <v>492</v>
      </c>
      <c r="L58" t="s">
        <v>492</v>
      </c>
      <c r="M58" t="s">
        <v>36</v>
      </c>
    </row>
    <row r="59" spans="2:13">
      <c r="B59">
        <v>57</v>
      </c>
      <c r="C59" t="s">
        <v>493</v>
      </c>
      <c r="L59" t="s">
        <v>493</v>
      </c>
      <c r="M59" t="s">
        <v>35</v>
      </c>
    </row>
    <row r="60" spans="2:13">
      <c r="B60">
        <v>58</v>
      </c>
      <c r="C60" t="s">
        <v>494</v>
      </c>
      <c r="L60" t="s">
        <v>494</v>
      </c>
      <c r="M60" t="s">
        <v>29</v>
      </c>
    </row>
    <row r="61" spans="2:13">
      <c r="B61">
        <v>59</v>
      </c>
      <c r="C61" t="s">
        <v>495</v>
      </c>
      <c r="L61" t="s">
        <v>495</v>
      </c>
      <c r="M61" t="s">
        <v>36</v>
      </c>
    </row>
    <row r="62" spans="2:13">
      <c r="B62">
        <v>60</v>
      </c>
      <c r="C62" t="s">
        <v>496</v>
      </c>
      <c r="L62" t="s">
        <v>496</v>
      </c>
      <c r="M62" t="s">
        <v>38</v>
      </c>
    </row>
    <row r="63" spans="2:13">
      <c r="B63">
        <v>61</v>
      </c>
      <c r="C63" t="s">
        <v>497</v>
      </c>
      <c r="L63" t="s">
        <v>497</v>
      </c>
      <c r="M63" t="s">
        <v>36</v>
      </c>
    </row>
    <row r="64" spans="2:13">
      <c r="B64">
        <v>62</v>
      </c>
      <c r="C64" t="s">
        <v>498</v>
      </c>
      <c r="L64" t="s">
        <v>498</v>
      </c>
      <c r="M64" t="s">
        <v>34</v>
      </c>
    </row>
    <row r="65" spans="2:13">
      <c r="B65">
        <v>63</v>
      </c>
      <c r="C65" t="s">
        <v>499</v>
      </c>
      <c r="L65" t="s">
        <v>499</v>
      </c>
      <c r="M65" t="s">
        <v>33</v>
      </c>
    </row>
    <row r="66" spans="2:13">
      <c r="B66">
        <v>64</v>
      </c>
      <c r="C66" t="s">
        <v>500</v>
      </c>
      <c r="L66" t="s">
        <v>500</v>
      </c>
      <c r="M66" t="s">
        <v>35</v>
      </c>
    </row>
    <row r="67" spans="2:13">
      <c r="B67">
        <v>65</v>
      </c>
      <c r="C67" t="s">
        <v>501</v>
      </c>
      <c r="L67" t="s">
        <v>501</v>
      </c>
      <c r="M67" t="s">
        <v>36</v>
      </c>
    </row>
    <row r="68" spans="2:13">
      <c r="B68">
        <v>66</v>
      </c>
      <c r="C68" t="s">
        <v>502</v>
      </c>
      <c r="L68" t="s">
        <v>502</v>
      </c>
      <c r="M68" t="s">
        <v>34</v>
      </c>
    </row>
    <row r="69" spans="2:13">
      <c r="B69">
        <v>67</v>
      </c>
      <c r="C69" t="s">
        <v>503</v>
      </c>
      <c r="L69" t="s">
        <v>503</v>
      </c>
      <c r="M69" t="s">
        <v>34</v>
      </c>
    </row>
    <row r="70" spans="2:13">
      <c r="B70">
        <v>68</v>
      </c>
      <c r="C70" t="s">
        <v>504</v>
      </c>
      <c r="L70" t="s">
        <v>504</v>
      </c>
      <c r="M70" t="s">
        <v>29</v>
      </c>
    </row>
    <row r="71" spans="2:13">
      <c r="B71">
        <v>69</v>
      </c>
      <c r="C71" t="s">
        <v>505</v>
      </c>
      <c r="L71" t="s">
        <v>505</v>
      </c>
      <c r="M71" t="s">
        <v>38</v>
      </c>
    </row>
    <row r="72" spans="2:13">
      <c r="B72">
        <v>70</v>
      </c>
      <c r="C72" t="s">
        <v>506</v>
      </c>
      <c r="L72" t="s">
        <v>506</v>
      </c>
      <c r="M72" t="s">
        <v>29</v>
      </c>
    </row>
    <row r="73" spans="2:13">
      <c r="B73">
        <v>71</v>
      </c>
      <c r="C73" t="s">
        <v>507</v>
      </c>
      <c r="L73" t="s">
        <v>507</v>
      </c>
      <c r="M73" t="s">
        <v>28</v>
      </c>
    </row>
    <row r="74" spans="2:13">
      <c r="B74">
        <v>72</v>
      </c>
      <c r="C74" t="s">
        <v>508</v>
      </c>
      <c r="L74" t="s">
        <v>508</v>
      </c>
      <c r="M74" t="s">
        <v>28</v>
      </c>
    </row>
    <row r="75" spans="2:13">
      <c r="B75">
        <v>73</v>
      </c>
      <c r="C75" t="s">
        <v>509</v>
      </c>
      <c r="L75" t="s">
        <v>509</v>
      </c>
      <c r="M75" t="s">
        <v>35</v>
      </c>
    </row>
    <row r="76" spans="2:13">
      <c r="B76">
        <v>74</v>
      </c>
      <c r="C76" t="s">
        <v>510</v>
      </c>
      <c r="L76" t="s">
        <v>510</v>
      </c>
      <c r="M76" t="s">
        <v>35</v>
      </c>
    </row>
    <row r="77" spans="2:13">
      <c r="B77">
        <v>75</v>
      </c>
      <c r="C77" t="s">
        <v>511</v>
      </c>
      <c r="L77" t="s">
        <v>511</v>
      </c>
      <c r="M77" t="s">
        <v>33</v>
      </c>
    </row>
    <row r="78" spans="2:13">
      <c r="B78">
        <v>76</v>
      </c>
      <c r="C78" t="s">
        <v>512</v>
      </c>
      <c r="L78" t="s">
        <v>512</v>
      </c>
      <c r="M78" t="s">
        <v>35</v>
      </c>
    </row>
    <row r="79" spans="2:13">
      <c r="B79">
        <v>77</v>
      </c>
      <c r="C79" t="s">
        <v>513</v>
      </c>
      <c r="L79" t="s">
        <v>513</v>
      </c>
      <c r="M79" t="s">
        <v>33</v>
      </c>
    </row>
    <row r="80" spans="2:13">
      <c r="B80">
        <v>78</v>
      </c>
      <c r="C80" t="s">
        <v>514</v>
      </c>
      <c r="L80" t="s">
        <v>514</v>
      </c>
      <c r="M80" t="s">
        <v>36</v>
      </c>
    </row>
    <row r="81" spans="2:13">
      <c r="B81">
        <v>79</v>
      </c>
      <c r="C81" t="s">
        <v>515</v>
      </c>
      <c r="L81" t="s">
        <v>515</v>
      </c>
      <c r="M81" t="s">
        <v>35</v>
      </c>
    </row>
    <row r="82" spans="2:13">
      <c r="B82">
        <v>80</v>
      </c>
      <c r="C82" t="s">
        <v>516</v>
      </c>
      <c r="L82" t="s">
        <v>516</v>
      </c>
      <c r="M82" t="s">
        <v>38</v>
      </c>
    </row>
    <row r="83" spans="2:13">
      <c r="B83">
        <v>81</v>
      </c>
      <c r="C83" t="s">
        <v>517</v>
      </c>
      <c r="L83" t="s">
        <v>517</v>
      </c>
      <c r="M83" t="s">
        <v>36</v>
      </c>
    </row>
    <row r="84" spans="2:13">
      <c r="B84">
        <v>82</v>
      </c>
      <c r="C84" t="s">
        <v>518</v>
      </c>
      <c r="L84" t="s">
        <v>518</v>
      </c>
      <c r="M84" t="s">
        <v>30</v>
      </c>
    </row>
    <row r="85" spans="2:13">
      <c r="B85">
        <v>83</v>
      </c>
      <c r="C85" t="s">
        <v>519</v>
      </c>
      <c r="L85" t="s">
        <v>519</v>
      </c>
      <c r="M85" t="s">
        <v>30</v>
      </c>
    </row>
    <row r="86" spans="2:13">
      <c r="B86">
        <v>84</v>
      </c>
      <c r="C86" t="s">
        <v>520</v>
      </c>
      <c r="L86" t="s">
        <v>520</v>
      </c>
      <c r="M86" t="s">
        <v>30</v>
      </c>
    </row>
    <row r="87" spans="2:13">
      <c r="B87">
        <v>85</v>
      </c>
      <c r="C87" t="s">
        <v>521</v>
      </c>
      <c r="L87" t="s">
        <v>521</v>
      </c>
      <c r="M87" t="s">
        <v>35</v>
      </c>
    </row>
    <row r="88" spans="2:13">
      <c r="B88">
        <v>86</v>
      </c>
      <c r="C88" t="s">
        <v>522</v>
      </c>
      <c r="L88" t="s">
        <v>522</v>
      </c>
      <c r="M88" t="s">
        <v>35</v>
      </c>
    </row>
    <row r="89" spans="2:13">
      <c r="B89">
        <v>87</v>
      </c>
      <c r="C89" t="s">
        <v>523</v>
      </c>
      <c r="L89" t="s">
        <v>523</v>
      </c>
      <c r="M89" t="s">
        <v>30</v>
      </c>
    </row>
    <row r="90" spans="2:13">
      <c r="B90">
        <v>88</v>
      </c>
      <c r="C90" t="s">
        <v>524</v>
      </c>
      <c r="L90" t="s">
        <v>524</v>
      </c>
      <c r="M90" t="s">
        <v>30</v>
      </c>
    </row>
    <row r="91" spans="2:13">
      <c r="B91">
        <v>89</v>
      </c>
      <c r="C91" t="s">
        <v>525</v>
      </c>
      <c r="L91" t="s">
        <v>525</v>
      </c>
      <c r="M91" t="s">
        <v>30</v>
      </c>
    </row>
    <row r="92" spans="2:13">
      <c r="B92">
        <v>90</v>
      </c>
      <c r="C92" t="s">
        <v>526</v>
      </c>
      <c r="L92" t="s">
        <v>526</v>
      </c>
      <c r="M92" t="s">
        <v>33</v>
      </c>
    </row>
    <row r="93" spans="2:13">
      <c r="B93">
        <v>91</v>
      </c>
      <c r="C93" t="s">
        <v>527</v>
      </c>
      <c r="L93" t="s">
        <v>527</v>
      </c>
      <c r="M93" t="s">
        <v>36</v>
      </c>
    </row>
    <row r="94" spans="2:13">
      <c r="B94">
        <v>92</v>
      </c>
      <c r="C94" t="s">
        <v>528</v>
      </c>
      <c r="L94" t="s">
        <v>528</v>
      </c>
      <c r="M94" t="s">
        <v>36</v>
      </c>
    </row>
    <row r="95" spans="2:13">
      <c r="B95">
        <v>93</v>
      </c>
      <c r="C95" t="s">
        <v>529</v>
      </c>
      <c r="L95" t="s">
        <v>529</v>
      </c>
      <c r="M95" t="s">
        <v>35</v>
      </c>
    </row>
    <row r="96" spans="2:13">
      <c r="B96">
        <v>94</v>
      </c>
      <c r="C96" t="s">
        <v>530</v>
      </c>
      <c r="L96" t="s">
        <v>530</v>
      </c>
      <c r="M96" t="s">
        <v>30</v>
      </c>
    </row>
    <row r="97" spans="2:13">
      <c r="B97">
        <v>95</v>
      </c>
      <c r="C97" t="s">
        <v>531</v>
      </c>
      <c r="L97" t="s">
        <v>531</v>
      </c>
      <c r="M97" t="s">
        <v>33</v>
      </c>
    </row>
    <row r="98" spans="2:13">
      <c r="B98">
        <v>96</v>
      </c>
      <c r="C98" t="s">
        <v>532</v>
      </c>
      <c r="L98" t="s">
        <v>532</v>
      </c>
      <c r="M98" t="s">
        <v>30</v>
      </c>
    </row>
    <row r="99" spans="2:13">
      <c r="B99">
        <v>97</v>
      </c>
      <c r="C99" t="s">
        <v>533</v>
      </c>
      <c r="L99" t="s">
        <v>533</v>
      </c>
      <c r="M99" t="s">
        <v>36</v>
      </c>
    </row>
    <row r="100" spans="2:13">
      <c r="B100">
        <v>98</v>
      </c>
      <c r="C100" t="s">
        <v>534</v>
      </c>
      <c r="L100" t="s">
        <v>534</v>
      </c>
      <c r="M100" t="s">
        <v>36</v>
      </c>
    </row>
    <row r="101" spans="2:13">
      <c r="B101">
        <v>99</v>
      </c>
      <c r="C101" t="s">
        <v>535</v>
      </c>
      <c r="L101" t="s">
        <v>535</v>
      </c>
      <c r="M101" t="s">
        <v>35</v>
      </c>
    </row>
    <row r="102" spans="2:13">
      <c r="B102">
        <v>100</v>
      </c>
      <c r="C102" t="s">
        <v>536</v>
      </c>
      <c r="L102" t="s">
        <v>536</v>
      </c>
      <c r="M102" t="s">
        <v>32</v>
      </c>
    </row>
  </sheetData>
  <sheetProtection algorithmName="SHA-512" hashValue="QVyBTjruvjjSWILv55M41a0sA24vLA2i4kSvJP7qqFNY7qPptw+N7qAHjaXGIDyWcrV8CFtcRE0QSBu4Kub99w==" saltValue="3XewPw+cqNlMwPfXiOiu5w==" spinCount="100000" sheet="1" objects="1" scenarios="1"/>
  <mergeCells count="1">
    <mergeCell ref="F2:H2"/>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8" master="" otherUserPermission="visible"/>
  <rangeList sheetStid="24" master="" otherUserPermission="visible"/>
  <rangeList sheetStid="25" master="" otherUserPermission="visible"/>
  <rangeList sheetStid="9"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Nguyên tắc đánh giá</vt:lpstr>
      <vt:lpstr>VNSI</vt:lpstr>
      <vt:lpstr>Đánh giá R&amp;D</vt:lpstr>
      <vt:lpstr>DK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c:creator>
  <cp:lastModifiedBy>Thanh Dinh</cp:lastModifiedBy>
  <dcterms:created xsi:type="dcterms:W3CDTF">2018-06-10T15:52:00Z</dcterms:created>
  <cp:lastPrinted>2024-05-03T08:22:00Z</cp:lastPrinted>
  <dcterms:modified xsi:type="dcterms:W3CDTF">2025-12-14T14:44:10Z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53E1EA99FBAE41ACA0A5DD7A7F469EAA_12</vt:lpwstr>
  </property>
  <property fmtid="{D5CDD505-2E9C-101B-9397-08002B2CF9AE}" pid="3" name="KSOProductBuildVer">
    <vt:lpwstr>1033-12.2.0.23155</vt:lpwstr>
  </property>
</Properties>
</file>