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ốc - nhớ drop 2014" sheetId="1" r:id="rId5"/>
    <sheet state="visible" name="Copy of Trang tính4" sheetId="2" r:id="rId6"/>
    <sheet state="visible" name="Final - stata" sheetId="3" r:id="rId7"/>
    <sheet state="visible" name="Copy of Final - stata" sheetId="4" r:id="rId8"/>
    <sheet state="visible" name="Sheet11" sheetId="5" r:id="rId9"/>
    <sheet state="visible" name="Sheet12" sheetId="6" r:id="rId10"/>
  </sheets>
  <definedNames/>
  <calcPr/>
</workbook>
</file>

<file path=xl/sharedStrings.xml><?xml version="1.0" encoding="utf-8"?>
<sst xmlns="http://schemas.openxmlformats.org/spreadsheetml/2006/main" count="5517" uniqueCount="1530">
  <si>
    <t>-</t>
  </si>
  <si>
    <t>Tổng nợ phải trả</t>
  </si>
  <si>
    <t>Tổng doanh thu từ hoạt động kinh doanh</t>
  </si>
  <si>
    <t>Tăng trưởng doanh thu (Công thức chuẩn)</t>
  </si>
  <si>
    <t>Tổng nguồn vốn</t>
  </si>
  <si>
    <t>Giá trị thị trường VCSH</t>
  </si>
  <si>
    <t>Giá trị thị trường VCSH 
Price close x Số cổ phiếu lưu hành</t>
  </si>
  <si>
    <t>Năm</t>
  </si>
  <si>
    <t>Doanh nghiệp</t>
  </si>
  <si>
    <t>ESG (Gemini)</t>
  </si>
  <si>
    <t>ESG (Gemini) với t-1</t>
  </si>
  <si>
    <t>ESGUI - 1</t>
  </si>
  <si>
    <t>Mean ESG</t>
  </si>
  <si>
    <t>ESGUI (độ lệch chuẩn của esg)</t>
  </si>
  <si>
    <t>ESGUI t-1</t>
  </si>
  <si>
    <t>Lợi nhuận sau thuế</t>
  </si>
  <si>
    <t>Vốn CSH</t>
  </si>
  <si>
    <t>Total Assets</t>
  </si>
  <si>
    <t>Total Liabilities</t>
  </si>
  <si>
    <t>Revenue from Business Activities - Total</t>
  </si>
  <si>
    <t xml:space="preserve">Growth </t>
  </si>
  <si>
    <t>Total Liabilities &amp; Equity</t>
  </si>
  <si>
    <t>FV</t>
  </si>
  <si>
    <t xml:space="preserve">Giá trị thị trường VCSH   </t>
  </si>
  <si>
    <t xml:space="preserve">Year </t>
  </si>
  <si>
    <t>Company</t>
  </si>
  <si>
    <t xml:space="preserve">esg  </t>
  </si>
  <si>
    <t>esgt1</t>
  </si>
  <si>
    <t xml:space="preserve">esgui  </t>
  </si>
  <si>
    <t>mean esg</t>
  </si>
  <si>
    <t>esguime</t>
  </si>
  <si>
    <t>esguit1</t>
  </si>
  <si>
    <t>Net Income after Tax</t>
  </si>
  <si>
    <t>Total Shareholders' Equity - including Minority Interest &amp; Hybrid Debt</t>
  </si>
  <si>
    <t>864005703000</t>
  </si>
  <si>
    <t>780544025000</t>
  </si>
  <si>
    <t>32854908000</t>
  </si>
  <si>
    <t>ACB</t>
  </si>
  <si>
    <t>89.2</t>
  </si>
  <si>
    <t>16789768000</t>
  </si>
  <si>
    <t>83461678000</t>
  </si>
  <si>
    <t>718794589000</t>
  </si>
  <si>
    <t>647838628000</t>
  </si>
  <si>
    <t>31807535000</t>
  </si>
  <si>
    <t>16044733000</t>
  </si>
  <si>
    <t>70955961000</t>
  </si>
  <si>
    <t>607875185000</t>
  </si>
  <si>
    <t>549436522000</t>
  </si>
  <si>
    <t>27740917000</t>
  </si>
  <si>
    <t>13688193000</t>
  </si>
  <si>
    <t>58438663000</t>
  </si>
  <si>
    <t>527769944000</t>
  </si>
  <si>
    <t>482869035000</t>
  </si>
  <si>
    <t>23404322000</t>
  </si>
  <si>
    <t>9602746000</t>
  </si>
  <si>
    <t>44900909000</t>
  </si>
  <si>
    <t>444530104000</t>
  </si>
  <si>
    <t>409081941000</t>
  </si>
  <si>
    <t>17862582000</t>
  </si>
  <si>
    <t>7682823000</t>
  </si>
  <si>
    <t>35448163000</t>
  </si>
  <si>
    <t>383514439000</t>
  </si>
  <si>
    <t>355749080000</t>
  </si>
  <si>
    <t>14568505000</t>
  </si>
  <si>
    <t>57.6</t>
  </si>
  <si>
    <t>6009937000</t>
  </si>
  <si>
    <t>27765359000</t>
  </si>
  <si>
    <t>329333241000</t>
  </si>
  <si>
    <t>308315342000</t>
  </si>
  <si>
    <t>12188196000</t>
  </si>
  <si>
    <t>5137052000</t>
  </si>
  <si>
    <t>21017899000</t>
  </si>
  <si>
    <t>284316123000</t>
  </si>
  <si>
    <t>268285276000</t>
  </si>
  <si>
    <t>10511198000</t>
  </si>
  <si>
    <t>2118131000</t>
  </si>
  <si>
    <t>16030847000</t>
  </si>
  <si>
    <t>233680877000</t>
  </si>
  <si>
    <t>219618161000</t>
  </si>
  <si>
    <t>7252487000</t>
  </si>
  <si>
    <t>1325174000</t>
  </si>
  <si>
    <t>14062716000</t>
  </si>
  <si>
    <t>201456985000</t>
  </si>
  <si>
    <t>188669443000</t>
  </si>
  <si>
    <t>5956321000</t>
  </si>
  <si>
    <t>1028232000</t>
  </si>
  <si>
    <t>12787542000</t>
  </si>
  <si>
    <t>179609771000</t>
  </si>
  <si>
    <t>167212468000</t>
  </si>
  <si>
    <t>5886752000</t>
  </si>
  <si>
    <t>951802000</t>
  </si>
  <si>
    <t>12397303000</t>
  </si>
  <si>
    <t>836603903000</t>
  </si>
  <si>
    <t>682769422000</t>
  </si>
  <si>
    <t>189068040000</t>
  </si>
  <si>
    <t>VIC</t>
  </si>
  <si>
    <t>88.2</t>
  </si>
  <si>
    <t>86.8</t>
  </si>
  <si>
    <t>5276058000</t>
  </si>
  <si>
    <t>153834481000</t>
  </si>
  <si>
    <t>667655767000</t>
  </si>
  <si>
    <t>519434081000</t>
  </si>
  <si>
    <t>161427568000</t>
  </si>
  <si>
    <t>86.1</t>
  </si>
  <si>
    <t>2056061000</t>
  </si>
  <si>
    <t>148221686000</t>
  </si>
  <si>
    <t>577407240000</t>
  </si>
  <si>
    <t>441751791000</t>
  </si>
  <si>
    <t>101793582000</t>
  </si>
  <si>
    <t>2044344000</t>
  </si>
  <si>
    <t>135655449000</t>
  </si>
  <si>
    <t>428384465000</t>
  </si>
  <si>
    <t>268812599000</t>
  </si>
  <si>
    <t>125687870000</t>
  </si>
  <si>
    <t>81.9</t>
  </si>
  <si>
    <t>-7558164000</t>
  </si>
  <si>
    <t>159571866000</t>
  </si>
  <si>
    <t>423340877000</t>
  </si>
  <si>
    <t>286975562000</t>
  </si>
  <si>
    <t>110490033000</t>
  </si>
  <si>
    <t>73.1</t>
  </si>
  <si>
    <t>4545573000</t>
  </si>
  <si>
    <t>136365315000</t>
  </si>
  <si>
    <t>403740753000</t>
  </si>
  <si>
    <t>283152164000</t>
  </si>
  <si>
    <t>130036014000</t>
  </si>
  <si>
    <t>70.2</t>
  </si>
  <si>
    <t>7716613000</t>
  </si>
  <si>
    <t>120588589000</t>
  </si>
  <si>
    <t>288127175000</t>
  </si>
  <si>
    <t>188960461000</t>
  </si>
  <si>
    <t>121894401000</t>
  </si>
  <si>
    <t>65.6</t>
  </si>
  <si>
    <t>6237893000</t>
  </si>
  <si>
    <t>99166714000</t>
  </si>
  <si>
    <t>213792056985</t>
  </si>
  <si>
    <t>161235046807</t>
  </si>
  <si>
    <t>89350048598</t>
  </si>
  <si>
    <t>61.6</t>
  </si>
  <si>
    <t>5654941791</t>
  </si>
  <si>
    <t>52557010178</t>
  </si>
  <si>
    <t>183475625945</t>
  </si>
  <si>
    <t>135184454789</t>
  </si>
  <si>
    <t>57614343666</t>
  </si>
  <si>
    <t>57.8</t>
  </si>
  <si>
    <t>4458145157</t>
  </si>
  <si>
    <t>48291171156</t>
  </si>
  <si>
    <t>145554357552</t>
  </si>
  <si>
    <t>107969432655</t>
  </si>
  <si>
    <t>34047966313</t>
  </si>
  <si>
    <t>1501475443</t>
  </si>
  <si>
    <t>37584924897</t>
  </si>
  <si>
    <t>90069766505</t>
  </si>
  <si>
    <t>62607077830</t>
  </si>
  <si>
    <t>27723633371</t>
  </si>
  <si>
    <t>3776045741</t>
  </si>
  <si>
    <t>27462688676</t>
  </si>
  <si>
    <t>147584718000</t>
  </si>
  <si>
    <t>106832338000</t>
  </si>
  <si>
    <t>83177720000</t>
  </si>
  <si>
    <t>MSN</t>
  </si>
  <si>
    <t>89.9</t>
  </si>
  <si>
    <t>85.6</t>
  </si>
  <si>
    <t>4272384000</t>
  </si>
  <si>
    <t>40752380000</t>
  </si>
  <si>
    <t>147383472000</t>
  </si>
  <si>
    <t>109146231000</t>
  </si>
  <si>
    <t>78251619000</t>
  </si>
  <si>
    <t>81.7</t>
  </si>
  <si>
    <t>1869927000</t>
  </si>
  <si>
    <t>38237241000</t>
  </si>
  <si>
    <t>141342815000</t>
  </si>
  <si>
    <t>104706076000</t>
  </si>
  <si>
    <t>76189225000</t>
  </si>
  <si>
    <t>4754384000</t>
  </si>
  <si>
    <t>36636739000</t>
  </si>
  <si>
    <t>126093471000</t>
  </si>
  <si>
    <t>83756819000</t>
  </si>
  <si>
    <t>88628767000</t>
  </si>
  <si>
    <t>68.7</t>
  </si>
  <si>
    <t>10101381000</t>
  </si>
  <si>
    <t>42336652000</t>
  </si>
  <si>
    <t>115736562000</t>
  </si>
  <si>
    <t>90706283000</t>
  </si>
  <si>
    <t>77217808000</t>
  </si>
  <si>
    <t>60.2</t>
  </si>
  <si>
    <t>1395013000</t>
  </si>
  <si>
    <t>25030279000</t>
  </si>
  <si>
    <t>97297251000</t>
  </si>
  <si>
    <t>45408844000</t>
  </si>
  <si>
    <t>37354087000</t>
  </si>
  <si>
    <t>60.5</t>
  </si>
  <si>
    <t>6364615000</t>
  </si>
  <si>
    <t>51888407000</t>
  </si>
  <si>
    <t>64578613000</t>
  </si>
  <si>
    <t>30498935000</t>
  </si>
  <si>
    <t>38187617000</t>
  </si>
  <si>
    <t>55.5</t>
  </si>
  <si>
    <t>5621505000</t>
  </si>
  <si>
    <t>34079678000</t>
  </si>
  <si>
    <t>63528522000</t>
  </si>
  <si>
    <t>43303327000</t>
  </si>
  <si>
    <t>37620646000</t>
  </si>
  <si>
    <t>48.7</t>
  </si>
  <si>
    <t>3607690000</t>
  </si>
  <si>
    <t>20225195000</t>
  </si>
  <si>
    <t>73039038000</t>
  </si>
  <si>
    <t>52726413000</t>
  </si>
  <si>
    <t>43297064000</t>
  </si>
  <si>
    <t>42.2</t>
  </si>
  <si>
    <t>3772497000</t>
  </si>
  <si>
    <t>20312625000</t>
  </si>
  <si>
    <t>71849700000</t>
  </si>
  <si>
    <t>44740654000</t>
  </si>
  <si>
    <t>30628410000</t>
  </si>
  <si>
    <t>37.2</t>
  </si>
  <si>
    <t>2527250000</t>
  </si>
  <si>
    <t>27109046000</t>
  </si>
  <si>
    <t>52965100000</t>
  </si>
  <si>
    <t>31039961000</t>
  </si>
  <si>
    <t>16119894000</t>
  </si>
  <si>
    <t>2037042000</t>
  </si>
  <si>
    <t>21925139000</t>
  </si>
  <si>
    <t>224489707554</t>
  </si>
  <si>
    <t>109842249570</t>
  </si>
  <si>
    <t>138855112131</t>
  </si>
  <si>
    <t>HPG</t>
  </si>
  <si>
    <t>78.7</t>
  </si>
  <si>
    <t>74.1</t>
  </si>
  <si>
    <t>12020023621</t>
  </si>
  <si>
    <t>114647457984</t>
  </si>
  <si>
    <t>187782586564</t>
  </si>
  <si>
    <t>84946167324</t>
  </si>
  <si>
    <t>118953027894</t>
  </si>
  <si>
    <t>71.3</t>
  </si>
  <si>
    <t>6800388315</t>
  </si>
  <si>
    <t>102836419239</t>
  </si>
  <si>
    <t>170335521637</t>
  </si>
  <si>
    <t>74222582021</t>
  </si>
  <si>
    <t>141409274461</t>
  </si>
  <si>
    <t>70.4</t>
  </si>
  <si>
    <t>8444429055</t>
  </si>
  <si>
    <t>96112939616</t>
  </si>
  <si>
    <t>178236422358</t>
  </si>
  <si>
    <t>87455796847</t>
  </si>
  <si>
    <t>149679789979</t>
  </si>
  <si>
    <t>65.2</t>
  </si>
  <si>
    <t>34520954931</t>
  </si>
  <si>
    <t>90780625511</t>
  </si>
  <si>
    <t>131511434389</t>
  </si>
  <si>
    <t>72291648083</t>
  </si>
  <si>
    <t>90118503427</t>
  </si>
  <si>
    <t>59.9</t>
  </si>
  <si>
    <t>13506164057</t>
  </si>
  <si>
    <t>59219786306</t>
  </si>
  <si>
    <t>101776030100</t>
  </si>
  <si>
    <t>53989393956</t>
  </si>
  <si>
    <t>63658192674</t>
  </si>
  <si>
    <t>7578248236</t>
  </si>
  <si>
    <t>47786636144</t>
  </si>
  <si>
    <t>78223007671</t>
  </si>
  <si>
    <t>37600057830</t>
  </si>
  <si>
    <t>55836458380</t>
  </si>
  <si>
    <t>49.2</t>
  </si>
  <si>
    <t>8600550706</t>
  </si>
  <si>
    <t>40622949841</t>
  </si>
  <si>
    <t>53022184778</t>
  </si>
  <si>
    <t>20624604566</t>
  </si>
  <si>
    <t>46161691614</t>
  </si>
  <si>
    <t>44.3</t>
  </si>
  <si>
    <t>8014756586</t>
  </si>
  <si>
    <t>32397580212</t>
  </si>
  <si>
    <t>33226552318</t>
  </si>
  <si>
    <t>13376291240</t>
  </si>
  <si>
    <t>33283210160</t>
  </si>
  <si>
    <t>42.5</t>
  </si>
  <si>
    <t>6606202727</t>
  </si>
  <si>
    <t>19850261078</t>
  </si>
  <si>
    <t>25506769186</t>
  </si>
  <si>
    <t>11040058800</t>
  </si>
  <si>
    <t>27452932114</t>
  </si>
  <si>
    <t>39.8</t>
  </si>
  <si>
    <t>3504382488</t>
  </si>
  <si>
    <t>14466710385</t>
  </si>
  <si>
    <t>22089104398</t>
  </si>
  <si>
    <t>10123764654</t>
  </si>
  <si>
    <t>25525348823</t>
  </si>
  <si>
    <t>3250214590</t>
  </si>
  <si>
    <t>11965339744</t>
  </si>
  <si>
    <t>2385387732000</t>
  </si>
  <si>
    <t>2236883024000</t>
  </si>
  <si>
    <t>73099249000</t>
  </si>
  <si>
    <t>CTG</t>
  </si>
  <si>
    <t>94.5</t>
  </si>
  <si>
    <t>92.2</t>
  </si>
  <si>
    <t>25482567000</t>
  </si>
  <si>
    <t>148504708000</t>
  </si>
  <si>
    <t>2032613606000</t>
  </si>
  <si>
    <t>1906741786000</t>
  </si>
  <si>
    <t>64457821000</t>
  </si>
  <si>
    <t>90.8</t>
  </si>
  <si>
    <t>20044622000</t>
  </si>
  <si>
    <t>125871820000</t>
  </si>
  <si>
    <t>1808810868000</t>
  </si>
  <si>
    <t>1700494560000</t>
  </si>
  <si>
    <t>57067078000</t>
  </si>
  <si>
    <t>16983645000</t>
  </si>
  <si>
    <t>108316308000</t>
  </si>
  <si>
    <t>1531587398000</t>
  </si>
  <si>
    <t>1437937887000</t>
  </si>
  <si>
    <t>49281184000</t>
  </si>
  <si>
    <t>86.9</t>
  </si>
  <si>
    <t>14215342000</t>
  </si>
  <si>
    <t>93649511000</t>
  </si>
  <si>
    <t>1341509978000</t>
  </si>
  <si>
    <t>1256070754000</t>
  </si>
  <si>
    <t>42904028000</t>
  </si>
  <si>
    <t>82.5</t>
  </si>
  <si>
    <t>13785208000</t>
  </si>
  <si>
    <t>85439224000</t>
  </si>
  <si>
    <t>1240711475000</t>
  </si>
  <si>
    <t>1163356657000</t>
  </si>
  <si>
    <t>38393551000</t>
  </si>
  <si>
    <t>9476989000</t>
  </si>
  <si>
    <t>77354818000</t>
  </si>
  <si>
    <t>1164289661000</t>
  </si>
  <si>
    <t>1096973327000</t>
  </si>
  <si>
    <t>26182274000</t>
  </si>
  <si>
    <t>76.4</t>
  </si>
  <si>
    <t>5277246000</t>
  </si>
  <si>
    <t>67316334000</t>
  </si>
  <si>
    <t>1095060842000</t>
  </si>
  <si>
    <t>1031295559000</t>
  </si>
  <si>
    <t>29881952000</t>
  </si>
  <si>
    <t>73.5</t>
  </si>
  <si>
    <t>7458902000</t>
  </si>
  <si>
    <t>63765283000</t>
  </si>
  <si>
    <t>948699023000</t>
  </si>
  <si>
    <t>888299620000</t>
  </si>
  <si>
    <t>24911917000</t>
  </si>
  <si>
    <t>69.4</t>
  </si>
  <si>
    <t>6765211000</t>
  </si>
  <si>
    <t>60399403000</t>
  </si>
  <si>
    <t>779483487000</t>
  </si>
  <si>
    <t>723373341000</t>
  </si>
  <si>
    <t>20500638000</t>
  </si>
  <si>
    <t>5716878000</t>
  </si>
  <si>
    <t>56110146000</t>
  </si>
  <si>
    <t>661241727000</t>
  </si>
  <si>
    <t>605982623000</t>
  </si>
  <si>
    <t>19466333000</t>
  </si>
  <si>
    <t>5727880000</t>
  </si>
  <si>
    <t>55259104000</t>
  </si>
  <si>
    <t>71999995679</t>
  </si>
  <si>
    <t>36272455574</t>
  </si>
  <si>
    <t>62848794351</t>
  </si>
  <si>
    <t>FPT</t>
  </si>
  <si>
    <t>87.5</t>
  </si>
  <si>
    <t>84.5</t>
  </si>
  <si>
    <t>9427422530</t>
  </si>
  <si>
    <t>35727540105</t>
  </si>
  <si>
    <t>60282827533</t>
  </si>
  <si>
    <t>30349816317</t>
  </si>
  <si>
    <t>52617900827</t>
  </si>
  <si>
    <t>81.1</t>
  </si>
  <si>
    <t>7788049740</t>
  </si>
  <si>
    <t>29933011216</t>
  </si>
  <si>
    <t>51650403735</t>
  </si>
  <si>
    <t>26294279047</t>
  </si>
  <si>
    <t>44009527681</t>
  </si>
  <si>
    <t>79.2</t>
  </si>
  <si>
    <t>6491343454</t>
  </si>
  <si>
    <t>25356124688</t>
  </si>
  <si>
    <t>53697940896</t>
  </si>
  <si>
    <t>32279955666</t>
  </si>
  <si>
    <t>35657262545</t>
  </si>
  <si>
    <t>76.5</t>
  </si>
  <si>
    <t>5349301100</t>
  </si>
  <si>
    <t>21417985230</t>
  </si>
  <si>
    <t>41734323235</t>
  </si>
  <si>
    <t>23128655834</t>
  </si>
  <si>
    <t>29830400527</t>
  </si>
  <si>
    <t>73.4</t>
  </si>
  <si>
    <t>4423745218</t>
  </si>
  <si>
    <t>18605667401</t>
  </si>
  <si>
    <t>33394164264</t>
  </si>
  <si>
    <t>16594874863</t>
  </si>
  <si>
    <t>27716960152</t>
  </si>
  <si>
    <t>3911712167</t>
  </si>
  <si>
    <t>16799289401</t>
  </si>
  <si>
    <t>29757067150</t>
  </si>
  <si>
    <t>14982096384</t>
  </si>
  <si>
    <t>23213536858</t>
  </si>
  <si>
    <t>3233997141</t>
  </si>
  <si>
    <t>14774970765</t>
  </si>
  <si>
    <t>24999676896</t>
  </si>
  <si>
    <t>11761300662</t>
  </si>
  <si>
    <t>42658610841</t>
  </si>
  <si>
    <t>66.8</t>
  </si>
  <si>
    <t>3528113914</t>
  </si>
  <si>
    <t>13238376234</t>
  </si>
  <si>
    <t>29833261814</t>
  </si>
  <si>
    <t>18385186549</t>
  </si>
  <si>
    <t>39531468664</t>
  </si>
  <si>
    <t>2575690845</t>
  </si>
  <si>
    <t>11448075265</t>
  </si>
  <si>
    <t>26045588544</t>
  </si>
  <si>
    <t>15863302791</t>
  </si>
  <si>
    <t>37959698756</t>
  </si>
  <si>
    <t>2438084765</t>
  </si>
  <si>
    <t>10182285753</t>
  </si>
  <si>
    <t>22658343951</t>
  </si>
  <si>
    <t>13400525193</t>
  </si>
  <si>
    <t>32644656359</t>
  </si>
  <si>
    <t>2079124799</t>
  </si>
  <si>
    <t>9257818758</t>
  </si>
  <si>
    <t>81854881408</t>
  </si>
  <si>
    <t>20283886143</t>
  </si>
  <si>
    <t>103564126563</t>
  </si>
  <si>
    <t>GAS</t>
  </si>
  <si>
    <t>89.1</t>
  </si>
  <si>
    <t>86.6</t>
  </si>
  <si>
    <t>10590120586</t>
  </si>
  <si>
    <t>61570995266</t>
  </si>
  <si>
    <t>87754455330</t>
  </si>
  <si>
    <t>22455835056</t>
  </si>
  <si>
    <t>89953906513</t>
  </si>
  <si>
    <t>84.1</t>
  </si>
  <si>
    <t>11793095480</t>
  </si>
  <si>
    <t>65298620274</t>
  </si>
  <si>
    <t>82662652366</t>
  </si>
  <si>
    <t>21489088811</t>
  </si>
  <si>
    <t>100723549227</t>
  </si>
  <si>
    <t>82.3</t>
  </si>
  <si>
    <t>15066392289</t>
  </si>
  <si>
    <t>61173563555</t>
  </si>
  <si>
    <t>78768074689</t>
  </si>
  <si>
    <t>26575344013</t>
  </si>
  <si>
    <t>78992156122</t>
  </si>
  <si>
    <t>8851812130</t>
  </si>
  <si>
    <t>52192730675</t>
  </si>
  <si>
    <t>63208401030</t>
  </si>
  <si>
    <t>13708720045</t>
  </si>
  <si>
    <t>64134965487</t>
  </si>
  <si>
    <t>77.5</t>
  </si>
  <si>
    <t>7971791220</t>
  </si>
  <si>
    <t>49499680985</t>
  </si>
  <si>
    <t>62178787390</t>
  </si>
  <si>
    <t>12564256032</t>
  </si>
  <si>
    <t>75005297175</t>
  </si>
  <si>
    <t>75.7</t>
  </si>
  <si>
    <t>12085651310</t>
  </si>
  <si>
    <t>49614531358</t>
  </si>
  <si>
    <t>62614420245</t>
  </si>
  <si>
    <t>15747295133</t>
  </si>
  <si>
    <t>75611546239</t>
  </si>
  <si>
    <t>72.5</t>
  </si>
  <si>
    <t>11708565480</t>
  </si>
  <si>
    <t>46867125113</t>
  </si>
  <si>
    <t>61889343342</t>
  </si>
  <si>
    <t>18617834578</t>
  </si>
  <si>
    <t>64522440976</t>
  </si>
  <si>
    <t>9937792548</t>
  </si>
  <si>
    <t>43271508765</t>
  </si>
  <si>
    <t>56753853518</t>
  </si>
  <si>
    <t>15910005640</t>
  </si>
  <si>
    <t>59076193176</t>
  </si>
  <si>
    <t>7172409730</t>
  </si>
  <si>
    <t>40843847878</t>
  </si>
  <si>
    <t>56714606287</t>
  </si>
  <si>
    <t>13825543405</t>
  </si>
  <si>
    <t>64300204038</t>
  </si>
  <si>
    <t>63.5</t>
  </si>
  <si>
    <t>8832125918</t>
  </si>
  <si>
    <t>42889062882</t>
  </si>
  <si>
    <t>53791407348</t>
  </si>
  <si>
    <t>16112058788</t>
  </si>
  <si>
    <t>73375146204</t>
  </si>
  <si>
    <t>14360825184</t>
  </si>
  <si>
    <t>37679348561</t>
  </si>
  <si>
    <t>1128801062000</t>
  </si>
  <si>
    <t>1011741481000</t>
  </si>
  <si>
    <t>52079759000</t>
  </si>
  <si>
    <t>MBB</t>
  </si>
  <si>
    <t>22951264000</t>
  </si>
  <si>
    <t>117059581000</t>
  </si>
  <si>
    <t>944953640000</t>
  </si>
  <si>
    <t>848242481000</t>
  </si>
  <si>
    <t>44820868000</t>
  </si>
  <si>
    <t>21053792000</t>
  </si>
  <si>
    <t>96711159000</t>
  </si>
  <si>
    <t>728532373000</t>
  </si>
  <si>
    <t>648919154000</t>
  </si>
  <si>
    <t>43319026000</t>
  </si>
  <si>
    <t>18155185000</t>
  </si>
  <si>
    <t>79613219000</t>
  </si>
  <si>
    <t>607140419000</t>
  </si>
  <si>
    <t>544654396000</t>
  </si>
  <si>
    <t>33565349000</t>
  </si>
  <si>
    <t>13221437000</t>
  </si>
  <si>
    <t>62486023000</t>
  </si>
  <si>
    <t>494982162000</t>
  </si>
  <si>
    <t>444882667000</t>
  </si>
  <si>
    <t>25590112000</t>
  </si>
  <si>
    <t>8606039000</t>
  </si>
  <si>
    <t>50099495000</t>
  </si>
  <si>
    <t>411487575000</t>
  </si>
  <si>
    <t>371601761000</t>
  </si>
  <si>
    <t>22472823000</t>
  </si>
  <si>
    <t>8068604000</t>
  </si>
  <si>
    <t>39885814000</t>
  </si>
  <si>
    <t>362325062000</t>
  </si>
  <si>
    <t>328152204000</t>
  </si>
  <si>
    <t>17889864000</t>
  </si>
  <si>
    <t>6189901000</t>
  </si>
  <si>
    <t>34172858000</t>
  </si>
  <si>
    <t>313877828000</t>
  </si>
  <si>
    <t>284276658000</t>
  </si>
  <si>
    <t>12695845000</t>
  </si>
  <si>
    <t>3490415000</t>
  </si>
  <si>
    <t>29601170000</t>
  </si>
  <si>
    <t>256258500000</t>
  </si>
  <si>
    <t>229670054000</t>
  </si>
  <si>
    <t>8876381000</t>
  </si>
  <si>
    <t>2883551000</t>
  </si>
  <si>
    <t>26588446000</t>
  </si>
  <si>
    <t>221041993000</t>
  </si>
  <si>
    <t>197858942000</t>
  </si>
  <si>
    <t>8155450000</t>
  </si>
  <si>
    <t>2512134000</t>
  </si>
  <si>
    <t>23183051000</t>
  </si>
  <si>
    <t>200489173222</t>
  </si>
  <si>
    <t>183340962178</t>
  </si>
  <si>
    <t>7886609195</t>
  </si>
  <si>
    <t>2502988046</t>
  </si>
  <si>
    <t>17148211044</t>
  </si>
  <si>
    <t>2085873522000</t>
  </si>
  <si>
    <t>1889664354000</t>
  </si>
  <si>
    <t>65899614000</t>
  </si>
  <si>
    <t>VCB</t>
  </si>
  <si>
    <t>33853117000</t>
  </si>
  <si>
    <t>196209168000</t>
  </si>
  <si>
    <t>1839724560000</t>
  </si>
  <si>
    <t>1674644070000</t>
  </si>
  <si>
    <t>65224408000</t>
  </si>
  <si>
    <t>33122272000</t>
  </si>
  <si>
    <t>165080490000</t>
  </si>
  <si>
    <t>1813815170000</t>
  </si>
  <si>
    <t>1678169085000</t>
  </si>
  <si>
    <t>65820424000</t>
  </si>
  <si>
    <t>29919054000</t>
  </si>
  <si>
    <t>135646085000</t>
  </si>
  <si>
    <t>1414986259000</t>
  </si>
  <si>
    <t>1305799830000</t>
  </si>
  <si>
    <t>54106895000</t>
  </si>
  <si>
    <t>22016833000</t>
  </si>
  <si>
    <t>109186429000</t>
  </si>
  <si>
    <t>1326230092000</t>
  </si>
  <si>
    <t>1232135113000</t>
  </si>
  <si>
    <t>46800903000</t>
  </si>
  <si>
    <t>18472518000</t>
  </si>
  <si>
    <t>94094979000</t>
  </si>
  <si>
    <t>1222813692000</t>
  </si>
  <si>
    <t>1141859355000</t>
  </si>
  <si>
    <t>42378470000</t>
  </si>
  <si>
    <t>18597344000</t>
  </si>
  <si>
    <t>80954337000</t>
  </si>
  <si>
    <t>1074026560000</t>
  </si>
  <si>
    <t>1011847181000</t>
  </si>
  <si>
    <t>34327899000</t>
  </si>
  <si>
    <t>14622062000</t>
  </si>
  <si>
    <t>62179379000</t>
  </si>
  <si>
    <t>1035293283000</t>
  </si>
  <si>
    <t>982735324000</t>
  </si>
  <si>
    <t>26974830000</t>
  </si>
  <si>
    <t>9110588000</t>
  </si>
  <si>
    <t>52557959000</t>
  </si>
  <si>
    <t>787935088000</t>
  </si>
  <si>
    <t>739789532000</t>
  </si>
  <si>
    <t>22895925000</t>
  </si>
  <si>
    <t>6895047000</t>
  </si>
  <si>
    <t>48145556000</t>
  </si>
  <si>
    <t>674394640000</t>
  </si>
  <si>
    <t>629222298000</t>
  </si>
  <si>
    <t>19248083000</t>
  </si>
  <si>
    <t>5332067000</t>
  </si>
  <si>
    <t>45172342000</t>
  </si>
  <si>
    <t>576995651000</t>
  </si>
  <si>
    <t>533523828000</t>
  </si>
  <si>
    <t>15289616000</t>
  </si>
  <si>
    <t>4585710000</t>
  </si>
  <si>
    <t>43471823000</t>
  </si>
  <si>
    <t>55049061537</t>
  </si>
  <si>
    <t>18874658707</t>
  </si>
  <si>
    <t>61782609528</t>
  </si>
  <si>
    <t>VNM</t>
  </si>
  <si>
    <t>94.3</t>
  </si>
  <si>
    <t>92.7</t>
  </si>
  <si>
    <t>9452892990</t>
  </si>
  <si>
    <t>36174402830</t>
  </si>
  <si>
    <t>52673371104</t>
  </si>
  <si>
    <t>17647627339</t>
  </si>
  <si>
    <t>60368915512</t>
  </si>
  <si>
    <t>90.3</t>
  </si>
  <si>
    <t>9019354165</t>
  </si>
  <si>
    <t>35025743765</t>
  </si>
  <si>
    <t>48482664236</t>
  </si>
  <si>
    <t>15666145881</t>
  </si>
  <si>
    <t>59956247197</t>
  </si>
  <si>
    <t>88.4</t>
  </si>
  <si>
    <t>8577575320</t>
  </si>
  <si>
    <t>32816518355</t>
  </si>
  <si>
    <t>53332403438</t>
  </si>
  <si>
    <t>17482289189</t>
  </si>
  <si>
    <t>60919164846</t>
  </si>
  <si>
    <t>10632535972</t>
  </si>
  <si>
    <t>35850114249</t>
  </si>
  <si>
    <t>48432480674</t>
  </si>
  <si>
    <t>14785358444</t>
  </si>
  <si>
    <t>59636286226</t>
  </si>
  <si>
    <t>81.2</t>
  </si>
  <si>
    <t>11235732234</t>
  </si>
  <si>
    <t>33647122230</t>
  </si>
  <si>
    <t>44699873386</t>
  </si>
  <si>
    <t>14968618182</t>
  </si>
  <si>
    <t>56318122763</t>
  </si>
  <si>
    <t>78.3</t>
  </si>
  <si>
    <t>10554331881</t>
  </si>
  <si>
    <t>29731255204</t>
  </si>
  <si>
    <t>37366108654</t>
  </si>
  <si>
    <t>11094739362</t>
  </si>
  <si>
    <t>52561949971</t>
  </si>
  <si>
    <t>10205629711</t>
  </si>
  <si>
    <t>26271369292</t>
  </si>
  <si>
    <t>34667318838</t>
  </si>
  <si>
    <t>10794261024</t>
  </si>
  <si>
    <t>51041075885</t>
  </si>
  <si>
    <t>70.1</t>
  </si>
  <si>
    <t>10278174553</t>
  </si>
  <si>
    <t>23873057814</t>
  </si>
  <si>
    <t>29378656325</t>
  </si>
  <si>
    <t>6972707037</t>
  </si>
  <si>
    <t>46794339400</t>
  </si>
  <si>
    <t>65.5</t>
  </si>
  <si>
    <t>9363829777</t>
  </si>
  <si>
    <t>22405949289</t>
  </si>
  <si>
    <t>27478175944</t>
  </si>
  <si>
    <t>6554260197</t>
  </si>
  <si>
    <t>40080384511</t>
  </si>
  <si>
    <t>62.8</t>
  </si>
  <si>
    <t>7769552752</t>
  </si>
  <si>
    <t>20923915748</t>
  </si>
  <si>
    <t>25770138061</t>
  </si>
  <si>
    <t>5969901577</t>
  </si>
  <si>
    <t>35072015515</t>
  </si>
  <si>
    <t>6068202966</t>
  </si>
  <si>
    <t>19800236484</t>
  </si>
  <si>
    <t>13768215584</t>
  </si>
  <si>
    <t>7531941631</t>
  </si>
  <si>
    <t>12782230561</t>
  </si>
  <si>
    <t>AAA</t>
  </si>
  <si>
    <t>90.7</t>
  </si>
  <si>
    <t>87.3</t>
  </si>
  <si>
    <t>319781841</t>
  </si>
  <si>
    <t>623627395320</t>
  </si>
  <si>
    <t>11583445506</t>
  </si>
  <si>
    <t>5619574566</t>
  </si>
  <si>
    <t>12621514145</t>
  </si>
  <si>
    <t>84.9</t>
  </si>
  <si>
    <t>309193823</t>
  </si>
  <si>
    <t>617118541747</t>
  </si>
  <si>
    <t>10795832682</t>
  </si>
  <si>
    <t>4624647264</t>
  </si>
  <si>
    <t>15290297073</t>
  </si>
  <si>
    <t>117291268</t>
  </si>
  <si>
    <t>596387094023</t>
  </si>
  <si>
    <t>10009526635</t>
  </si>
  <si>
    <t>4555144898</t>
  </si>
  <si>
    <t>13143109864</t>
  </si>
  <si>
    <t>79.3</t>
  </si>
  <si>
    <t>324143024</t>
  </si>
  <si>
    <t>545438173705</t>
  </si>
  <si>
    <t>8569414401</t>
  </si>
  <si>
    <t>4545451942</t>
  </si>
  <si>
    <t>7428557015</t>
  </si>
  <si>
    <t>71.6</t>
  </si>
  <si>
    <t>283172811</t>
  </si>
  <si>
    <t>402396245850</t>
  </si>
  <si>
    <t>7987454159</t>
  </si>
  <si>
    <t>4732215965</t>
  </si>
  <si>
    <t>9258073281</t>
  </si>
  <si>
    <t>491028873</t>
  </si>
  <si>
    <t>325523819317</t>
  </si>
  <si>
    <t>7529166722</t>
  </si>
  <si>
    <t>4548916574</t>
  </si>
  <si>
    <t>8011572613</t>
  </si>
  <si>
    <t>54.1</t>
  </si>
  <si>
    <t>212148914</t>
  </si>
  <si>
    <t>298025014869</t>
  </si>
  <si>
    <t>4576157129</t>
  </si>
  <si>
    <t>2951186840</t>
  </si>
  <si>
    <t>4069608303</t>
  </si>
  <si>
    <t>51.5</t>
  </si>
  <si>
    <t>263364106</t>
  </si>
  <si>
    <t>162497028862</t>
  </si>
  <si>
    <t>3077615979</t>
  </si>
  <si>
    <t>2122863876</t>
  </si>
  <si>
    <t>2143769809</t>
  </si>
  <si>
    <t>142925018</t>
  </si>
  <si>
    <t>95475210232</t>
  </si>
  <si>
    <t>1954764678</t>
  </si>
  <si>
    <t>1135279410</t>
  </si>
  <si>
    <t>1614548948</t>
  </si>
  <si>
    <t>40548814</t>
  </si>
  <si>
    <t>81948526825</t>
  </si>
  <si>
    <t>1421650735</t>
  </si>
  <si>
    <t>635324912</t>
  </si>
  <si>
    <t>1560643609</t>
  </si>
  <si>
    <t>47780875</t>
  </si>
  <si>
    <t>78632582326</t>
  </si>
  <si>
    <t>17207730778</t>
  </si>
  <si>
    <t>5952424147</t>
  </si>
  <si>
    <t>37822837171</t>
  </si>
  <si>
    <t>PNJ</t>
  </si>
  <si>
    <t>2112916283</t>
  </si>
  <si>
    <t>11255306631</t>
  </si>
  <si>
    <t>14427558015</t>
  </si>
  <si>
    <t>4621377351</t>
  </si>
  <si>
    <t>33136929196</t>
  </si>
  <si>
    <t>1971099177</t>
  </si>
  <si>
    <t>9806180664</t>
  </si>
  <si>
    <t>13337124649</t>
  </si>
  <si>
    <t>4893029994</t>
  </si>
  <si>
    <t>33876454559</t>
  </si>
  <si>
    <t>1810379573</t>
  </si>
  <si>
    <t>8444094655</t>
  </si>
  <si>
    <t>10619016547</t>
  </si>
  <si>
    <t>4606382567</t>
  </si>
  <si>
    <t>19547058365</t>
  </si>
  <si>
    <t>1029042166</t>
  </si>
  <si>
    <t>6012633980</t>
  </si>
  <si>
    <t>8483146098</t>
  </si>
  <si>
    <t>3241284233</t>
  </si>
  <si>
    <t>17510788651</t>
  </si>
  <si>
    <t>1069310105</t>
  </si>
  <si>
    <t>5241861865</t>
  </si>
  <si>
    <t>8602964422</t>
  </si>
  <si>
    <t>4025698610</t>
  </si>
  <si>
    <t>17000681081</t>
  </si>
  <si>
    <t>1193924957</t>
  </si>
  <si>
    <t>4577265811</t>
  </si>
  <si>
    <t>6437895557</t>
  </si>
  <si>
    <t>2692822129</t>
  </si>
  <si>
    <t>14571135745</t>
  </si>
  <si>
    <t>959923347</t>
  </si>
  <si>
    <t>3745073428</t>
  </si>
  <si>
    <t>4571300155</t>
  </si>
  <si>
    <t>1542697241</t>
  </si>
  <si>
    <t>10976836890</t>
  </si>
  <si>
    <t>724856448</t>
  </si>
  <si>
    <t>3028602914</t>
  </si>
  <si>
    <t>3587986910</t>
  </si>
  <si>
    <t>2087660200</t>
  </si>
  <si>
    <t>8564590490</t>
  </si>
  <si>
    <t>450488049</t>
  </si>
  <si>
    <t>1500326711</t>
  </si>
  <si>
    <t>2975891425</t>
  </si>
  <si>
    <t>1660638094</t>
  </si>
  <si>
    <t>7706035206</t>
  </si>
  <si>
    <t>75545717</t>
  </si>
  <si>
    <t>1315253331</t>
  </si>
  <si>
    <t>2828672141</t>
  </si>
  <si>
    <t>1532149330</t>
  </si>
  <si>
    <t>9199218098</t>
  </si>
  <si>
    <t>255871805</t>
  </si>
  <si>
    <t>1296522812</t>
  </si>
  <si>
    <t>2760791854000</t>
  </si>
  <si>
    <t>2615880741000</t>
  </si>
  <si>
    <t>75628363000</t>
  </si>
  <si>
    <t>2024</t>
  </si>
  <si>
    <t>BID</t>
  </si>
  <si>
    <t>93.9</t>
  </si>
  <si>
    <t>25604037000</t>
  </si>
  <si>
    <t>144911113000</t>
  </si>
  <si>
    <t>2300868728000</t>
  </si>
  <si>
    <t>2178001839000</t>
  </si>
  <si>
    <t>70589943000</t>
  </si>
  <si>
    <t>2023</t>
  </si>
  <si>
    <t>89.3</t>
  </si>
  <si>
    <t>21977141000</t>
  </si>
  <si>
    <t>122866889000</t>
  </si>
  <si>
    <t>2120609384000</t>
  </si>
  <si>
    <t>2016419389000</t>
  </si>
  <si>
    <t>65081165000</t>
  </si>
  <si>
    <t>2022</t>
  </si>
  <si>
    <t>18420014000</t>
  </si>
  <si>
    <t>104189995000</t>
  </si>
  <si>
    <t>1761695792000</t>
  </si>
  <si>
    <t>1675366766000</t>
  </si>
  <si>
    <t>56127415000</t>
  </si>
  <si>
    <t>2021</t>
  </si>
  <si>
    <t>85.8</t>
  </si>
  <si>
    <t>10841271000</t>
  </si>
  <si>
    <t>86329026000</t>
  </si>
  <si>
    <t>1516685712000</t>
  </si>
  <si>
    <t>1437039100000</t>
  </si>
  <si>
    <t>44790309000</t>
  </si>
  <si>
    <t>2020</t>
  </si>
  <si>
    <t>7223565000</t>
  </si>
  <si>
    <t>79646612000</t>
  </si>
  <si>
    <t>1489957293000</t>
  </si>
  <si>
    <t>1412304312000</t>
  </si>
  <si>
    <t>42545581000</t>
  </si>
  <si>
    <t>2019</t>
  </si>
  <si>
    <t>74.6</t>
  </si>
  <si>
    <t>8547757000</t>
  </si>
  <si>
    <t>77652981000</t>
  </si>
  <si>
    <t>1312866249000</t>
  </si>
  <si>
    <t>1258376593000</t>
  </si>
  <si>
    <t>40195918000</t>
  </si>
  <si>
    <t>2018</t>
  </si>
  <si>
    <t>70.5</t>
  </si>
  <si>
    <t>7480028000</t>
  </si>
  <si>
    <t>54489656000</t>
  </si>
  <si>
    <t>1202283843000</t>
  </si>
  <si>
    <t>1153449833000</t>
  </si>
  <si>
    <t>35402185000</t>
  </si>
  <si>
    <t>2017</t>
  </si>
  <si>
    <t>66.4</t>
  </si>
  <si>
    <t>6945586000</t>
  </si>
  <si>
    <t>48834010000</t>
  </si>
  <si>
    <t>1006380635000</t>
  </si>
  <si>
    <t>962265673000</t>
  </si>
  <si>
    <t>27301949000</t>
  </si>
  <si>
    <t>2016</t>
  </si>
  <si>
    <t>6196434000</t>
  </si>
  <si>
    <t>44114962000</t>
  </si>
  <si>
    <t>850669649000</t>
  </si>
  <si>
    <t>808334189000</t>
  </si>
  <si>
    <t>21893779000</t>
  </si>
  <si>
    <t>2015</t>
  </si>
  <si>
    <t>6376756000</t>
  </si>
  <si>
    <t>42335460000</t>
  </si>
  <si>
    <t>650340373000</t>
  </si>
  <si>
    <t>616734174000</t>
  </si>
  <si>
    <t>19941106000</t>
  </si>
  <si>
    <t>2014</t>
  </si>
  <si>
    <t>4985667000</t>
  </si>
  <si>
    <t>33606199000</t>
  </si>
  <si>
    <t>36362339884</t>
  </si>
  <si>
    <t>13907555789</t>
  </si>
  <si>
    <t>8383666601</t>
  </si>
  <si>
    <t>REE</t>
  </si>
  <si>
    <t>2396000255</t>
  </si>
  <si>
    <t>22454784094</t>
  </si>
  <si>
    <t>34912272846</t>
  </si>
  <si>
    <t>14142171608</t>
  </si>
  <si>
    <t>8569918342</t>
  </si>
  <si>
    <t>2786658064</t>
  </si>
  <si>
    <t>20770101238</t>
  </si>
  <si>
    <t>33914556734</t>
  </si>
  <si>
    <t>14710864121</t>
  </si>
  <si>
    <t>9371927777</t>
  </si>
  <si>
    <t>3515376975</t>
  </si>
  <si>
    <t>19203692613</t>
  </si>
  <si>
    <t>31827003374</t>
  </si>
  <si>
    <t>15469126321</t>
  </si>
  <si>
    <t>5809810929</t>
  </si>
  <si>
    <t>2135410247</t>
  </si>
  <si>
    <t>16357877054</t>
  </si>
  <si>
    <t>20530453735</t>
  </si>
  <si>
    <t>8317804815</t>
  </si>
  <si>
    <t>5639752726</t>
  </si>
  <si>
    <t>1713501779</t>
  </si>
  <si>
    <t>12212648920</t>
  </si>
  <si>
    <t>19622764796</t>
  </si>
  <si>
    <t>8521096256</t>
  </si>
  <si>
    <t>4889831825</t>
  </si>
  <si>
    <t>1719924371</t>
  </si>
  <si>
    <t>11101668539</t>
  </si>
  <si>
    <t>15499663108</t>
  </si>
  <si>
    <t>5571294774</t>
  </si>
  <si>
    <t>5100654997</t>
  </si>
  <si>
    <t>1884758639</t>
  </si>
  <si>
    <t>9928368334</t>
  </si>
  <si>
    <t>14294667349</t>
  </si>
  <si>
    <t>5601390148</t>
  </si>
  <si>
    <t>4995173416</t>
  </si>
  <si>
    <t>1522825181</t>
  </si>
  <si>
    <t>8693277201</t>
  </si>
  <si>
    <t>11396635177</t>
  </si>
  <si>
    <t>3675493959</t>
  </si>
  <si>
    <t>3659362606</t>
  </si>
  <si>
    <t>1173659204</t>
  </si>
  <si>
    <t>7721141218</t>
  </si>
  <si>
    <t>9608923457</t>
  </si>
  <si>
    <t>2925903329</t>
  </si>
  <si>
    <t>2643383938</t>
  </si>
  <si>
    <t>888086814</t>
  </si>
  <si>
    <t>6683020129</t>
  </si>
  <si>
    <t>8403186382</t>
  </si>
  <si>
    <t>2064935777</t>
  </si>
  <si>
    <t>2629386474</t>
  </si>
  <si>
    <t>1098653506</t>
  </si>
  <si>
    <t>6338250605</t>
  </si>
  <si>
    <t>36671413228</t>
  </si>
  <si>
    <t>27547027571</t>
  </si>
  <si>
    <t>3027742956</t>
  </si>
  <si>
    <t>CII</t>
  </si>
  <si>
    <t>618285446</t>
  </si>
  <si>
    <t>9124385657</t>
  </si>
  <si>
    <t>33184094516</t>
  </si>
  <si>
    <t>24678766295</t>
  </si>
  <si>
    <t>3089709940</t>
  </si>
  <si>
    <t>369952271</t>
  </si>
  <si>
    <t>8505328221</t>
  </si>
  <si>
    <t>28559496485</t>
  </si>
  <si>
    <t>20258490378</t>
  </si>
  <si>
    <t>5747990668</t>
  </si>
  <si>
    <t>860548281</t>
  </si>
  <si>
    <t>8301006107</t>
  </si>
  <si>
    <t>30870173187</t>
  </si>
  <si>
    <t>22491394695</t>
  </si>
  <si>
    <t>2860034048</t>
  </si>
  <si>
    <t>-242076368</t>
  </si>
  <si>
    <t>8378778492</t>
  </si>
  <si>
    <t>29547034102</t>
  </si>
  <si>
    <t>21761422304</t>
  </si>
  <si>
    <t>5374091665</t>
  </si>
  <si>
    <t>472023633</t>
  </si>
  <si>
    <t>7785611798</t>
  </si>
  <si>
    <t>29249127937</t>
  </si>
  <si>
    <t>20624170381</t>
  </si>
  <si>
    <t>1813161122</t>
  </si>
  <si>
    <t>458943648</t>
  </si>
  <si>
    <t>8624957556</t>
  </si>
  <si>
    <t>22271753853</t>
  </si>
  <si>
    <t>14558270455</t>
  </si>
  <si>
    <t>2686002678</t>
  </si>
  <si>
    <t>215127700</t>
  </si>
  <si>
    <t>7713483398</t>
  </si>
  <si>
    <t>20709186741</t>
  </si>
  <si>
    <t>13078321310</t>
  </si>
  <si>
    <t>2041166114</t>
  </si>
  <si>
    <t>1612683881</t>
  </si>
  <si>
    <t>7630865431</t>
  </si>
  <si>
    <t>10141186306</t>
  </si>
  <si>
    <t>5844391013</t>
  </si>
  <si>
    <t>1210755810</t>
  </si>
  <si>
    <t>998510930</t>
  </si>
  <si>
    <t>4296795293</t>
  </si>
  <si>
    <t>15065848797</t>
  </si>
  <si>
    <t>10424462193</t>
  </si>
  <si>
    <t>1750947735</t>
  </si>
  <si>
    <t>791610772</t>
  </si>
  <si>
    <t>4641386604</t>
  </si>
  <si>
    <t>8994450770</t>
  </si>
  <si>
    <t>5777636333</t>
  </si>
  <si>
    <t>2606471374</t>
  </si>
  <si>
    <t>544284670</t>
  </si>
  <si>
    <t>3216814437</t>
  </si>
  <si>
    <t>794816191</t>
  </si>
  <si>
    <t>522248001</t>
  </si>
  <si>
    <t>423749900</t>
  </si>
  <si>
    <t>CCI</t>
  </si>
  <si>
    <t>32827950</t>
  </si>
  <si>
    <t>272568189</t>
  </si>
  <si>
    <t>783523604</t>
  </si>
  <si>
    <t>518627938</t>
  </si>
  <si>
    <t>425126764</t>
  </si>
  <si>
    <t>25155427</t>
  </si>
  <si>
    <t>264895666</t>
  </si>
  <si>
    <t>778312015</t>
  </si>
  <si>
    <t>513657820</t>
  </si>
  <si>
    <t>474168351</t>
  </si>
  <si>
    <t>24913957</t>
  </si>
  <si>
    <t>264654196</t>
  </si>
  <si>
    <t>689162756</t>
  </si>
  <si>
    <t>409071906</t>
  </si>
  <si>
    <t>299154974</t>
  </si>
  <si>
    <t>32563470</t>
  </si>
  <si>
    <t>280090850</t>
  </si>
  <si>
    <t>692860267</t>
  </si>
  <si>
    <t>417454631</t>
  </si>
  <si>
    <t>290363486</t>
  </si>
  <si>
    <t>30143040</t>
  </si>
  <si>
    <t>275405635</t>
  </si>
  <si>
    <t>691050184</t>
  </si>
  <si>
    <t>418291270</t>
  </si>
  <si>
    <t>384577419</t>
  </si>
  <si>
    <t>29608091</t>
  </si>
  <si>
    <t>272758914</t>
  </si>
  <si>
    <t>688253584</t>
  </si>
  <si>
    <t>417662790</t>
  </si>
  <si>
    <t>398487537</t>
  </si>
  <si>
    <t>29252585</t>
  </si>
  <si>
    <t>270590794</t>
  </si>
  <si>
    <t>685043797</t>
  </si>
  <si>
    <t>416286694</t>
  </si>
  <si>
    <t>335015602</t>
  </si>
  <si>
    <t>28728775</t>
  </si>
  <si>
    <t>268757103</t>
  </si>
  <si>
    <t>663185603</t>
  </si>
  <si>
    <t>399434410</t>
  </si>
  <si>
    <t>293946135</t>
  </si>
  <si>
    <t>26505758</t>
  </si>
  <si>
    <t>263751193</t>
  </si>
  <si>
    <t>603620095</t>
  </si>
  <si>
    <t>388475413</t>
  </si>
  <si>
    <t>372330767</t>
  </si>
  <si>
    <t>22878993</t>
  </si>
  <si>
    <t>215144682</t>
  </si>
  <si>
    <t>592612185</t>
  </si>
  <si>
    <t>386626456</t>
  </si>
  <si>
    <t>507015051</t>
  </si>
  <si>
    <t>15070380</t>
  </si>
  <si>
    <t>205985729</t>
  </si>
  <si>
    <t>1381797106</t>
  </si>
  <si>
    <t>732492247</t>
  </si>
  <si>
    <t>1600157431</t>
  </si>
  <si>
    <t>SFG</t>
  </si>
  <si>
    <t>25684185</t>
  </si>
  <si>
    <t>649304859</t>
  </si>
  <si>
    <t>1243946545</t>
  </si>
  <si>
    <t>590405768</t>
  </si>
  <si>
    <t>1558964939</t>
  </si>
  <si>
    <t>56820856</t>
  </si>
  <si>
    <t>653540777</t>
  </si>
  <si>
    <t>1082838886</t>
  </si>
  <si>
    <t>467710121</t>
  </si>
  <si>
    <t>2008514779</t>
  </si>
  <si>
    <t>45030666</t>
  </si>
  <si>
    <t>615128764</t>
  </si>
  <si>
    <t>1428503833</t>
  </si>
  <si>
    <t>844839712</t>
  </si>
  <si>
    <t>2109677176</t>
  </si>
  <si>
    <t>36595558</t>
  </si>
  <si>
    <t>583664121</t>
  </si>
  <si>
    <t>1055285204</t>
  </si>
  <si>
    <t>495868249</t>
  </si>
  <si>
    <t>1388464415</t>
  </si>
  <si>
    <t>3025747</t>
  </si>
  <si>
    <t>559416955</t>
  </si>
  <si>
    <t>1086826113</t>
  </si>
  <si>
    <t>530095739</t>
  </si>
  <si>
    <t>1627071727</t>
  </si>
  <si>
    <t>1539578</t>
  </si>
  <si>
    <t>556730375</t>
  </si>
  <si>
    <t>1245005057</t>
  </si>
  <si>
    <t>664981957</t>
  </si>
  <si>
    <t>2241156160</t>
  </si>
  <si>
    <t>68900402</t>
  </si>
  <si>
    <t>580023100</t>
  </si>
  <si>
    <t>1237931869</t>
  </si>
  <si>
    <t>649015835</t>
  </si>
  <si>
    <t>2382581300</t>
  </si>
  <si>
    <t>91953764</t>
  </si>
  <si>
    <t>588916035</t>
  </si>
  <si>
    <t>1167802045</t>
  </si>
  <si>
    <t>600934867</t>
  </si>
  <si>
    <t>2338423672</t>
  </si>
  <si>
    <t>91235859</t>
  </si>
  <si>
    <t>566867178</t>
  </si>
  <si>
    <t>1351547003</t>
  </si>
  <si>
    <t>772296527</t>
  </si>
  <si>
    <t>2337950276</t>
  </si>
  <si>
    <t>86046094</t>
  </si>
  <si>
    <t>579250476</t>
  </si>
  <si>
    <t>1578518451</t>
  </si>
  <si>
    <t>987219631</t>
  </si>
  <si>
    <t>2237982347</t>
  </si>
  <si>
    <t>100898267</t>
  </si>
  <si>
    <t>591298820</t>
  </si>
  <si>
    <t>1444460078</t>
  </si>
  <si>
    <t>105775523</t>
  </si>
  <si>
    <t>627846754</t>
  </si>
  <si>
    <t>SHP</t>
  </si>
  <si>
    <t>295930714</t>
  </si>
  <si>
    <t>1338684555</t>
  </si>
  <si>
    <t>1545800640</t>
  </si>
  <si>
    <t>189464782</t>
  </si>
  <si>
    <t>661182642</t>
  </si>
  <si>
    <t>275280935</t>
  </si>
  <si>
    <t>1356335858</t>
  </si>
  <si>
    <t>1768989904</t>
  </si>
  <si>
    <t>321761718</t>
  </si>
  <si>
    <t>746101515</t>
  </si>
  <si>
    <t>321031923</t>
  </si>
  <si>
    <t>1447228186</t>
  </si>
  <si>
    <t>1832513519</t>
  </si>
  <si>
    <t>495848732</t>
  </si>
  <si>
    <t>657816352</t>
  </si>
  <si>
    <t>265133366</t>
  </si>
  <si>
    <t>1336664787</t>
  </si>
  <si>
    <t>1825096043</t>
  </si>
  <si>
    <t>704246521</t>
  </si>
  <si>
    <t>429384136</t>
  </si>
  <si>
    <t>63417687</t>
  </si>
  <si>
    <t>1120849521</t>
  </si>
  <si>
    <t>2085171272</t>
  </si>
  <si>
    <t>831819037</t>
  </si>
  <si>
    <t>643027011</t>
  </si>
  <si>
    <t>216427799</t>
  </si>
  <si>
    <t>1253352234</t>
  </si>
  <si>
    <t>2312275716</t>
  </si>
  <si>
    <t>1078030880</t>
  </si>
  <si>
    <t>619287153</t>
  </si>
  <si>
    <t>187515015</t>
  </si>
  <si>
    <t>1234244835</t>
  </si>
  <si>
    <t>2473073396</t>
  </si>
  <si>
    <t>1256010601</t>
  </si>
  <si>
    <t>616963732</t>
  </si>
  <si>
    <t>185252699</t>
  </si>
  <si>
    <t>1217062795</t>
  </si>
  <si>
    <t>2645698850</t>
  </si>
  <si>
    <t>1468420633</t>
  </si>
  <si>
    <t>512966684</t>
  </si>
  <si>
    <t>98056436</t>
  </si>
  <si>
    <t>1177278217</t>
  </si>
  <si>
    <t>2912982107</t>
  </si>
  <si>
    <t>1676012561</t>
  </si>
  <si>
    <t>594685478</t>
  </si>
  <si>
    <t>164561091</t>
  </si>
  <si>
    <t>1236969546</t>
  </si>
  <si>
    <t>3205652873</t>
  </si>
  <si>
    <t>1983874614</t>
  </si>
  <si>
    <t>596443771</t>
  </si>
  <si>
    <t>220112613</t>
  </si>
  <si>
    <t>1221778259</t>
  </si>
  <si>
    <t>898722136</t>
  </si>
  <si>
    <t>14386287</t>
  </si>
  <si>
    <t>381114193</t>
  </si>
  <si>
    <t>SKG</t>
  </si>
  <si>
    <t>33974610</t>
  </si>
  <si>
    <t>884335850</t>
  </si>
  <si>
    <t>897399839</t>
  </si>
  <si>
    <t>15372733</t>
  </si>
  <si>
    <t>409409403</t>
  </si>
  <si>
    <t>69710779</t>
  </si>
  <si>
    <t>882027107</t>
  </si>
  <si>
    <t>857093329</t>
  </si>
  <si>
    <t>13111133</t>
  </si>
  <si>
    <t>409849711</t>
  </si>
  <si>
    <t>42977071</t>
  </si>
  <si>
    <t>843982195</t>
  </si>
  <si>
    <t>811532609</t>
  </si>
  <si>
    <t>10527485</t>
  </si>
  <si>
    <t>167159109</t>
  </si>
  <si>
    <t xml:space="preserve">-38539403 </t>
  </si>
  <si>
    <t>801005125</t>
  </si>
  <si>
    <t>884955781</t>
  </si>
  <si>
    <t>13745386</t>
  </si>
  <si>
    <t>304339465</t>
  </si>
  <si>
    <t>22708584</t>
  </si>
  <si>
    <t>871210395</t>
  </si>
  <si>
    <t>929727164</t>
  </si>
  <si>
    <t>17893619</t>
  </si>
  <si>
    <t>452143045</t>
  </si>
  <si>
    <t>101100416</t>
  </si>
  <si>
    <t>911833545</t>
  </si>
  <si>
    <t>891432951</t>
  </si>
  <si>
    <t>19516430</t>
  </si>
  <si>
    <t>442467788</t>
  </si>
  <si>
    <t>133452183</t>
  </si>
  <si>
    <t>871916521</t>
  </si>
  <si>
    <t>825695095</t>
  </si>
  <si>
    <t>20968898</t>
  </si>
  <si>
    <t>401528755</t>
  </si>
  <si>
    <t>172872163</t>
  </si>
  <si>
    <t>804726196</t>
  </si>
  <si>
    <t>714796187</t>
  </si>
  <si>
    <t>48670911</t>
  </si>
  <si>
    <t>355713711</t>
  </si>
  <si>
    <t>212912868</t>
  </si>
  <si>
    <t>666125276</t>
  </si>
  <si>
    <t>527340614</t>
  </si>
  <si>
    <t>11930573</t>
  </si>
  <si>
    <t>304974020</t>
  </si>
  <si>
    <t>174979874</t>
  </si>
  <si>
    <t>515410042</t>
  </si>
  <si>
    <t>355234865</t>
  </si>
  <si>
    <t>11074229</t>
  </si>
  <si>
    <t>223758410</t>
  </si>
  <si>
    <t>103236269</t>
  </si>
  <si>
    <t>344160636</t>
  </si>
  <si>
    <t>634367598</t>
  </si>
  <si>
    <t>430016987</t>
  </si>
  <si>
    <t>141861974</t>
  </si>
  <si>
    <t>DTA</t>
  </si>
  <si>
    <t>708894621</t>
  </si>
  <si>
    <t>506008207</t>
  </si>
  <si>
    <t>99936391</t>
  </si>
  <si>
    <t>749012189</t>
  </si>
  <si>
    <t>547256877</t>
  </si>
  <si>
    <t>129412203</t>
  </si>
  <si>
    <t>668843310</t>
  </si>
  <si>
    <t>474903540</t>
  </si>
  <si>
    <t>108838675</t>
  </si>
  <si>
    <t>535021584</t>
  </si>
  <si>
    <t>351050086</t>
  </si>
  <si>
    <t>43147108</t>
  </si>
  <si>
    <t>463892940</t>
  </si>
  <si>
    <t>275950794</t>
  </si>
  <si>
    <t>53063136</t>
  </si>
  <si>
    <t>394913942</t>
  </si>
  <si>
    <t>213155604</t>
  </si>
  <si>
    <t>30914782</t>
  </si>
  <si>
    <t>317753893</t>
  </si>
  <si>
    <t>162113777</t>
  </si>
  <si>
    <t>17702755</t>
  </si>
  <si>
    <t>289390789</t>
  </si>
  <si>
    <t>137497080</t>
  </si>
  <si>
    <t>23133653</t>
  </si>
  <si>
    <t>232177548</t>
  </si>
  <si>
    <t>130480244</t>
  </si>
  <si>
    <t>35893327</t>
  </si>
  <si>
    <t>227239497</t>
  </si>
  <si>
    <t>125618390</t>
  </si>
  <si>
    <t>28061294</t>
  </si>
  <si>
    <t>KDH</t>
  </si>
  <si>
    <t>NHA</t>
  </si>
  <si>
    <t>1197454825</t>
  </si>
  <si>
    <t>780800416</t>
  </si>
  <si>
    <t>1249868101</t>
  </si>
  <si>
    <t>VMD</t>
  </si>
  <si>
    <t>23552656</t>
  </si>
  <si>
    <t>416654408</t>
  </si>
  <si>
    <t>1855798199</t>
  </si>
  <si>
    <t>1431817704</t>
  </si>
  <si>
    <t>3543979606</t>
  </si>
  <si>
    <t>31189486</t>
  </si>
  <si>
    <t>423980494</t>
  </si>
  <si>
    <t>3053521621</t>
  </si>
  <si>
    <t>2634819185</t>
  </si>
  <si>
    <t>7073498739</t>
  </si>
  <si>
    <t>35154236</t>
  </si>
  <si>
    <t>418702436</t>
  </si>
  <si>
    <t>5527280533</t>
  </si>
  <si>
    <t>5129235853</t>
  </si>
  <si>
    <t>12311862982</t>
  </si>
  <si>
    <t>20625507</t>
  </si>
  <si>
    <t>398044680</t>
  </si>
  <si>
    <t>8305837889</t>
  </si>
  <si>
    <t>7942056554</t>
  </si>
  <si>
    <t>18142491570</t>
  </si>
  <si>
    <t>37349639</t>
  </si>
  <si>
    <t>363781335</t>
  </si>
  <si>
    <t>9004433259</t>
  </si>
  <si>
    <t>8664716002</t>
  </si>
  <si>
    <t>18239158149</t>
  </si>
  <si>
    <t>31997385</t>
  </si>
  <si>
    <t>339717257</t>
  </si>
  <si>
    <t>9747612127</t>
  </si>
  <si>
    <t>9406847755</t>
  </si>
  <si>
    <t>15179926833</t>
  </si>
  <si>
    <t>32634330</t>
  </si>
  <si>
    <t>340764372</t>
  </si>
  <si>
    <t>9483727282</t>
  </si>
  <si>
    <t>9142404751</t>
  </si>
  <si>
    <t>14608063435</t>
  </si>
  <si>
    <t>31013708</t>
  </si>
  <si>
    <t>341322531</t>
  </si>
  <si>
    <t>7689606593</t>
  </si>
  <si>
    <t>7421143998</t>
  </si>
  <si>
    <t>12992221776</t>
  </si>
  <si>
    <t>24694368</t>
  </si>
  <si>
    <t>268462595</t>
  </si>
  <si>
    <t>6351136878</t>
  </si>
  <si>
    <t>6164345321</t>
  </si>
  <si>
    <t>11747565266</t>
  </si>
  <si>
    <t>22818950</t>
  </si>
  <si>
    <t>186791556</t>
  </si>
  <si>
    <t>5816310670</t>
  </si>
  <si>
    <t>5629418057</t>
  </si>
  <si>
    <t>11367371558</t>
  </si>
  <si>
    <t>30277753</t>
  </si>
  <si>
    <t>186892613</t>
  </si>
  <si>
    <t>2891191737</t>
  </si>
  <si>
    <t>902267291</t>
  </si>
  <si>
    <t>5576122957</t>
  </si>
  <si>
    <t>VOS</t>
  </si>
  <si>
    <t>335255268</t>
  </si>
  <si>
    <t>1988924446</t>
  </si>
  <si>
    <t>2715145833</t>
  </si>
  <si>
    <t>1043003752</t>
  </si>
  <si>
    <t>3187472581</t>
  </si>
  <si>
    <t>155371166</t>
  </si>
  <si>
    <t>1672142081</t>
  </si>
  <si>
    <t>2678096572</t>
  </si>
  <si>
    <t>1150042445</t>
  </si>
  <si>
    <t>2420426097</t>
  </si>
  <si>
    <t>487942031</t>
  </si>
  <si>
    <t>1528054126</t>
  </si>
  <si>
    <t>2746617755</t>
  </si>
  <si>
    <t>1737507625</t>
  </si>
  <si>
    <t>1423851692</t>
  </si>
  <si>
    <t>490303891</t>
  </si>
  <si>
    <t>1009110130</t>
  </si>
  <si>
    <t>2795956204</t>
  </si>
  <si>
    <t>2287458807</t>
  </si>
  <si>
    <t>1277269952</t>
  </si>
  <si>
    <t>-187258068</t>
  </si>
  <si>
    <t>508497398</t>
  </si>
  <si>
    <t>3120281920</t>
  </si>
  <si>
    <t>2412692376</t>
  </si>
  <si>
    <t>1538391723</t>
  </si>
  <si>
    <t>48715753</t>
  </si>
  <si>
    <t>707589544</t>
  </si>
  <si>
    <t>3645280327</t>
  </si>
  <si>
    <t>2990816820</t>
  </si>
  <si>
    <t>1682936237</t>
  </si>
  <si>
    <t>17137990</t>
  </si>
  <si>
    <t>654463507</t>
  </si>
  <si>
    <t>3864111819</t>
  </si>
  <si>
    <t>3225726168</t>
  </si>
  <si>
    <t>1611944312</t>
  </si>
  <si>
    <t>10736355</t>
  </si>
  <si>
    <t>638385651</t>
  </si>
  <si>
    <t>4238709525</t>
  </si>
  <si>
    <t>3609910718</t>
  </si>
  <si>
    <t>1258121275</t>
  </si>
  <si>
    <t>-359180026</t>
  </si>
  <si>
    <t>628798807</t>
  </si>
  <si>
    <t>4638730625</t>
  </si>
  <si>
    <t>3629866273</t>
  </si>
  <si>
    <t>1674900496</t>
  </si>
  <si>
    <t>-296034512</t>
  </si>
  <si>
    <t>1008864352</t>
  </si>
  <si>
    <t>5168911130</t>
  </si>
  <si>
    <t>3862189420</t>
  </si>
  <si>
    <t>2037025848</t>
  </si>
  <si>
    <t>73874576</t>
  </si>
  <si>
    <t>1306721709</t>
  </si>
  <si>
    <t>1739515568</t>
  </si>
  <si>
    <t>477943895</t>
  </si>
  <si>
    <t>15106801</t>
  </si>
  <si>
    <t>VRC</t>
  </si>
  <si>
    <t>1767136</t>
  </si>
  <si>
    <t>1261571674</t>
  </si>
  <si>
    <t>1719157555</t>
  </si>
  <si>
    <t>459353018</t>
  </si>
  <si>
    <t>3911753</t>
  </si>
  <si>
    <t>402544</t>
  </si>
  <si>
    <t>1259804537</t>
  </si>
  <si>
    <t>1602388677</t>
  </si>
  <si>
    <t>342986685</t>
  </si>
  <si>
    <t>3648444</t>
  </si>
  <si>
    <t>16713513</t>
  </si>
  <si>
    <t>1259401993</t>
  </si>
  <si>
    <t>1858068073</t>
  </si>
  <si>
    <t>596023493</t>
  </si>
  <si>
    <t>3474130</t>
  </si>
  <si>
    <t>491282</t>
  </si>
  <si>
    <t>1262044580</t>
  </si>
  <si>
    <t>1684643590</t>
  </si>
  <si>
    <t>423090292</t>
  </si>
  <si>
    <t>9451117</t>
  </si>
  <si>
    <t>439196</t>
  </si>
  <si>
    <t>1261553298</t>
  </si>
  <si>
    <t>1675140233</t>
  </si>
  <si>
    <t>414026130</t>
  </si>
  <si>
    <t>10629969</t>
  </si>
  <si>
    <t>24958811</t>
  </si>
  <si>
    <t>1261114103</t>
  </si>
  <si>
    <t>1419083825</t>
  </si>
  <si>
    <t>404676481</t>
  </si>
  <si>
    <t>36964152</t>
  </si>
  <si>
    <t>280436880</t>
  </si>
  <si>
    <t>1014407344</t>
  </si>
  <si>
    <t>1017457128</t>
  </si>
  <si>
    <t>281773316</t>
  </si>
  <si>
    <t>81007054</t>
  </si>
  <si>
    <t>77117618</t>
  </si>
  <si>
    <t>735683812</t>
  </si>
  <si>
    <t>255702529</t>
  </si>
  <si>
    <t>78309488</t>
  </si>
  <si>
    <t>47626009</t>
  </si>
  <si>
    <t>2258955</t>
  </si>
  <si>
    <t>177393041</t>
  </si>
  <si>
    <t>230035646</t>
  </si>
  <si>
    <t>58071657</t>
  </si>
  <si>
    <t>133273614</t>
  </si>
  <si>
    <t>-6139730</t>
  </si>
  <si>
    <t>171963989</t>
  </si>
  <si>
    <t>342998069</t>
  </si>
  <si>
    <t>162787001</t>
  </si>
  <si>
    <t>44486728</t>
  </si>
  <si>
    <t>903609</t>
  </si>
  <si>
    <t>180211068</t>
  </si>
  <si>
    <t>44294776672</t>
  </si>
  <si>
    <t>24579707979</t>
  </si>
  <si>
    <t>3635028352</t>
  </si>
  <si>
    <t>VND</t>
  </si>
  <si>
    <t>1718425030</t>
  </si>
  <si>
    <t>19715068693</t>
  </si>
  <si>
    <t>41742090171</t>
  </si>
  <si>
    <t>25234270644</t>
  </si>
  <si>
    <t>4170146998</t>
  </si>
  <si>
    <t>2022250920</t>
  </si>
  <si>
    <t>16507819527</t>
  </si>
  <si>
    <t>38870604503</t>
  </si>
  <si>
    <t>24355935574</t>
  </si>
  <si>
    <t>4071734494</t>
  </si>
  <si>
    <t>1220279791</t>
  </si>
  <si>
    <t>14514668929</t>
  </si>
  <si>
    <t>37094774474</t>
  </si>
  <si>
    <t>27272291634</t>
  </si>
  <si>
    <t>3245143094</t>
  </si>
  <si>
    <t>2382923585</t>
  </si>
  <si>
    <t>9822482840</t>
  </si>
  <si>
    <t>14976084312</t>
  </si>
  <si>
    <t>11156839755</t>
  </si>
  <si>
    <t>1439275565</t>
  </si>
  <si>
    <t>692766880</t>
  </si>
  <si>
    <t>3819244558</t>
  </si>
  <si>
    <t>11681731853</t>
  </si>
  <si>
    <t>8433730495</t>
  </si>
  <si>
    <t>1248711774</t>
  </si>
  <si>
    <t>382148640</t>
  </si>
  <si>
    <t>3248001358</t>
  </si>
  <si>
    <t>10534641320</t>
  </si>
  <si>
    <t>7551711467</t>
  </si>
  <si>
    <t>1212943109</t>
  </si>
  <si>
    <t>373136301</t>
  </si>
  <si>
    <t>2982929853</t>
  </si>
  <si>
    <t>8068693701</t>
  </si>
  <si>
    <t>5552979994</t>
  </si>
  <si>
    <t>936652383</t>
  </si>
  <si>
    <t>481008908</t>
  </si>
  <si>
    <t>2515713707</t>
  </si>
  <si>
    <t>5174092843</t>
  </si>
  <si>
    <t>3225829342</t>
  </si>
  <si>
    <t>487247133</t>
  </si>
  <si>
    <t>186287529</t>
  </si>
  <si>
    <t>1948263501</t>
  </si>
  <si>
    <t>4663790646</t>
  </si>
  <si>
    <t>2728359083</t>
  </si>
  <si>
    <t>488220315</t>
  </si>
  <si>
    <t>181777070</t>
  </si>
  <si>
    <t>1935431563</t>
  </si>
  <si>
    <t>2941708829</t>
  </si>
  <si>
    <t>1106419458</t>
  </si>
  <si>
    <t>389795509</t>
  </si>
  <si>
    <t>157347444</t>
  </si>
  <si>
    <t>1835289371</t>
  </si>
  <si>
    <t>4411058948</t>
  </si>
  <si>
    <t>3201815598</t>
  </si>
  <si>
    <t>1170572090</t>
  </si>
  <si>
    <t>1209243350</t>
  </si>
  <si>
    <t>TDC</t>
  </si>
  <si>
    <t>417469164</t>
  </si>
  <si>
    <t>3610466991</t>
  </si>
  <si>
    <t>2819970291</t>
  </si>
  <si>
    <t>300723948</t>
  </si>
  <si>
    <t>790496700</t>
  </si>
  <si>
    <t>-402796465</t>
  </si>
  <si>
    <t>3853630057</t>
  </si>
  <si>
    <t>2649301965</t>
  </si>
  <si>
    <t>2492028565</t>
  </si>
  <si>
    <t>1204328092</t>
  </si>
  <si>
    <t>17588621</t>
  </si>
  <si>
    <t>5239796338</t>
  </si>
  <si>
    <t>3959710612</t>
  </si>
  <si>
    <t>1658207396</t>
  </si>
  <si>
    <t>1280085726</t>
  </si>
  <si>
    <t>124382543</t>
  </si>
  <si>
    <t>5675603333</t>
  </si>
  <si>
    <t>4388931258</t>
  </si>
  <si>
    <t>1596465935</t>
  </si>
  <si>
    <t>1286672074</t>
  </si>
  <si>
    <t>202205887</t>
  </si>
  <si>
    <t>6244555219</t>
  </si>
  <si>
    <t>5036527113</t>
  </si>
  <si>
    <t>1562642515</t>
  </si>
  <si>
    <t>1208028106</t>
  </si>
  <si>
    <t>132885060</t>
  </si>
  <si>
    <t>6761278906</t>
  </si>
  <si>
    <t>5530713863</t>
  </si>
  <si>
    <t>1696001659</t>
  </si>
  <si>
    <t>1230565042</t>
  </si>
  <si>
    <t>125619485</t>
  </si>
  <si>
    <t>7866805072</t>
  </si>
  <si>
    <t>6631441720</t>
  </si>
  <si>
    <t>1354300363</t>
  </si>
  <si>
    <t>1235363352</t>
  </si>
  <si>
    <t>136696112</t>
  </si>
  <si>
    <t>7278282976</t>
  </si>
  <si>
    <t>6056730963</t>
  </si>
  <si>
    <t>1449677719</t>
  </si>
  <si>
    <t>1221552013</t>
  </si>
  <si>
    <t>128281845</t>
  </si>
  <si>
    <t>7382528074</t>
  </si>
  <si>
    <t>6176391851</t>
  </si>
  <si>
    <t>1626759736</t>
  </si>
  <si>
    <t>1206136224</t>
  </si>
  <si>
    <t>119699601</t>
  </si>
  <si>
    <t>6248695761</t>
  </si>
  <si>
    <t>5038696705</t>
  </si>
  <si>
    <t>1746020436</t>
  </si>
  <si>
    <t>1209999056</t>
  </si>
  <si>
    <t>112717845</t>
  </si>
  <si>
    <t>totalassets</t>
  </si>
  <si>
    <t>totalliabilities</t>
  </si>
  <si>
    <t>revenuefrombusinessactivitiestot</t>
  </si>
  <si>
    <t>growth</t>
  </si>
  <si>
    <t>totalliabilitiesequity</t>
  </si>
  <si>
    <t>fv</t>
  </si>
  <si>
    <t>GiátrịthịtrườngVCSH</t>
  </si>
  <si>
    <t>year</t>
  </si>
  <si>
    <t>company</t>
  </si>
  <si>
    <t>esg</t>
  </si>
  <si>
    <t>esgui</t>
  </si>
  <si>
    <t>netincomeaftertax</t>
  </si>
  <si>
    <t>roa</t>
  </si>
  <si>
    <t>lev</t>
  </si>
  <si>
    <t>size</t>
  </si>
  <si>
    <t>stdesg</t>
  </si>
  <si>
    <t>esgmacro</t>
  </si>
  <si>
    <t>esgmarcrot1</t>
  </si>
  <si>
    <t>esguimacro</t>
  </si>
  <si>
    <t>esguimacrot1</t>
  </si>
  <si>
    <t>esgmicro</t>
  </si>
  <si>
    <t>esgmicrot1</t>
  </si>
  <si>
    <t>esguimicro</t>
  </si>
  <si>
    <t>esguimicrot1</t>
  </si>
  <si>
    <t>Inflation</t>
  </si>
  <si>
    <t>GDP g</t>
  </si>
  <si>
    <t>inflation</t>
  </si>
  <si>
    <t>gdpg</t>
  </si>
  <si>
    <t>compa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</si>
</sst>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"/>
  </numFmts>
  <fonts count="17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  <scheme val="minor"/>
    </font>
    <font>
      <sz val="10.0"/>
      <color rgb="FF000000"/>
      <name val="Times New Roman"/>
    </font>
    <font>
      <sz val="11.0"/>
      <color theme="1"/>
      <name val="Times New Roman"/>
    </font>
    <font>
      <sz val="11.0"/>
      <color theme="1"/>
      <name val="Calibri"/>
    </font>
    <font>
      <sz val="11.0"/>
      <color rgb="FF1F1F1F"/>
      <name val="Times New Roman"/>
    </font>
    <font>
      <color rgb="FF1F1F1F"/>
      <name val="&quot;Google Sans Text&quot;"/>
    </font>
    <font>
      <b/>
      <color rgb="FF1F1F1F"/>
      <name val="&quot;Google Sans Text&quot;"/>
    </font>
    <font>
      <sz val="11.0"/>
      <color rgb="FF000000"/>
      <name val="Times New Roman"/>
    </font>
    <font>
      <sz val="13.0"/>
      <color theme="1"/>
      <name val="Times New Roman"/>
    </font>
    <font>
      <sz val="13.0"/>
      <color rgb="FFF5475B"/>
      <name val="Times New Roman"/>
    </font>
    <font>
      <color theme="1"/>
      <name val="Arial"/>
    </font>
    <font>
      <b/>
      <sz val="10.0"/>
      <color rgb="FF000000"/>
      <name val="Calibri"/>
    </font>
    <font>
      <b/>
      <color theme="1"/>
      <name val="Arial"/>
      <scheme val="minor"/>
    </font>
    <font>
      <color theme="1"/>
      <name val="Calibri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center" readingOrder="0" shrinkToFit="0" vertical="center" wrapText="1"/>
    </xf>
    <xf borderId="0" fillId="3" fontId="1" numFmtId="164" xfId="0" applyAlignment="1" applyFill="1" applyFont="1" applyNumberFormat="1">
      <alignment horizontal="center" readingOrder="0" shrinkToFit="0" wrapText="1"/>
    </xf>
    <xf borderId="0" fillId="2" fontId="1" numFmtId="1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/>
    </xf>
    <xf borderId="0" fillId="2" fontId="1" numFmtId="1" xfId="0" applyAlignment="1" applyFont="1" applyNumberFormat="1">
      <alignment horizontal="center" shrinkToFit="0" vertical="center" wrapText="1"/>
    </xf>
    <xf borderId="0" fillId="3" fontId="1" numFmtId="164" xfId="0" applyAlignment="1" applyFont="1" applyNumberFormat="1">
      <alignment horizontal="center" readingOrder="0" vertical="center"/>
    </xf>
    <xf borderId="0" fillId="2" fontId="3" numFmtId="1" xfId="0" applyAlignment="1" applyFont="1" applyNumberFormat="1">
      <alignment horizontal="center" shrinkToFit="0" vertical="center" wrapText="1"/>
    </xf>
    <xf borderId="0" fillId="2" fontId="1" numFmtId="1" xfId="0" applyAlignment="1" applyFont="1" applyNumberFormat="1">
      <alignment horizontal="center" readingOrder="0" vertical="center"/>
    </xf>
    <xf borderId="0" fillId="0" fontId="1" numFmtId="1" xfId="0" applyAlignment="1" applyFont="1" applyNumberForma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4" fontId="4" numFmtId="49" xfId="0" applyAlignment="1" applyFill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center" readingOrder="0" vertical="bottom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vertical="bottom"/>
    </xf>
    <xf borderId="0" fillId="4" fontId="4" numFmtId="1" xfId="0" applyAlignment="1" applyFont="1" applyNumberFormat="1">
      <alignment horizontal="center" readingOrder="0" shrinkToFit="0" vertical="center" wrapText="1"/>
    </xf>
    <xf borderId="0" fillId="4" fontId="4" numFmtId="1" xfId="0" applyAlignment="1" applyFont="1" applyNumberFormat="1">
      <alignment horizontal="center" shrinkToFit="0" vertical="center" wrapText="1"/>
    </xf>
    <xf borderId="0" fillId="4" fontId="4" numFmtId="0" xfId="0" applyAlignment="1" applyFont="1">
      <alignment horizontal="center" shrinkToFit="0" wrapText="1"/>
    </xf>
    <xf borderId="0" fillId="4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4" numFmtId="1" xfId="0" applyAlignment="1" applyFont="1" applyNumberFormat="1">
      <alignment horizontal="center" vertical="bottom"/>
    </xf>
    <xf borderId="0" fillId="4" fontId="4" numFmtId="1" xfId="0" applyAlignment="1" applyFont="1" applyNumberFormat="1">
      <alignment horizontal="center" readingOrder="0" shrinkToFit="0" wrapText="1"/>
    </xf>
    <xf borderId="0" fillId="4" fontId="4" numFmtId="1" xfId="0" applyAlignment="1" applyFont="1" applyNumberFormat="1">
      <alignment horizontal="center" shrinkToFit="0" wrapText="1"/>
    </xf>
    <xf borderId="0" fillId="0" fontId="4" numFmtId="49" xfId="0" applyAlignment="1" applyFont="1" applyNumberFormat="1">
      <alignment horizontal="center" readingOrder="0" shrinkToFit="0" wrapText="1"/>
    </xf>
    <xf borderId="0" fillId="0" fontId="4" numFmtId="1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left" vertical="bottom"/>
    </xf>
    <xf borderId="0" fillId="0" fontId="6" numFmtId="49" xfId="0" applyAlignment="1" applyFont="1" applyNumberFormat="1">
      <alignment horizontal="center" readingOrder="0"/>
    </xf>
    <xf borderId="0" fillId="0" fontId="4" numFmtId="1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2" xfId="0" applyAlignment="1" applyFont="1" applyNumberFormat="1">
      <alignment horizontal="center" readingOrder="0"/>
    </xf>
    <xf borderId="0" fillId="4" fontId="4" numFmtId="1" xfId="0" applyAlignment="1" applyFont="1" applyNumberFormat="1">
      <alignment horizontal="center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1" xfId="0" applyAlignment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readingOrder="0"/>
    </xf>
    <xf borderId="0" fillId="4" fontId="4" numFmtId="49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/>
    </xf>
    <xf borderId="0" fillId="0" fontId="4" numFmtId="1" xfId="0" applyAlignment="1" applyFont="1" applyNumberFormat="1">
      <alignment horizontal="center" shrinkToFit="0" wrapText="1"/>
    </xf>
    <xf borderId="0" fillId="0" fontId="6" numFmtId="0" xfId="0" applyAlignment="1" applyFont="1">
      <alignment horizontal="center" readingOrder="0"/>
    </xf>
    <xf borderId="0" fillId="0" fontId="4" numFmtId="1" xfId="0" applyAlignment="1" applyFont="1" applyNumberFormat="1">
      <alignment horizontal="center" shrinkToFit="0" vertical="bottom" wrapText="1"/>
    </xf>
    <xf borderId="0" fillId="0" fontId="8" numFmtId="0" xfId="0" applyAlignment="1" applyFont="1">
      <alignment horizontal="left" readingOrder="0"/>
    </xf>
    <xf borderId="0" fillId="4" fontId="4" numFmtId="0" xfId="0" applyAlignment="1" applyFont="1">
      <alignment horizontal="center" readingOrder="0"/>
    </xf>
    <xf borderId="1" fillId="0" fontId="9" numFmtId="1" xfId="0" applyAlignment="1" applyBorder="1" applyFont="1" applyNumberFormat="1">
      <alignment horizontal="center" readingOrder="0" shrinkToFit="0" vertical="center" wrapText="1"/>
    </xf>
    <xf borderId="0" fillId="0" fontId="4" numFmtId="1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center" readingOrder="0" vertical="bottom"/>
    </xf>
    <xf borderId="0" fillId="0" fontId="4" numFmtId="49" xfId="0" applyAlignment="1" applyFont="1" applyNumberFormat="1">
      <alignment horizontal="center" vertical="bottom"/>
    </xf>
    <xf borderId="1" fillId="0" fontId="4" numFmtId="1" xfId="0" applyAlignment="1" applyBorder="1" applyFont="1" applyNumberFormat="1">
      <alignment horizontal="center"/>
    </xf>
    <xf borderId="0" fillId="4" fontId="1" numFmtId="49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4" fontId="1" numFmtId="0" xfId="0" applyAlignment="1" applyFont="1">
      <alignment horizontal="center" shrinkToFit="0" wrapText="1"/>
    </xf>
    <xf borderId="0" fillId="0" fontId="1" numFmtId="1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/>
    </xf>
    <xf borderId="0" fillId="5" fontId="1" numFmtId="49" xfId="0" applyAlignment="1" applyFill="1" applyFont="1" applyNumberFormat="1">
      <alignment horizontal="center" shrinkToFit="0" vertical="center" wrapText="1"/>
    </xf>
    <xf borderId="0" fillId="5" fontId="1" numFmtId="49" xfId="0" applyAlignment="1" applyFont="1" applyNumberFormat="1">
      <alignment horizontal="center" readingOrder="0" vertical="bottom"/>
    </xf>
    <xf borderId="0" fillId="5" fontId="1" numFmtId="164" xfId="0" applyAlignment="1" applyFont="1" applyNumberFormat="1">
      <alignment horizontal="center" readingOrder="0"/>
    </xf>
    <xf borderId="0" fillId="5" fontId="4" numFmtId="1" xfId="0" applyAlignment="1" applyFont="1" applyNumberFormat="1">
      <alignment horizontal="center" vertical="bottom"/>
    </xf>
    <xf borderId="0" fillId="5" fontId="1" numFmtId="1" xfId="0" applyAlignment="1" applyFont="1" applyNumberFormat="1">
      <alignment horizontal="center" shrinkToFit="0" wrapText="1"/>
    </xf>
    <xf borderId="0" fillId="5" fontId="1" numFmtId="165" xfId="0" applyAlignment="1" applyFont="1" applyNumberFormat="1">
      <alignment horizontal="center" readingOrder="0"/>
    </xf>
    <xf borderId="0" fillId="5" fontId="1" numFmtId="0" xfId="0" applyAlignment="1" applyFont="1">
      <alignment horizontal="center" shrinkToFit="0" wrapText="1"/>
    </xf>
    <xf borderId="0" fillId="5" fontId="2" numFmtId="0" xfId="0" applyAlignment="1" applyFont="1">
      <alignment horizontal="left"/>
    </xf>
    <xf borderId="0" fillId="5" fontId="1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10" numFmtId="3" xfId="0" applyAlignment="1" applyFont="1" applyNumberFormat="1">
      <alignment horizontal="left" shrinkToFit="0" wrapText="1"/>
    </xf>
    <xf borderId="0" fillId="0" fontId="10" numFmtId="3" xfId="0" applyAlignment="1" applyFont="1" applyNumberFormat="1">
      <alignment horizontal="right" shrinkToFit="0" wrapText="1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11" numFmtId="3" xfId="0" applyAlignment="1" applyFont="1" applyNumberFormat="1">
      <alignment horizontal="left" shrinkToFit="0" wrapText="1"/>
    </xf>
    <xf borderId="0" fillId="4" fontId="2" numFmtId="0" xfId="0" applyAlignment="1" applyFont="1">
      <alignment horizontal="left"/>
    </xf>
    <xf borderId="0" fillId="0" fontId="10" numFmtId="3" xfId="0" applyAlignment="1" applyFont="1" applyNumberFormat="1">
      <alignment horizontal="left" vertical="bottom"/>
    </xf>
    <xf borderId="0" fillId="0" fontId="10" numFmtId="3" xfId="0" applyAlignment="1" applyFont="1" applyNumberFormat="1">
      <alignment horizontal="right" vertical="bottom"/>
    </xf>
    <xf borderId="0" fillId="0" fontId="10" numFmtId="3" xfId="0" applyAlignment="1" applyFont="1" applyNumberFormat="1">
      <alignment horizontal="left" shrinkToFit="0" vertical="bottom" wrapText="1"/>
    </xf>
    <xf borderId="0" fillId="0" fontId="10" numFmtId="3" xfId="0" applyAlignment="1" applyFont="1" applyNumberFormat="1">
      <alignment horizontal="right" shrinkToFit="0" vertical="bottom" wrapText="1"/>
    </xf>
    <xf borderId="0" fillId="2" fontId="12" numFmtId="1" xfId="0" applyAlignment="1" applyFont="1" applyNumberFormat="1">
      <alignment horizontal="left" readingOrder="0" shrinkToFit="0" vertical="center" wrapText="1"/>
    </xf>
    <xf borderId="0" fillId="3" fontId="2" numFmtId="164" xfId="0" applyAlignment="1" applyFont="1" applyNumberFormat="1">
      <alignment horizontal="left" readingOrder="0" shrinkToFit="0" wrapText="1"/>
    </xf>
    <xf borderId="0" fillId="2" fontId="2" numFmtId="0" xfId="0" applyAlignment="1" applyFont="1">
      <alignment horizontal="left" readingOrder="0"/>
    </xf>
    <xf borderId="0" fillId="2" fontId="2" numFmtId="1" xfId="0" applyAlignment="1" applyFont="1" applyNumberFormat="1">
      <alignment horizontal="left" readingOrder="0"/>
    </xf>
    <xf borderId="0" fillId="0" fontId="12" numFmtId="1" xfId="0" applyAlignment="1" applyFont="1" applyNumberFormat="1">
      <alignment horizontal="left" readingOrder="0" shrinkToFit="0" vertical="center" wrapText="1"/>
    </xf>
    <xf borderId="0" fillId="2" fontId="2" numFmtId="1" xfId="0" applyAlignment="1" applyFont="1" applyNumberFormat="1">
      <alignment horizontal="left" readingOrder="0" shrinkToFit="0" vertical="center" wrapText="1"/>
    </xf>
    <xf borderId="0" fillId="0" fontId="2" numFmtId="1" xfId="0" applyAlignment="1" applyFont="1" applyNumberFormat="1">
      <alignment horizontal="left" readingOrder="0" shrinkToFit="0" vertical="center" wrapText="1"/>
    </xf>
    <xf borderId="0" fillId="2" fontId="12" numFmtId="1" xfId="0" applyAlignment="1" applyFont="1" applyNumberFormat="1">
      <alignment horizontal="left" shrinkToFit="0" vertical="center" wrapText="1"/>
    </xf>
    <xf borderId="0" fillId="3" fontId="2" numFmtId="164" xfId="0" applyAlignment="1" applyFont="1" applyNumberFormat="1">
      <alignment horizontal="left" readingOrder="0" vertical="center"/>
    </xf>
    <xf borderId="0" fillId="2" fontId="13" numFmtId="0" xfId="0" applyAlignment="1" applyFont="1">
      <alignment horizontal="left" shrinkToFit="0" vertical="center" wrapText="1"/>
    </xf>
    <xf borderId="0" fillId="2" fontId="13" numFmtId="1" xfId="0" applyAlignment="1" applyFont="1" applyNumberFormat="1">
      <alignment horizontal="left" shrinkToFit="0" vertical="center" wrapText="1"/>
    </xf>
    <xf borderId="0" fillId="2" fontId="14" numFmtId="1" xfId="0" applyAlignment="1" applyFont="1" applyNumberFormat="1">
      <alignment horizontal="left" readingOrder="0" vertical="center"/>
    </xf>
    <xf borderId="0" fillId="0" fontId="12" numFmtId="1" xfId="0" applyAlignment="1" applyFont="1" applyNumberFormat="1">
      <alignment horizontal="left" shrinkToFit="0" vertical="center" wrapText="1"/>
    </xf>
    <xf borderId="0" fillId="4" fontId="12" numFmtId="49" xfId="0" applyAlignment="1" applyFont="1" applyNumberFormat="1">
      <alignment horizontal="left" shrinkToFit="0" vertical="center" wrapText="1"/>
    </xf>
    <xf borderId="0" fillId="0" fontId="12" numFmtId="164" xfId="0" applyAlignment="1" applyFont="1" applyNumberFormat="1">
      <alignment horizontal="left" shrinkToFit="0" vertical="center" wrapText="1"/>
    </xf>
    <xf borderId="0" fillId="0" fontId="5" numFmtId="49" xfId="0" applyAlignment="1" applyFont="1" applyNumberFormat="1">
      <alignment horizontal="left" readingOrder="0" vertical="bottom"/>
    </xf>
    <xf borderId="0" fillId="0" fontId="2" numFmtId="164" xfId="0" applyAlignment="1" applyFont="1" applyNumberFormat="1">
      <alignment horizontal="left" readingOrder="0"/>
    </xf>
    <xf borderId="0" fillId="4" fontId="12" numFmtId="1" xfId="0" applyAlignment="1" applyFont="1" applyNumberFormat="1">
      <alignment horizontal="left" readingOrder="0" shrinkToFit="0" vertical="center" wrapText="1"/>
    </xf>
    <xf borderId="0" fillId="4" fontId="12" numFmtId="1" xfId="0" applyAlignment="1" applyFont="1" applyNumberFormat="1">
      <alignment horizontal="left" shrinkToFit="0" vertical="center" wrapText="1"/>
    </xf>
    <xf borderId="0" fillId="4" fontId="2" numFmtId="1" xfId="0" applyAlignment="1" applyFont="1" applyNumberFormat="1">
      <alignment horizontal="left" readingOrder="0" shrinkToFit="0" vertical="center" wrapText="1"/>
    </xf>
    <xf borderId="0" fillId="4" fontId="12" numFmtId="0" xfId="0" applyAlignment="1" applyFont="1">
      <alignment horizontal="left" shrinkToFit="0" wrapText="1"/>
    </xf>
    <xf borderId="0" fillId="4" fontId="1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0" fontId="5" numFmtId="1" xfId="0" applyAlignment="1" applyFont="1" applyNumberFormat="1">
      <alignment horizontal="left" vertical="bottom"/>
    </xf>
    <xf borderId="0" fillId="4" fontId="12" numFmtId="1" xfId="0" applyAlignment="1" applyFont="1" applyNumberFormat="1">
      <alignment horizontal="left" readingOrder="0" shrinkToFit="0" wrapText="1"/>
    </xf>
    <xf borderId="0" fillId="0" fontId="12" numFmtId="1" xfId="0" applyAlignment="1" applyFont="1" applyNumberFormat="1">
      <alignment horizontal="left" vertical="bottom"/>
    </xf>
    <xf borderId="0" fillId="4" fontId="12" numFmtId="1" xfId="0" applyAlignment="1" applyFont="1" applyNumberFormat="1">
      <alignment horizontal="left" shrinkToFit="0" wrapText="1"/>
    </xf>
    <xf borderId="0" fillId="0" fontId="15" numFmtId="49" xfId="0" applyAlignment="1" applyFont="1" applyNumberFormat="1">
      <alignment horizontal="left" readingOrder="0" shrinkToFit="0" wrapText="1"/>
    </xf>
    <xf borderId="0" fillId="0" fontId="7" numFmtId="49" xfId="0" applyAlignment="1" applyFont="1" applyNumberFormat="1">
      <alignment horizontal="left" readingOrder="0"/>
    </xf>
    <xf borderId="0" fillId="0" fontId="2" numFmtId="1" xfId="0" applyAlignment="1" applyFont="1" applyNumberFormat="1">
      <alignment horizontal="left" readingOrder="0"/>
    </xf>
    <xf borderId="0" fillId="0" fontId="2" numFmtId="2" xfId="0" applyAlignment="1" applyFont="1" applyNumberFormat="1">
      <alignment horizontal="left" readingOrder="0"/>
    </xf>
    <xf borderId="0" fillId="4" fontId="2" numFmtId="1" xfId="0" applyAlignment="1" applyFont="1" applyNumberFormat="1">
      <alignment horizontal="left"/>
    </xf>
    <xf borderId="0" fillId="0" fontId="12" numFmtId="49" xfId="0" applyAlignment="1" applyFont="1" applyNumberFormat="1">
      <alignment horizontal="left" readingOrder="0" shrinkToFit="0" vertical="center" wrapText="1"/>
    </xf>
    <xf borderId="0" fillId="0" fontId="12" numFmtId="49" xfId="0" applyAlignment="1" applyFont="1" applyNumberFormat="1">
      <alignment horizontal="left" shrinkToFit="0" vertical="center" wrapText="1"/>
    </xf>
    <xf borderId="0" fillId="4" fontId="12" numFmtId="49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horizontal="left"/>
    </xf>
    <xf borderId="0" fillId="0" fontId="12" numFmtId="1" xfId="0" applyAlignment="1" applyFont="1" applyNumberFormat="1">
      <alignment horizontal="left" shrinkToFit="0" wrapText="1"/>
    </xf>
    <xf borderId="0" fillId="0" fontId="16" numFmtId="49" xfId="0" applyAlignment="1" applyFont="1" applyNumberFormat="1">
      <alignment horizontal="left" readingOrder="0" shrinkToFit="0" wrapText="1"/>
    </xf>
    <xf borderId="0" fillId="0" fontId="12" numFmtId="0" xfId="0" applyAlignment="1" applyFont="1">
      <alignment horizontal="left" vertical="bottom"/>
    </xf>
    <xf borderId="0" fillId="0" fontId="12" numFmtId="49" xfId="0" applyAlignment="1" applyFont="1" applyNumberFormat="1">
      <alignment horizontal="left" readingOrder="0" vertical="bottom"/>
    </xf>
    <xf borderId="0" fillId="0" fontId="2" numFmtId="1" xfId="0" applyAlignment="1" applyFont="1" applyNumberFormat="1">
      <alignment horizontal="left"/>
    </xf>
    <xf borderId="0" fillId="0" fontId="12" numFmtId="1" xfId="0" applyAlignment="1" applyFont="1" applyNumberFormat="1">
      <alignment horizontal="left" shrinkToFit="0" vertical="bottom" wrapText="1"/>
    </xf>
    <xf borderId="0" fillId="4" fontId="2" numFmtId="0" xfId="0" applyAlignment="1" applyFont="1">
      <alignment horizontal="left" readingOrder="0"/>
    </xf>
    <xf borderId="0" fillId="0" fontId="12" numFmtId="164" xfId="0" applyAlignment="1" applyFont="1" applyNumberFormat="1">
      <alignment horizontal="left" readingOrder="0" shrinkToFit="0" vertical="center" wrapText="1"/>
    </xf>
    <xf borderId="0" fillId="0" fontId="4" numFmtId="11" xfId="0" applyAlignment="1" applyFont="1" applyNumberForma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7.25"/>
    <col customWidth="1" min="4" max="4" width="16.0"/>
    <col customWidth="1" min="5" max="5" width="17.38"/>
    <col customWidth="1" min="6" max="6" width="18.25"/>
    <col customWidth="1" min="7" max="7" width="26.75"/>
    <col customWidth="1" min="13" max="13" width="16.25"/>
    <col customWidth="1" min="16" max="16" width="14.88"/>
    <col customWidth="1" min="17" max="17" width="17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5" t="s">
        <v>16</v>
      </c>
      <c r="R1" s="6"/>
      <c r="S1" s="6"/>
      <c r="T1" s="6"/>
      <c r="U1" s="6"/>
      <c r="V1" s="6"/>
    </row>
    <row r="2">
      <c r="A2" s="1" t="s">
        <v>17</v>
      </c>
      <c r="B2" s="7" t="s">
        <v>18</v>
      </c>
      <c r="C2" s="7" t="s">
        <v>19</v>
      </c>
      <c r="D2" s="8" t="s">
        <v>20</v>
      </c>
      <c r="E2" s="9" t="s">
        <v>21</v>
      </c>
      <c r="F2" s="10" t="s">
        <v>22</v>
      </c>
      <c r="G2" s="10" t="s">
        <v>23</v>
      </c>
      <c r="H2" s="11" t="s">
        <v>24</v>
      </c>
      <c r="I2" s="11" t="s">
        <v>25</v>
      </c>
      <c r="J2" s="1" t="s">
        <v>26</v>
      </c>
      <c r="K2" s="1" t="s">
        <v>27</v>
      </c>
      <c r="L2" s="4" t="s">
        <v>28</v>
      </c>
      <c r="M2" s="1" t="s">
        <v>29</v>
      </c>
      <c r="N2" s="1" t="s">
        <v>30</v>
      </c>
      <c r="O2" s="4" t="s">
        <v>31</v>
      </c>
      <c r="P2" s="7" t="s">
        <v>32</v>
      </c>
      <c r="Q2" s="12" t="s">
        <v>33</v>
      </c>
      <c r="R2" s="6"/>
      <c r="S2" s="6"/>
      <c r="T2" s="6"/>
      <c r="U2" s="6"/>
      <c r="V2" s="6"/>
    </row>
    <row r="3">
      <c r="A3" s="13" t="s">
        <v>34</v>
      </c>
      <c r="B3" s="13" t="s">
        <v>35</v>
      </c>
      <c r="C3" s="13" t="s">
        <v>36</v>
      </c>
      <c r="D3" s="14">
        <f t="shared" ref="D3:D287" si="1">(C3-C4)/C4</f>
        <v>0.03292845547</v>
      </c>
      <c r="E3" s="15" t="s">
        <v>34</v>
      </c>
      <c r="F3" s="16">
        <f t="shared" ref="F3:F211" si="2">(G3+B3)/A3</f>
        <v>98.3242359</v>
      </c>
      <c r="G3" s="17">
        <v>8.417215653965919E13</v>
      </c>
      <c r="H3" s="18">
        <v>2024.0</v>
      </c>
      <c r="I3" s="19" t="s">
        <v>37</v>
      </c>
      <c r="J3" s="18">
        <v>91.0</v>
      </c>
      <c r="K3" s="18" t="s">
        <v>38</v>
      </c>
      <c r="L3" s="20">
        <v>23.6602096848236</v>
      </c>
      <c r="M3" s="20"/>
      <c r="N3" s="20"/>
      <c r="O3" s="20">
        <v>21.6148974043115</v>
      </c>
      <c r="P3" s="13" t="s">
        <v>39</v>
      </c>
      <c r="Q3" s="13" t="s">
        <v>40</v>
      </c>
      <c r="R3" s="6"/>
      <c r="S3" s="6"/>
      <c r="T3" s="6"/>
      <c r="U3" s="6"/>
      <c r="V3" s="6"/>
    </row>
    <row r="4">
      <c r="A4" s="13" t="s">
        <v>41</v>
      </c>
      <c r="B4" s="13" t="s">
        <v>42</v>
      </c>
      <c r="C4" s="13" t="s">
        <v>43</v>
      </c>
      <c r="D4" s="14">
        <f t="shared" si="1"/>
        <v>0.1465927749</v>
      </c>
      <c r="E4" s="15" t="s">
        <v>41</v>
      </c>
      <c r="F4" s="16">
        <f t="shared" si="2"/>
        <v>82.92625037</v>
      </c>
      <c r="G4" s="17">
        <v>5.8959101427036164E13</v>
      </c>
      <c r="H4" s="18">
        <v>2023.0</v>
      </c>
      <c r="I4" s="19" t="s">
        <v>37</v>
      </c>
      <c r="J4" s="18" t="s">
        <v>38</v>
      </c>
      <c r="K4" s="18">
        <v>78.0</v>
      </c>
      <c r="L4" s="20">
        <v>21.6148974043115</v>
      </c>
      <c r="M4" s="20">
        <f t="shared" ref="M4:M12" si="3">(J3+J4+J5)/3</f>
        <v>86.06666667</v>
      </c>
      <c r="N4" s="20">
        <f t="shared" ref="N4:N12" si="4">sqrt((((J3-M4)^2)+((J4-M4)^2)+((J5-M4)^2))/2)</f>
        <v>7.043673284</v>
      </c>
      <c r="O4" s="20">
        <v>18.1756591237636</v>
      </c>
      <c r="P4" s="13" t="s">
        <v>44</v>
      </c>
      <c r="Q4" s="13" t="s">
        <v>45</v>
      </c>
      <c r="R4" s="6"/>
      <c r="S4" s="6"/>
      <c r="T4" s="6"/>
      <c r="U4" s="6"/>
      <c r="V4" s="6"/>
    </row>
    <row r="5">
      <c r="A5" s="13" t="s">
        <v>46</v>
      </c>
      <c r="B5" s="13" t="s">
        <v>47</v>
      </c>
      <c r="C5" s="13" t="s">
        <v>48</v>
      </c>
      <c r="D5" s="14">
        <f t="shared" si="1"/>
        <v>0.1852903494</v>
      </c>
      <c r="E5" s="15" t="s">
        <v>46</v>
      </c>
      <c r="F5" s="16">
        <f t="shared" si="2"/>
        <v>60.29625947</v>
      </c>
      <c r="G5" s="17">
        <v>3.610316336076707E13</v>
      </c>
      <c r="H5" s="18">
        <v>2022.0</v>
      </c>
      <c r="I5" s="19" t="s">
        <v>37</v>
      </c>
      <c r="J5" s="18">
        <v>78.0</v>
      </c>
      <c r="K5" s="18">
        <v>71.0</v>
      </c>
      <c r="L5" s="20">
        <v>18.1756591237636</v>
      </c>
      <c r="M5" s="20">
        <f t="shared" si="3"/>
        <v>79.4</v>
      </c>
      <c r="N5" s="20">
        <f t="shared" si="4"/>
        <v>9.180413934</v>
      </c>
      <c r="O5" s="20">
        <v>12.1839371970674</v>
      </c>
      <c r="P5" s="13" t="s">
        <v>49</v>
      </c>
      <c r="Q5" s="13" t="s">
        <v>50</v>
      </c>
      <c r="R5" s="6"/>
      <c r="S5" s="6"/>
      <c r="T5" s="6"/>
      <c r="U5" s="6"/>
      <c r="V5" s="6"/>
    </row>
    <row r="6">
      <c r="A6" s="13" t="s">
        <v>51</v>
      </c>
      <c r="B6" s="13" t="s">
        <v>52</v>
      </c>
      <c r="C6" s="13" t="s">
        <v>53</v>
      </c>
      <c r="D6" s="14">
        <f t="shared" si="1"/>
        <v>0.3102429425</v>
      </c>
      <c r="E6" s="15" t="s">
        <v>51</v>
      </c>
      <c r="F6" s="16">
        <f t="shared" si="2"/>
        <v>69.88418246</v>
      </c>
      <c r="G6" s="17">
        <v>3.639990202655112E13</v>
      </c>
      <c r="H6" s="18">
        <v>2021.0</v>
      </c>
      <c r="I6" s="19" t="s">
        <v>37</v>
      </c>
      <c r="J6" s="18">
        <v>71.0</v>
      </c>
      <c r="K6" s="18">
        <v>65.0</v>
      </c>
      <c r="L6" s="20">
        <v>12.1839371970674</v>
      </c>
      <c r="M6" s="20">
        <f t="shared" si="3"/>
        <v>71.33333333</v>
      </c>
      <c r="N6" s="20">
        <f t="shared" si="4"/>
        <v>6.506407099</v>
      </c>
      <c r="O6" s="20">
        <v>12.2738906719289</v>
      </c>
      <c r="P6" s="13" t="s">
        <v>54</v>
      </c>
      <c r="Q6" s="13" t="s">
        <v>55</v>
      </c>
      <c r="R6" s="6"/>
      <c r="S6" s="6"/>
      <c r="T6" s="6"/>
      <c r="U6" s="6"/>
      <c r="V6" s="6"/>
    </row>
    <row r="7">
      <c r="A7" s="13" t="s">
        <v>56</v>
      </c>
      <c r="B7" s="13" t="s">
        <v>57</v>
      </c>
      <c r="C7" s="13" t="s">
        <v>58</v>
      </c>
      <c r="D7" s="14">
        <f t="shared" si="1"/>
        <v>0.2261094738</v>
      </c>
      <c r="E7" s="15" t="s">
        <v>56</v>
      </c>
      <c r="F7" s="16">
        <f t="shared" si="2"/>
        <v>41.96267084</v>
      </c>
      <c r="G7" s="17">
        <v>1.8244588489885074E13</v>
      </c>
      <c r="H7" s="18">
        <v>2020.0</v>
      </c>
      <c r="I7" s="19" t="s">
        <v>37</v>
      </c>
      <c r="J7" s="18">
        <v>65.0</v>
      </c>
      <c r="K7" s="18">
        <v>63.0</v>
      </c>
      <c r="L7" s="20">
        <v>12.2738906719289</v>
      </c>
      <c r="M7" s="20">
        <f t="shared" si="3"/>
        <v>66.33333333</v>
      </c>
      <c r="N7" s="20">
        <f t="shared" si="4"/>
        <v>4.163331999</v>
      </c>
      <c r="O7" s="20">
        <v>11.3076296512967</v>
      </c>
      <c r="P7" s="13" t="s">
        <v>59</v>
      </c>
      <c r="Q7" s="13" t="s">
        <v>60</v>
      </c>
      <c r="R7" s="6"/>
      <c r="S7" s="6"/>
      <c r="T7" s="6"/>
      <c r="U7" s="6"/>
      <c r="V7" s="6"/>
    </row>
    <row r="8">
      <c r="A8" s="13" t="s">
        <v>61</v>
      </c>
      <c r="B8" s="13" t="s">
        <v>62</v>
      </c>
      <c r="C8" s="13" t="s">
        <v>63</v>
      </c>
      <c r="D8" s="14">
        <f t="shared" si="1"/>
        <v>0.1952962522</v>
      </c>
      <c r="E8" s="15" t="s">
        <v>61</v>
      </c>
      <c r="F8" s="16">
        <f t="shared" si="2"/>
        <v>23.93820585</v>
      </c>
      <c r="G8" s="17">
        <v>8.82489850883776E12</v>
      </c>
      <c r="H8" s="19">
        <v>2019.0</v>
      </c>
      <c r="I8" s="19" t="s">
        <v>37</v>
      </c>
      <c r="J8" s="18">
        <v>63.0</v>
      </c>
      <c r="K8" s="18" t="s">
        <v>64</v>
      </c>
      <c r="L8" s="20">
        <v>11.3076296512967</v>
      </c>
      <c r="M8" s="20">
        <f t="shared" si="3"/>
        <v>61.86666667</v>
      </c>
      <c r="N8" s="20">
        <f t="shared" si="4"/>
        <v>3.827967259</v>
      </c>
      <c r="O8" s="20">
        <v>11.3396223992414</v>
      </c>
      <c r="P8" s="13" t="s">
        <v>65</v>
      </c>
      <c r="Q8" s="13" t="s">
        <v>66</v>
      </c>
      <c r="R8" s="6"/>
      <c r="S8" s="6"/>
      <c r="T8" s="6"/>
      <c r="U8" s="6"/>
      <c r="V8" s="6"/>
    </row>
    <row r="9">
      <c r="A9" s="13" t="s">
        <v>67</v>
      </c>
      <c r="B9" s="13" t="s">
        <v>68</v>
      </c>
      <c r="C9" s="13" t="s">
        <v>69</v>
      </c>
      <c r="D9" s="14">
        <f t="shared" si="1"/>
        <v>0.1595439454</v>
      </c>
      <c r="E9" s="15" t="s">
        <v>67</v>
      </c>
      <c r="F9" s="16">
        <f t="shared" si="2"/>
        <v>22.27061829</v>
      </c>
      <c r="G9" s="17">
        <v>7.026139557428437E12</v>
      </c>
      <c r="H9" s="18">
        <v>2018.0</v>
      </c>
      <c r="I9" s="19" t="s">
        <v>37</v>
      </c>
      <c r="J9" s="18" t="s">
        <v>64</v>
      </c>
      <c r="K9" s="18">
        <v>55.0</v>
      </c>
      <c r="L9" s="20">
        <v>11.3396223992414</v>
      </c>
      <c r="M9" s="20">
        <f t="shared" si="3"/>
        <v>58.53333333</v>
      </c>
      <c r="N9" s="20">
        <f t="shared" si="4"/>
        <v>4.080849585</v>
      </c>
      <c r="O9" s="20">
        <v>12.4741307475021</v>
      </c>
      <c r="P9" s="13" t="s">
        <v>70</v>
      </c>
      <c r="Q9" s="13" t="s">
        <v>71</v>
      </c>
      <c r="R9" s="6"/>
      <c r="S9" s="6"/>
      <c r="T9" s="6"/>
      <c r="U9" s="6"/>
      <c r="V9" s="6"/>
    </row>
    <row r="10">
      <c r="A10" s="13" t="s">
        <v>72</v>
      </c>
      <c r="B10" s="13" t="s">
        <v>73</v>
      </c>
      <c r="C10" s="13" t="s">
        <v>74</v>
      </c>
      <c r="D10" s="14">
        <f t="shared" si="1"/>
        <v>0.4493232459</v>
      </c>
      <c r="E10" s="15" t="s">
        <v>72</v>
      </c>
      <c r="F10" s="16">
        <f t="shared" si="2"/>
        <v>23.17232566</v>
      </c>
      <c r="G10" s="17">
        <v>6.31998051600113E12</v>
      </c>
      <c r="H10" s="18">
        <v>2017.0</v>
      </c>
      <c r="I10" s="19" t="s">
        <v>37</v>
      </c>
      <c r="J10" s="18">
        <v>55.0</v>
      </c>
      <c r="K10" s="18">
        <v>44.0</v>
      </c>
      <c r="L10" s="20">
        <v>12.4741307475021</v>
      </c>
      <c r="M10" s="20">
        <f t="shared" si="3"/>
        <v>52.2</v>
      </c>
      <c r="N10" s="20">
        <f t="shared" si="4"/>
        <v>7.219418259</v>
      </c>
      <c r="O10" s="20">
        <v>14.0523361024415</v>
      </c>
      <c r="P10" s="13" t="s">
        <v>75</v>
      </c>
      <c r="Q10" s="13" t="s">
        <v>76</v>
      </c>
      <c r="R10" s="6"/>
      <c r="S10" s="6"/>
      <c r="T10" s="6"/>
      <c r="U10" s="6"/>
      <c r="V10" s="6"/>
    </row>
    <row r="11">
      <c r="A11" s="13" t="s">
        <v>77</v>
      </c>
      <c r="B11" s="13" t="s">
        <v>78</v>
      </c>
      <c r="C11" s="13" t="s">
        <v>79</v>
      </c>
      <c r="D11" s="14">
        <f t="shared" si="1"/>
        <v>0.2176118446</v>
      </c>
      <c r="E11" s="15" t="s">
        <v>77</v>
      </c>
      <c r="F11" s="16">
        <f t="shared" si="2"/>
        <v>13.83949878</v>
      </c>
      <c r="G11" s="17">
        <v>3.014408050992657E12</v>
      </c>
      <c r="H11" s="18">
        <v>2016.0</v>
      </c>
      <c r="I11" s="19" t="s">
        <v>37</v>
      </c>
      <c r="J11" s="18">
        <v>44.0</v>
      </c>
      <c r="K11" s="18">
        <v>41.0</v>
      </c>
      <c r="L11" s="20">
        <v>14.0523361024415</v>
      </c>
      <c r="M11" s="20">
        <f t="shared" si="3"/>
        <v>46.66666667</v>
      </c>
      <c r="N11" s="20">
        <f t="shared" si="4"/>
        <v>7.371114796</v>
      </c>
      <c r="O11" s="20">
        <v>19.6496007142997</v>
      </c>
      <c r="P11" s="13" t="s">
        <v>80</v>
      </c>
      <c r="Q11" s="13" t="s">
        <v>81</v>
      </c>
      <c r="R11" s="6"/>
      <c r="S11" s="6"/>
      <c r="T11" s="6"/>
      <c r="U11" s="6"/>
      <c r="V11" s="6"/>
    </row>
    <row r="12">
      <c r="A12" s="13" t="s">
        <v>82</v>
      </c>
      <c r="B12" s="13" t="s">
        <v>83</v>
      </c>
      <c r="C12" s="13" t="s">
        <v>84</v>
      </c>
      <c r="D12" s="14">
        <f t="shared" si="1"/>
        <v>0.01181789211</v>
      </c>
      <c r="E12" s="15" t="s">
        <v>82</v>
      </c>
      <c r="F12" s="16">
        <f t="shared" si="2"/>
        <v>16.23963089</v>
      </c>
      <c r="G12" s="17">
        <v>3.082917633170064E12</v>
      </c>
      <c r="H12" s="18">
        <v>2015.0</v>
      </c>
      <c r="I12" s="19" t="s">
        <v>37</v>
      </c>
      <c r="J12" s="18">
        <v>41.0</v>
      </c>
      <c r="K12" s="18">
        <v>39.0</v>
      </c>
      <c r="L12" s="20">
        <v>19.6496007142997</v>
      </c>
      <c r="M12" s="20">
        <f t="shared" si="3"/>
        <v>41.33333333</v>
      </c>
      <c r="N12" s="20">
        <f t="shared" si="4"/>
        <v>2.516611478</v>
      </c>
      <c r="O12" s="20">
        <v>28.846600976154</v>
      </c>
      <c r="P12" s="13" t="s">
        <v>85</v>
      </c>
      <c r="Q12" s="13" t="s">
        <v>86</v>
      </c>
      <c r="R12" s="6"/>
      <c r="S12" s="6"/>
      <c r="T12" s="6"/>
      <c r="U12" s="6"/>
      <c r="V12" s="6"/>
    </row>
    <row r="13">
      <c r="A13" s="13" t="s">
        <v>87</v>
      </c>
      <c r="B13" s="13" t="s">
        <v>88</v>
      </c>
      <c r="C13" s="13" t="s">
        <v>89</v>
      </c>
      <c r="D13" s="14">
        <f t="shared" si="1"/>
        <v>-0.9688643728</v>
      </c>
      <c r="E13" s="15" t="s">
        <v>87</v>
      </c>
      <c r="F13" s="16">
        <f t="shared" si="2"/>
        <v>13.72158126</v>
      </c>
      <c r="G13" s="17">
        <v>2.297317600401257E12</v>
      </c>
      <c r="H13" s="18">
        <v>2014.0</v>
      </c>
      <c r="I13" s="19" t="s">
        <v>37</v>
      </c>
      <c r="J13" s="18">
        <v>39.0</v>
      </c>
      <c r="K13" s="21"/>
      <c r="L13" s="20">
        <v>28.846600976154</v>
      </c>
      <c r="M13" s="20"/>
      <c r="N13" s="20"/>
      <c r="O13" s="22"/>
      <c r="P13" s="13" t="s">
        <v>90</v>
      </c>
      <c r="Q13" s="13" t="s">
        <v>91</v>
      </c>
      <c r="R13" s="6"/>
      <c r="S13" s="6"/>
      <c r="T13" s="6"/>
      <c r="U13" s="6"/>
      <c r="V13" s="6"/>
    </row>
    <row r="14">
      <c r="A14" s="13" t="s">
        <v>92</v>
      </c>
      <c r="B14" s="13" t="s">
        <v>93</v>
      </c>
      <c r="C14" s="13" t="s">
        <v>94</v>
      </c>
      <c r="D14" s="14">
        <f t="shared" si="1"/>
        <v>0.1712252272</v>
      </c>
      <c r="E14" s="15" t="s">
        <v>92</v>
      </c>
      <c r="F14" s="16">
        <f t="shared" si="2"/>
        <v>186.1481243</v>
      </c>
      <c r="G14" s="23">
        <v>1.5504947788E14</v>
      </c>
      <c r="H14" s="18">
        <v>2024.0</v>
      </c>
      <c r="I14" s="19" t="s">
        <v>95</v>
      </c>
      <c r="J14" s="18" t="s">
        <v>96</v>
      </c>
      <c r="K14" s="24" t="s">
        <v>97</v>
      </c>
      <c r="L14" s="20">
        <v>23.6602096848236</v>
      </c>
      <c r="M14" s="20"/>
      <c r="N14" s="20"/>
      <c r="O14" s="20">
        <v>21.6148974043115</v>
      </c>
      <c r="P14" s="13" t="s">
        <v>98</v>
      </c>
      <c r="Q14" s="13" t="s">
        <v>99</v>
      </c>
      <c r="R14" s="6"/>
      <c r="S14" s="6"/>
      <c r="T14" s="6"/>
      <c r="U14" s="6"/>
      <c r="V14" s="6"/>
    </row>
    <row r="15">
      <c r="A15" s="13" t="s">
        <v>100</v>
      </c>
      <c r="B15" s="13" t="s">
        <v>101</v>
      </c>
      <c r="C15" s="13" t="s">
        <v>102</v>
      </c>
      <c r="D15" s="14">
        <f t="shared" si="1"/>
        <v>0.5858324742</v>
      </c>
      <c r="E15" s="15" t="s">
        <v>100</v>
      </c>
      <c r="F15" s="16">
        <f t="shared" si="2"/>
        <v>255.5522925</v>
      </c>
      <c r="G15" s="23">
        <v>1.7010152776E14</v>
      </c>
      <c r="H15" s="18">
        <v>2023.0</v>
      </c>
      <c r="I15" s="19" t="s">
        <v>95</v>
      </c>
      <c r="J15" s="18" t="s">
        <v>97</v>
      </c>
      <c r="K15" s="24" t="s">
        <v>103</v>
      </c>
      <c r="L15" s="20">
        <v>21.6148974043115</v>
      </c>
      <c r="M15" s="20">
        <f t="shared" ref="M15:M23" si="5">(J14+J15+J16)/3</f>
        <v>87.03333333</v>
      </c>
      <c r="N15" s="20">
        <f t="shared" ref="N15:N23" si="6">sqrt((((J14-M15)^2)+((J15-M15)^2)+((J16-M15)^2))/2)</f>
        <v>1.069267662</v>
      </c>
      <c r="O15" s="20">
        <v>18.1756591237636</v>
      </c>
      <c r="P15" s="13" t="s">
        <v>104</v>
      </c>
      <c r="Q15" s="13" t="s">
        <v>105</v>
      </c>
      <c r="R15" s="6"/>
      <c r="S15" s="6"/>
      <c r="T15" s="6"/>
      <c r="U15" s="6"/>
      <c r="V15" s="6"/>
    </row>
    <row r="16">
      <c r="A16" s="13" t="s">
        <v>106</v>
      </c>
      <c r="B16" s="13" t="s">
        <v>107</v>
      </c>
      <c r="C16" s="13" t="s">
        <v>108</v>
      </c>
      <c r="D16" s="14">
        <f t="shared" si="1"/>
        <v>-0.1901081465</v>
      </c>
      <c r="E16" s="15" t="s">
        <v>106</v>
      </c>
      <c r="F16" s="16">
        <f t="shared" si="2"/>
        <v>355.31648</v>
      </c>
      <c r="G16" s="23">
        <v>2.0472055624E14</v>
      </c>
      <c r="H16" s="18">
        <v>2022.0</v>
      </c>
      <c r="I16" s="19" t="s">
        <v>95</v>
      </c>
      <c r="J16" s="18" t="s">
        <v>103</v>
      </c>
      <c r="K16" s="24">
        <v>84.0</v>
      </c>
      <c r="L16" s="20">
        <v>18.1756591237636</v>
      </c>
      <c r="M16" s="20">
        <f t="shared" si="5"/>
        <v>85.63333333</v>
      </c>
      <c r="N16" s="20">
        <f t="shared" si="6"/>
        <v>1.4571662</v>
      </c>
      <c r="O16" s="20">
        <v>12.1839371970674</v>
      </c>
      <c r="P16" s="13" t="s">
        <v>109</v>
      </c>
      <c r="Q16" s="13" t="s">
        <v>110</v>
      </c>
      <c r="R16" s="6"/>
      <c r="S16" s="6"/>
      <c r="T16" s="6"/>
      <c r="U16" s="6"/>
      <c r="V16" s="6"/>
    </row>
    <row r="17">
      <c r="A17" s="13" t="s">
        <v>111</v>
      </c>
      <c r="B17" s="13" t="s">
        <v>112</v>
      </c>
      <c r="C17" s="13" t="s">
        <v>113</v>
      </c>
      <c r="D17" s="14">
        <f t="shared" si="1"/>
        <v>0.1375493933</v>
      </c>
      <c r="E17" s="15" t="s">
        <v>111</v>
      </c>
      <c r="F17" s="16">
        <f t="shared" si="2"/>
        <v>751.5164273</v>
      </c>
      <c r="G17" s="23">
        <v>3.2166915006E14</v>
      </c>
      <c r="H17" s="18">
        <v>2021.0</v>
      </c>
      <c r="I17" s="19" t="s">
        <v>95</v>
      </c>
      <c r="J17" s="18">
        <v>84.0</v>
      </c>
      <c r="K17" s="24" t="s">
        <v>114</v>
      </c>
      <c r="L17" s="20">
        <v>12.1839371970674</v>
      </c>
      <c r="M17" s="20">
        <f t="shared" si="5"/>
        <v>84</v>
      </c>
      <c r="N17" s="20">
        <f t="shared" si="6"/>
        <v>2.1</v>
      </c>
      <c r="O17" s="20">
        <v>12.2738906719289</v>
      </c>
      <c r="P17" s="13" t="s">
        <v>115</v>
      </c>
      <c r="Q17" s="13" t="s">
        <v>116</v>
      </c>
      <c r="R17" s="6"/>
      <c r="S17" s="6"/>
      <c r="T17" s="6"/>
      <c r="U17" s="6"/>
      <c r="V17" s="6"/>
    </row>
    <row r="18">
      <c r="A18" s="13" t="s">
        <v>117</v>
      </c>
      <c r="B18" s="13" t="s">
        <v>118</v>
      </c>
      <c r="C18" s="13" t="s">
        <v>119</v>
      </c>
      <c r="D18" s="14">
        <f t="shared" si="1"/>
        <v>-0.1503120589</v>
      </c>
      <c r="E18" s="15" t="s">
        <v>117</v>
      </c>
      <c r="F18" s="16">
        <f t="shared" si="2"/>
        <v>765.9764023</v>
      </c>
      <c r="G18" s="23">
        <v>3.239821463644299E14</v>
      </c>
      <c r="H18" s="18">
        <v>2020.0</v>
      </c>
      <c r="I18" s="19" t="s">
        <v>95</v>
      </c>
      <c r="J18" s="18" t="s">
        <v>114</v>
      </c>
      <c r="K18" s="24" t="s">
        <v>120</v>
      </c>
      <c r="L18" s="20">
        <v>12.2738906719289</v>
      </c>
      <c r="M18" s="20">
        <f t="shared" si="5"/>
        <v>79.66666667</v>
      </c>
      <c r="N18" s="20">
        <f t="shared" si="6"/>
        <v>5.783021125</v>
      </c>
      <c r="O18" s="20">
        <v>11.3076296512967</v>
      </c>
      <c r="P18" s="13" t="s">
        <v>121</v>
      </c>
      <c r="Q18" s="13" t="s">
        <v>122</v>
      </c>
      <c r="R18" s="6"/>
      <c r="S18" s="6"/>
      <c r="T18" s="6"/>
      <c r="U18" s="6"/>
      <c r="V18" s="6"/>
    </row>
    <row r="19">
      <c r="A19" s="13" t="s">
        <v>123</v>
      </c>
      <c r="B19" s="13" t="s">
        <v>124</v>
      </c>
      <c r="C19" s="13" t="s">
        <v>125</v>
      </c>
      <c r="D19" s="14">
        <f t="shared" si="1"/>
        <v>0.06679234594</v>
      </c>
      <c r="E19" s="15" t="s">
        <v>123</v>
      </c>
      <c r="F19" s="16">
        <f t="shared" si="2"/>
        <v>808.7808874</v>
      </c>
      <c r="G19" s="23">
        <v>3.26254652337382E14</v>
      </c>
      <c r="H19" s="19">
        <v>2019.0</v>
      </c>
      <c r="I19" s="19" t="s">
        <v>95</v>
      </c>
      <c r="J19" s="18" t="s">
        <v>120</v>
      </c>
      <c r="K19" s="24" t="s">
        <v>126</v>
      </c>
      <c r="L19" s="20">
        <v>11.3076296512967</v>
      </c>
      <c r="M19" s="20">
        <f t="shared" si="5"/>
        <v>75.06666667</v>
      </c>
      <c r="N19" s="20">
        <f t="shared" si="6"/>
        <v>6.092892034</v>
      </c>
      <c r="O19" s="20">
        <v>11.3396223992414</v>
      </c>
      <c r="P19" s="13" t="s">
        <v>127</v>
      </c>
      <c r="Q19" s="13" t="s">
        <v>128</v>
      </c>
      <c r="R19" s="6"/>
      <c r="S19" s="6"/>
      <c r="T19" s="6"/>
      <c r="U19" s="6"/>
      <c r="V19" s="6"/>
    </row>
    <row r="20">
      <c r="A20" s="13" t="s">
        <v>129</v>
      </c>
      <c r="B20" s="13" t="s">
        <v>130</v>
      </c>
      <c r="C20" s="13" t="s">
        <v>131</v>
      </c>
      <c r="D20" s="14">
        <f t="shared" si="1"/>
        <v>0.3642343</v>
      </c>
      <c r="E20" s="15" t="s">
        <v>129</v>
      </c>
      <c r="F20" s="16">
        <f t="shared" si="2"/>
        <v>776.1578198</v>
      </c>
      <c r="G20" s="23">
        <v>2.23443199500352E14</v>
      </c>
      <c r="H20" s="18">
        <v>2018.0</v>
      </c>
      <c r="I20" s="19" t="s">
        <v>95</v>
      </c>
      <c r="J20" s="18" t="s">
        <v>126</v>
      </c>
      <c r="K20" s="24" t="s">
        <v>132</v>
      </c>
      <c r="L20" s="20">
        <v>11.3396223992414</v>
      </c>
      <c r="M20" s="20">
        <f t="shared" si="5"/>
        <v>69.63333333</v>
      </c>
      <c r="N20" s="20">
        <f t="shared" si="6"/>
        <v>3.781974793</v>
      </c>
      <c r="O20" s="20">
        <v>12.4741307475021</v>
      </c>
      <c r="P20" s="13" t="s">
        <v>133</v>
      </c>
      <c r="Q20" s="13" t="s">
        <v>134</v>
      </c>
      <c r="R20" s="6"/>
      <c r="S20" s="6"/>
      <c r="T20" s="6"/>
      <c r="U20" s="6"/>
      <c r="V20" s="6"/>
    </row>
    <row r="21">
      <c r="A21" s="13" t="s">
        <v>135</v>
      </c>
      <c r="B21" s="13" t="s">
        <v>136</v>
      </c>
      <c r="C21" s="13" t="s">
        <v>137</v>
      </c>
      <c r="D21" s="14">
        <f t="shared" si="1"/>
        <v>0.5508299308</v>
      </c>
      <c r="E21" s="15" t="s">
        <v>135</v>
      </c>
      <c r="F21" s="16">
        <f t="shared" si="2"/>
        <v>701.3646824</v>
      </c>
      <c r="G21" s="23">
        <v>1.4978496309039725E14</v>
      </c>
      <c r="H21" s="18">
        <v>2017.0</v>
      </c>
      <c r="I21" s="19" t="s">
        <v>95</v>
      </c>
      <c r="J21" s="18" t="s">
        <v>132</v>
      </c>
      <c r="K21" s="24" t="s">
        <v>138</v>
      </c>
      <c r="L21" s="20">
        <v>12.4741307475021</v>
      </c>
      <c r="M21" s="20">
        <f t="shared" si="5"/>
        <v>65.8</v>
      </c>
      <c r="N21" s="20">
        <f t="shared" si="6"/>
        <v>4.303486958</v>
      </c>
      <c r="O21" s="20">
        <v>14.0523361024415</v>
      </c>
      <c r="P21" s="13" t="s">
        <v>139</v>
      </c>
      <c r="Q21" s="13" t="s">
        <v>140</v>
      </c>
      <c r="R21" s="6"/>
      <c r="S21" s="6"/>
      <c r="T21" s="6"/>
      <c r="U21" s="6"/>
      <c r="V21" s="6"/>
    </row>
    <row r="22">
      <c r="A22" s="13" t="s">
        <v>141</v>
      </c>
      <c r="B22" s="13" t="s">
        <v>142</v>
      </c>
      <c r="C22" s="13" t="s">
        <v>143</v>
      </c>
      <c r="D22" s="14">
        <f t="shared" si="1"/>
        <v>0.6921522753</v>
      </c>
      <c r="E22" s="15" t="s">
        <v>141</v>
      </c>
      <c r="F22" s="16">
        <f t="shared" si="2"/>
        <v>314.898705</v>
      </c>
      <c r="G22" s="23">
        <v>5.764105255041928E13</v>
      </c>
      <c r="H22" s="18">
        <v>2016.0</v>
      </c>
      <c r="I22" s="19" t="s">
        <v>95</v>
      </c>
      <c r="J22" s="18" t="s">
        <v>138</v>
      </c>
      <c r="K22" s="24" t="s">
        <v>144</v>
      </c>
      <c r="L22" s="20">
        <v>14.0523361024415</v>
      </c>
      <c r="M22" s="20">
        <f t="shared" si="5"/>
        <v>61.66666667</v>
      </c>
      <c r="N22" s="20">
        <f t="shared" si="6"/>
        <v>3.900427327</v>
      </c>
      <c r="O22" s="20">
        <v>19.6496007142997</v>
      </c>
      <c r="P22" s="13" t="s">
        <v>145</v>
      </c>
      <c r="Q22" s="13" t="s">
        <v>146</v>
      </c>
      <c r="R22" s="6"/>
      <c r="S22" s="6"/>
      <c r="T22" s="6"/>
      <c r="U22" s="6"/>
      <c r="V22" s="6"/>
    </row>
    <row r="23">
      <c r="A23" s="13" t="s">
        <v>147</v>
      </c>
      <c r="B23" s="13" t="s">
        <v>148</v>
      </c>
      <c r="C23" s="13" t="s">
        <v>149</v>
      </c>
      <c r="D23" s="14">
        <f t="shared" si="1"/>
        <v>0.2281206384</v>
      </c>
      <c r="E23" s="15" t="s">
        <v>147</v>
      </c>
      <c r="F23" s="16">
        <f t="shared" si="2"/>
        <v>247.4731729</v>
      </c>
      <c r="G23" s="23">
        <v>3.59128292581896E13</v>
      </c>
      <c r="H23" s="18">
        <v>2015.0</v>
      </c>
      <c r="I23" s="19" t="s">
        <v>95</v>
      </c>
      <c r="J23" s="18" t="s">
        <v>144</v>
      </c>
      <c r="K23" s="24">
        <v>54.0</v>
      </c>
      <c r="L23" s="20">
        <v>19.6496007142997</v>
      </c>
      <c r="M23" s="20">
        <f t="shared" si="5"/>
        <v>57.8</v>
      </c>
      <c r="N23" s="20">
        <f t="shared" si="6"/>
        <v>3.8</v>
      </c>
      <c r="O23" s="20">
        <v>28.846600976154</v>
      </c>
      <c r="P23" s="13" t="s">
        <v>150</v>
      </c>
      <c r="Q23" s="13" t="s">
        <v>151</v>
      </c>
      <c r="R23" s="6"/>
      <c r="S23" s="6"/>
      <c r="T23" s="6"/>
      <c r="U23" s="6"/>
      <c r="V23" s="6"/>
    </row>
    <row r="24">
      <c r="A24" s="13" t="s">
        <v>152</v>
      </c>
      <c r="B24" s="13" t="s">
        <v>153</v>
      </c>
      <c r="C24" s="13" t="s">
        <v>154</v>
      </c>
      <c r="D24" s="14">
        <f t="shared" si="1"/>
        <v>-0.6666939973</v>
      </c>
      <c r="E24" s="15" t="s">
        <v>152</v>
      </c>
      <c r="F24" s="16">
        <f t="shared" si="2"/>
        <v>212.1218597</v>
      </c>
      <c r="G24" s="23">
        <v>1.9043159296999848E13</v>
      </c>
      <c r="H24" s="18">
        <v>2014.0</v>
      </c>
      <c r="I24" s="19" t="s">
        <v>95</v>
      </c>
      <c r="J24" s="18">
        <v>54.0</v>
      </c>
      <c r="K24" s="21"/>
      <c r="L24" s="20">
        <v>28.846600976154</v>
      </c>
      <c r="M24" s="20"/>
      <c r="N24" s="20"/>
      <c r="O24" s="22"/>
      <c r="P24" s="13" t="s">
        <v>155</v>
      </c>
      <c r="Q24" s="13" t="s">
        <v>156</v>
      </c>
      <c r="R24" s="6"/>
      <c r="S24" s="6"/>
      <c r="T24" s="6"/>
      <c r="U24" s="6"/>
      <c r="V24" s="6"/>
    </row>
    <row r="25">
      <c r="A25" s="13" t="s">
        <v>157</v>
      </c>
      <c r="B25" s="13" t="s">
        <v>158</v>
      </c>
      <c r="C25" s="13" t="s">
        <v>159</v>
      </c>
      <c r="D25" s="14">
        <f t="shared" si="1"/>
        <v>0.06295206493</v>
      </c>
      <c r="E25" s="15" t="s">
        <v>157</v>
      </c>
      <c r="F25" s="16">
        <f t="shared" si="2"/>
        <v>393.8587477</v>
      </c>
      <c r="G25" s="23">
        <v>5.802069987E13</v>
      </c>
      <c r="H25" s="18">
        <v>2024.0</v>
      </c>
      <c r="I25" s="19" t="s">
        <v>160</v>
      </c>
      <c r="J25" s="18" t="s">
        <v>161</v>
      </c>
      <c r="K25" s="24" t="s">
        <v>162</v>
      </c>
      <c r="L25" s="20">
        <v>23.6602096848236</v>
      </c>
      <c r="M25" s="20"/>
      <c r="N25" s="20"/>
      <c r="O25" s="20">
        <v>21.6148974043115</v>
      </c>
      <c r="P25" s="13" t="s">
        <v>163</v>
      </c>
      <c r="Q25" s="13" t="s">
        <v>164</v>
      </c>
      <c r="R25" s="6"/>
      <c r="S25" s="6"/>
      <c r="T25" s="6"/>
      <c r="U25" s="6"/>
      <c r="V25" s="6"/>
    </row>
    <row r="26">
      <c r="A26" s="13" t="s">
        <v>165</v>
      </c>
      <c r="B26" s="13" t="s">
        <v>166</v>
      </c>
      <c r="C26" s="13" t="s">
        <v>167</v>
      </c>
      <c r="D26" s="14">
        <f t="shared" si="1"/>
        <v>0.02706936578</v>
      </c>
      <c r="E26" s="15" t="s">
        <v>165</v>
      </c>
      <c r="F26" s="16">
        <f t="shared" si="2"/>
        <v>431.5766989</v>
      </c>
      <c r="G26" s="23">
        <v>6.349812608E13</v>
      </c>
      <c r="H26" s="18">
        <v>2023.0</v>
      </c>
      <c r="I26" s="19" t="s">
        <v>160</v>
      </c>
      <c r="J26" s="18" t="s">
        <v>162</v>
      </c>
      <c r="K26" s="24" t="s">
        <v>168</v>
      </c>
      <c r="L26" s="20">
        <v>21.6148974043115</v>
      </c>
      <c r="M26" s="20">
        <f t="shared" ref="M26:M34" si="7">(J26+J27+J28)/3</f>
        <v>81.43333333</v>
      </c>
      <c r="N26" s="20">
        <f t="shared" ref="N26:N34" si="8">sqrt((((J25-M26)^2)+((J26-M26)^2)+((J27-M26)^2))/2)</f>
        <v>6.675202868</v>
      </c>
      <c r="O26" s="20">
        <v>18.1756591237636</v>
      </c>
      <c r="P26" s="13" t="s">
        <v>169</v>
      </c>
      <c r="Q26" s="13" t="s">
        <v>170</v>
      </c>
      <c r="R26" s="6"/>
      <c r="S26" s="6"/>
      <c r="T26" s="6"/>
      <c r="U26" s="6"/>
      <c r="V26" s="6"/>
    </row>
    <row r="27">
      <c r="A27" s="13" t="s">
        <v>171</v>
      </c>
      <c r="B27" s="13" t="s">
        <v>172</v>
      </c>
      <c r="C27" s="13" t="s">
        <v>173</v>
      </c>
      <c r="D27" s="14">
        <f t="shared" si="1"/>
        <v>-0.14035558</v>
      </c>
      <c r="E27" s="15" t="s">
        <v>171</v>
      </c>
      <c r="F27" s="16">
        <f t="shared" si="2"/>
        <v>450.0934337</v>
      </c>
      <c r="G27" s="23">
        <v>6.351276686E13</v>
      </c>
      <c r="H27" s="18">
        <v>2022.0</v>
      </c>
      <c r="I27" s="19" t="s">
        <v>160</v>
      </c>
      <c r="J27" s="18" t="s">
        <v>168</v>
      </c>
      <c r="K27" s="24">
        <v>77.0</v>
      </c>
      <c r="L27" s="20">
        <v>18.1756591237636</v>
      </c>
      <c r="M27" s="20">
        <f t="shared" si="7"/>
        <v>75.8</v>
      </c>
      <c r="N27" s="20">
        <f t="shared" si="8"/>
        <v>8.132957642</v>
      </c>
      <c r="O27" s="20">
        <v>12.1839371970674</v>
      </c>
      <c r="P27" s="13" t="s">
        <v>174</v>
      </c>
      <c r="Q27" s="13" t="s">
        <v>175</v>
      </c>
      <c r="R27" s="6"/>
      <c r="S27" s="6"/>
      <c r="T27" s="6"/>
      <c r="U27" s="6"/>
      <c r="V27" s="6"/>
    </row>
    <row r="28">
      <c r="A28" s="13" t="s">
        <v>176</v>
      </c>
      <c r="B28" s="13" t="s">
        <v>177</v>
      </c>
      <c r="C28" s="13" t="s">
        <v>178</v>
      </c>
      <c r="D28" s="14">
        <f t="shared" si="1"/>
        <v>0.1477762617</v>
      </c>
      <c r="E28" s="15" t="s">
        <v>176</v>
      </c>
      <c r="F28" s="16">
        <f t="shared" si="2"/>
        <v>886.613147</v>
      </c>
      <c r="G28" s="23">
        <v>1.1171237232E14</v>
      </c>
      <c r="H28" s="18">
        <v>2021.0</v>
      </c>
      <c r="I28" s="19" t="s">
        <v>160</v>
      </c>
      <c r="J28" s="18">
        <v>77.0</v>
      </c>
      <c r="K28" s="24" t="s">
        <v>179</v>
      </c>
      <c r="L28" s="20">
        <v>12.1839371970674</v>
      </c>
      <c r="M28" s="20">
        <f t="shared" si="7"/>
        <v>68.63333333</v>
      </c>
      <c r="N28" s="20">
        <f t="shared" si="8"/>
        <v>10.97140222</v>
      </c>
      <c r="O28" s="20">
        <v>12.2738906719289</v>
      </c>
      <c r="P28" s="13" t="s">
        <v>180</v>
      </c>
      <c r="Q28" s="13" t="s">
        <v>181</v>
      </c>
      <c r="R28" s="6"/>
      <c r="S28" s="6"/>
      <c r="T28" s="6"/>
      <c r="U28" s="6"/>
      <c r="V28" s="6"/>
    </row>
    <row r="29">
      <c r="A29" s="13" t="s">
        <v>182</v>
      </c>
      <c r="B29" s="13" t="s">
        <v>183</v>
      </c>
      <c r="C29" s="13" t="s">
        <v>184</v>
      </c>
      <c r="D29" s="14">
        <f t="shared" si="1"/>
        <v>1.067184991</v>
      </c>
      <c r="E29" s="15" t="s">
        <v>182</v>
      </c>
      <c r="F29" s="16">
        <f t="shared" si="2"/>
        <v>972.1853275</v>
      </c>
      <c r="G29" s="23">
        <v>1.1242668114666672E14</v>
      </c>
      <c r="H29" s="18">
        <v>2020.0</v>
      </c>
      <c r="I29" s="19" t="s">
        <v>160</v>
      </c>
      <c r="J29" s="18" t="s">
        <v>179</v>
      </c>
      <c r="K29" s="24" t="s">
        <v>185</v>
      </c>
      <c r="L29" s="20">
        <v>12.2738906719289</v>
      </c>
      <c r="M29" s="20">
        <f t="shared" si="7"/>
        <v>63.13333333</v>
      </c>
      <c r="N29" s="20">
        <f t="shared" si="8"/>
        <v>10.76746643</v>
      </c>
      <c r="O29" s="20">
        <v>11.3076296512967</v>
      </c>
      <c r="P29" s="13" t="s">
        <v>186</v>
      </c>
      <c r="Q29" s="13" t="s">
        <v>187</v>
      </c>
      <c r="R29" s="6"/>
      <c r="S29" s="6"/>
      <c r="T29" s="6"/>
      <c r="U29" s="6"/>
      <c r="V29" s="6"/>
    </row>
    <row r="30">
      <c r="A30" s="13" t="s">
        <v>188</v>
      </c>
      <c r="B30" s="13" t="s">
        <v>189</v>
      </c>
      <c r="C30" s="13" t="s">
        <v>190</v>
      </c>
      <c r="D30" s="14">
        <f t="shared" si="1"/>
        <v>-0.02182723263</v>
      </c>
      <c r="E30" s="15" t="s">
        <v>188</v>
      </c>
      <c r="F30" s="16">
        <f t="shared" si="2"/>
        <v>1222.492405</v>
      </c>
      <c r="G30" s="23">
        <v>1.188997415291325E14</v>
      </c>
      <c r="H30" s="19">
        <v>2019.0</v>
      </c>
      <c r="I30" s="19" t="s">
        <v>160</v>
      </c>
      <c r="J30" s="18" t="s">
        <v>185</v>
      </c>
      <c r="K30" s="24" t="s">
        <v>191</v>
      </c>
      <c r="L30" s="20">
        <v>11.3076296512967</v>
      </c>
      <c r="M30" s="20">
        <f t="shared" si="7"/>
        <v>58.73333333</v>
      </c>
      <c r="N30" s="20">
        <f t="shared" si="8"/>
        <v>7.23210435</v>
      </c>
      <c r="O30" s="20">
        <v>11.3396223992414</v>
      </c>
      <c r="P30" s="13" t="s">
        <v>192</v>
      </c>
      <c r="Q30" s="13" t="s">
        <v>193</v>
      </c>
      <c r="R30" s="6"/>
      <c r="S30" s="6"/>
      <c r="T30" s="6"/>
      <c r="U30" s="6"/>
      <c r="V30" s="6"/>
    </row>
    <row r="31">
      <c r="A31" s="13" t="s">
        <v>194</v>
      </c>
      <c r="B31" s="13" t="s">
        <v>195</v>
      </c>
      <c r="C31" s="13" t="s">
        <v>196</v>
      </c>
      <c r="D31" s="14">
        <f t="shared" si="1"/>
        <v>0.01507074068</v>
      </c>
      <c r="E31" s="15" t="s">
        <v>194</v>
      </c>
      <c r="F31" s="16">
        <f t="shared" si="2"/>
        <v>1518.65988</v>
      </c>
      <c r="G31" s="23">
        <v>9.80424497664158E13</v>
      </c>
      <c r="H31" s="18">
        <v>2018.0</v>
      </c>
      <c r="I31" s="19" t="s">
        <v>160</v>
      </c>
      <c r="J31" s="18" t="s">
        <v>191</v>
      </c>
      <c r="K31" s="24" t="s">
        <v>197</v>
      </c>
      <c r="L31" s="20">
        <v>11.3396223992414</v>
      </c>
      <c r="M31" s="20">
        <f t="shared" si="7"/>
        <v>54.9</v>
      </c>
      <c r="N31" s="20">
        <f t="shared" si="8"/>
        <v>5.468546425</v>
      </c>
      <c r="O31" s="20">
        <v>12.4741307475021</v>
      </c>
      <c r="P31" s="13" t="s">
        <v>198</v>
      </c>
      <c r="Q31" s="13" t="s">
        <v>199</v>
      </c>
      <c r="R31" s="6"/>
      <c r="S31" s="6"/>
      <c r="T31" s="6"/>
      <c r="U31" s="6"/>
      <c r="V31" s="6"/>
    </row>
    <row r="32">
      <c r="A32" s="13" t="s">
        <v>200</v>
      </c>
      <c r="B32" s="13" t="s">
        <v>201</v>
      </c>
      <c r="C32" s="13" t="s">
        <v>202</v>
      </c>
      <c r="D32" s="14">
        <f t="shared" si="1"/>
        <v>-0.1311039936</v>
      </c>
      <c r="E32" s="15" t="s">
        <v>200</v>
      </c>
      <c r="F32" s="16">
        <f t="shared" si="2"/>
        <v>687.2389239</v>
      </c>
      <c r="G32" s="23">
        <v>4.361596976673144E13</v>
      </c>
      <c r="H32" s="18">
        <v>2017.0</v>
      </c>
      <c r="I32" s="19" t="s">
        <v>160</v>
      </c>
      <c r="J32" s="18" t="s">
        <v>197</v>
      </c>
      <c r="K32" s="24" t="s">
        <v>203</v>
      </c>
      <c r="L32" s="20">
        <v>12.4741307475021</v>
      </c>
      <c r="M32" s="20">
        <f t="shared" si="7"/>
        <v>48.8</v>
      </c>
      <c r="N32" s="20">
        <f t="shared" si="8"/>
        <v>9.53388693</v>
      </c>
      <c r="O32" s="20">
        <v>14.0523361024415</v>
      </c>
      <c r="P32" s="13" t="s">
        <v>204</v>
      </c>
      <c r="Q32" s="13" t="s">
        <v>205</v>
      </c>
      <c r="R32" s="6"/>
      <c r="S32" s="6"/>
      <c r="T32" s="6"/>
      <c r="U32" s="6"/>
      <c r="V32" s="6"/>
    </row>
    <row r="33">
      <c r="A33" s="13" t="s">
        <v>206</v>
      </c>
      <c r="B33" s="13" t="s">
        <v>207</v>
      </c>
      <c r="C33" s="13" t="s">
        <v>208</v>
      </c>
      <c r="D33" s="14">
        <f t="shared" si="1"/>
        <v>0.4136242789</v>
      </c>
      <c r="E33" s="15" t="s">
        <v>206</v>
      </c>
      <c r="F33" s="16">
        <f t="shared" si="2"/>
        <v>316.1590304</v>
      </c>
      <c r="G33" s="23">
        <v>2.3039225019016367E13</v>
      </c>
      <c r="H33" s="18">
        <v>2016.0</v>
      </c>
      <c r="I33" s="19" t="s">
        <v>160</v>
      </c>
      <c r="J33" s="18" t="s">
        <v>203</v>
      </c>
      <c r="K33" s="24" t="s">
        <v>209</v>
      </c>
      <c r="L33" s="20">
        <v>14.0523361024415</v>
      </c>
      <c r="M33" s="20">
        <f t="shared" si="7"/>
        <v>42.7</v>
      </c>
      <c r="N33" s="20">
        <f t="shared" si="8"/>
        <v>10.00224975</v>
      </c>
      <c r="O33" s="20">
        <v>19.6496007142997</v>
      </c>
      <c r="P33" s="13" t="s">
        <v>210</v>
      </c>
      <c r="Q33" s="13" t="s">
        <v>211</v>
      </c>
      <c r="R33" s="6"/>
      <c r="S33" s="6"/>
      <c r="T33" s="6"/>
      <c r="U33" s="6"/>
      <c r="V33" s="6"/>
    </row>
    <row r="34">
      <c r="A34" s="13" t="s">
        <v>212</v>
      </c>
      <c r="B34" s="13" t="s">
        <v>213</v>
      </c>
      <c r="C34" s="13" t="s">
        <v>214</v>
      </c>
      <c r="D34" s="14">
        <f t="shared" si="1"/>
        <v>0.9000379283</v>
      </c>
      <c r="E34" s="15" t="s">
        <v>212</v>
      </c>
      <c r="F34" s="16">
        <f t="shared" si="2"/>
        <v>253.4704221</v>
      </c>
      <c r="G34" s="23">
        <v>1.8167033135030062E13</v>
      </c>
      <c r="H34" s="18">
        <v>2015.0</v>
      </c>
      <c r="I34" s="19" t="s">
        <v>160</v>
      </c>
      <c r="J34" s="18" t="s">
        <v>209</v>
      </c>
      <c r="K34" s="24" t="s">
        <v>215</v>
      </c>
      <c r="L34" s="20">
        <v>19.6496007142997</v>
      </c>
      <c r="M34" s="20">
        <f t="shared" si="7"/>
        <v>52.7</v>
      </c>
      <c r="N34" s="20">
        <f t="shared" si="8"/>
        <v>13.53698637</v>
      </c>
      <c r="O34" s="20">
        <v>28.846600976154</v>
      </c>
      <c r="P34" s="13" t="s">
        <v>216</v>
      </c>
      <c r="Q34" s="13" t="s">
        <v>217</v>
      </c>
      <c r="R34" s="6"/>
      <c r="S34" s="6"/>
      <c r="T34" s="6"/>
      <c r="U34" s="6"/>
      <c r="V34" s="6"/>
    </row>
    <row r="35">
      <c r="A35" s="13" t="s">
        <v>218</v>
      </c>
      <c r="B35" s="13" t="s">
        <v>219</v>
      </c>
      <c r="C35" s="13" t="s">
        <v>220</v>
      </c>
      <c r="D35" s="14">
        <f t="shared" si="1"/>
        <v>-0.8839085306</v>
      </c>
      <c r="E35" s="15" t="s">
        <v>218</v>
      </c>
      <c r="F35" s="16">
        <f t="shared" si="2"/>
        <v>284.8267659</v>
      </c>
      <c r="G35" s="23">
        <v>1.5054838175898877E13</v>
      </c>
      <c r="H35" s="18">
        <v>2014.0</v>
      </c>
      <c r="I35" s="19" t="s">
        <v>160</v>
      </c>
      <c r="J35" s="18" t="s">
        <v>215</v>
      </c>
      <c r="K35" s="21"/>
      <c r="L35" s="20">
        <v>28.846600976154</v>
      </c>
      <c r="M35" s="20"/>
      <c r="N35" s="20"/>
      <c r="O35" s="22"/>
      <c r="P35" s="13" t="s">
        <v>221</v>
      </c>
      <c r="Q35" s="13" t="s">
        <v>222</v>
      </c>
      <c r="R35" s="6"/>
      <c r="S35" s="6"/>
      <c r="T35" s="6"/>
      <c r="U35" s="6"/>
      <c r="V35" s="6"/>
    </row>
    <row r="36">
      <c r="A36" s="13" t="s">
        <v>223</v>
      </c>
      <c r="B36" s="13" t="s">
        <v>224</v>
      </c>
      <c r="C36" s="13" t="s">
        <v>225</v>
      </c>
      <c r="D36" s="14">
        <f t="shared" si="1"/>
        <v>0.1673104467</v>
      </c>
      <c r="E36" s="15" t="s">
        <v>223</v>
      </c>
      <c r="F36" s="16">
        <f t="shared" si="2"/>
        <v>575.7345898</v>
      </c>
      <c r="G36" s="23">
        <v>1.2913664743282036E14</v>
      </c>
      <c r="H36" s="18">
        <v>2024.0</v>
      </c>
      <c r="I36" s="19" t="s">
        <v>226</v>
      </c>
      <c r="J36" s="18" t="s">
        <v>227</v>
      </c>
      <c r="K36" s="24" t="s">
        <v>228</v>
      </c>
      <c r="L36" s="20">
        <v>23.6602096848236</v>
      </c>
      <c r="M36" s="20"/>
      <c r="N36" s="20"/>
      <c r="O36" s="20">
        <v>21.6148974043115</v>
      </c>
      <c r="P36" s="13" t="s">
        <v>229</v>
      </c>
      <c r="Q36" s="13" t="s">
        <v>230</v>
      </c>
      <c r="R36" s="6"/>
      <c r="S36" s="6"/>
      <c r="T36" s="6"/>
      <c r="U36" s="6"/>
      <c r="V36" s="6"/>
    </row>
    <row r="37">
      <c r="A37" s="13" t="s">
        <v>231</v>
      </c>
      <c r="B37" s="13" t="s">
        <v>232</v>
      </c>
      <c r="C37" s="13" t="s">
        <v>233</v>
      </c>
      <c r="D37" s="14">
        <f t="shared" si="1"/>
        <v>-0.158803209</v>
      </c>
      <c r="E37" s="15" t="s">
        <v>231</v>
      </c>
      <c r="F37" s="16">
        <f t="shared" si="2"/>
        <v>656.1236244</v>
      </c>
      <c r="G37" s="23">
        <v>1.2312364511970952E14</v>
      </c>
      <c r="H37" s="18">
        <v>2023.0</v>
      </c>
      <c r="I37" s="19" t="s">
        <v>226</v>
      </c>
      <c r="J37" s="18" t="s">
        <v>228</v>
      </c>
      <c r="K37" s="24" t="s">
        <v>234</v>
      </c>
      <c r="L37" s="20">
        <v>21.6148974043115</v>
      </c>
      <c r="M37" s="20">
        <f t="shared" ref="M37:M45" si="9">(J36+J37+J38)/3</f>
        <v>74.7</v>
      </c>
      <c r="N37" s="20">
        <f t="shared" ref="N37:N45" si="10">sqrt((((J36-M37)^2)+((J37-M37)^2)+((J38-M37)^2))/2)</f>
        <v>3.736308338</v>
      </c>
      <c r="O37" s="20">
        <v>18.1756591237636</v>
      </c>
      <c r="P37" s="13" t="s">
        <v>235</v>
      </c>
      <c r="Q37" s="13" t="s">
        <v>236</v>
      </c>
      <c r="R37" s="6"/>
      <c r="S37" s="6"/>
      <c r="T37" s="6"/>
      <c r="U37" s="6"/>
      <c r="V37" s="6"/>
    </row>
    <row r="38">
      <c r="A38" s="13" t="s">
        <v>237</v>
      </c>
      <c r="B38" s="13" t="s">
        <v>238</v>
      </c>
      <c r="C38" s="13" t="s">
        <v>239</v>
      </c>
      <c r="D38" s="14">
        <f t="shared" si="1"/>
        <v>-0.05525472423</v>
      </c>
      <c r="E38" s="15" t="s">
        <v>237</v>
      </c>
      <c r="F38" s="16">
        <f t="shared" si="2"/>
        <v>358.5194928</v>
      </c>
      <c r="G38" s="23">
        <v>6.099438223804104E13</v>
      </c>
      <c r="H38" s="18">
        <v>2022.0</v>
      </c>
      <c r="I38" s="19" t="s">
        <v>226</v>
      </c>
      <c r="J38" s="18" t="s">
        <v>234</v>
      </c>
      <c r="K38" s="24" t="s">
        <v>240</v>
      </c>
      <c r="L38" s="20">
        <v>18.1756591237636</v>
      </c>
      <c r="M38" s="20">
        <f t="shared" si="9"/>
        <v>71.93333333</v>
      </c>
      <c r="N38" s="20">
        <f t="shared" si="10"/>
        <v>1.929594085</v>
      </c>
      <c r="O38" s="20">
        <v>12.1839371970674</v>
      </c>
      <c r="P38" s="13" t="s">
        <v>241</v>
      </c>
      <c r="Q38" s="13" t="s">
        <v>242</v>
      </c>
      <c r="R38" s="6"/>
      <c r="S38" s="6"/>
      <c r="T38" s="6"/>
      <c r="U38" s="6"/>
      <c r="V38" s="6"/>
    </row>
    <row r="39">
      <c r="A39" s="13" t="s">
        <v>243</v>
      </c>
      <c r="B39" s="13" t="s">
        <v>244</v>
      </c>
      <c r="C39" s="13" t="s">
        <v>245</v>
      </c>
      <c r="D39" s="14">
        <f t="shared" si="1"/>
        <v>0.6609218339</v>
      </c>
      <c r="E39" s="15" t="s">
        <v>243</v>
      </c>
      <c r="F39" s="16">
        <f t="shared" si="2"/>
        <v>495.0300621</v>
      </c>
      <c r="G39" s="23">
        <v>8.814493143755975E13</v>
      </c>
      <c r="H39" s="18">
        <v>2021.0</v>
      </c>
      <c r="I39" s="19" t="s">
        <v>226</v>
      </c>
      <c r="J39" s="18" t="s">
        <v>240</v>
      </c>
      <c r="K39" s="24" t="s">
        <v>246</v>
      </c>
      <c r="L39" s="20">
        <v>12.1839371970674</v>
      </c>
      <c r="M39" s="20">
        <f t="shared" si="9"/>
        <v>68.96666667</v>
      </c>
      <c r="N39" s="20">
        <f t="shared" si="10"/>
        <v>3.292921702</v>
      </c>
      <c r="O39" s="20">
        <v>12.2738906719289</v>
      </c>
      <c r="P39" s="13" t="s">
        <v>247</v>
      </c>
      <c r="Q39" s="13" t="s">
        <v>248</v>
      </c>
      <c r="R39" s="6"/>
      <c r="S39" s="6"/>
      <c r="T39" s="6"/>
      <c r="U39" s="6"/>
      <c r="V39" s="6"/>
    </row>
    <row r="40">
      <c r="A40" s="13" t="s">
        <v>249</v>
      </c>
      <c r="B40" s="13" t="s">
        <v>250</v>
      </c>
      <c r="C40" s="13" t="s">
        <v>251</v>
      </c>
      <c r="D40" s="14">
        <f t="shared" si="1"/>
        <v>0.4156622996</v>
      </c>
      <c r="E40" s="15" t="s">
        <v>249</v>
      </c>
      <c r="F40" s="16">
        <f t="shared" si="2"/>
        <v>368.1047518</v>
      </c>
      <c r="G40" s="23">
        <v>4.8337692271040445E13</v>
      </c>
      <c r="H40" s="18">
        <v>2020.0</v>
      </c>
      <c r="I40" s="19" t="s">
        <v>226</v>
      </c>
      <c r="J40" s="18" t="s">
        <v>246</v>
      </c>
      <c r="K40" s="24" t="s">
        <v>252</v>
      </c>
      <c r="L40" s="20">
        <v>12.2738906719289</v>
      </c>
      <c r="M40" s="20">
        <f t="shared" si="9"/>
        <v>65.16666667</v>
      </c>
      <c r="N40" s="20">
        <f t="shared" si="10"/>
        <v>5.250079364</v>
      </c>
      <c r="O40" s="20">
        <v>11.3076296512967</v>
      </c>
      <c r="P40" s="13" t="s">
        <v>253</v>
      </c>
      <c r="Q40" s="13" t="s">
        <v>254</v>
      </c>
      <c r="R40" s="6"/>
      <c r="S40" s="6"/>
      <c r="T40" s="6"/>
      <c r="U40" s="6"/>
      <c r="V40" s="6"/>
    </row>
    <row r="41">
      <c r="A41" s="13" t="s">
        <v>255</v>
      </c>
      <c r="B41" s="13" t="s">
        <v>256</v>
      </c>
      <c r="C41" s="13" t="s">
        <v>257</v>
      </c>
      <c r="D41" s="14">
        <f t="shared" si="1"/>
        <v>0.1400829229</v>
      </c>
      <c r="E41" s="15" t="s">
        <v>255</v>
      </c>
      <c r="F41" s="16">
        <f t="shared" si="2"/>
        <v>170.5083431</v>
      </c>
      <c r="G41" s="23">
        <v>1.729967286123392E13</v>
      </c>
      <c r="H41" s="19">
        <v>2019.0</v>
      </c>
      <c r="I41" s="19" t="s">
        <v>226</v>
      </c>
      <c r="J41" s="18" t="s">
        <v>252</v>
      </c>
      <c r="K41" s="24" t="s">
        <v>197</v>
      </c>
      <c r="L41" s="20">
        <v>11.3076296512967</v>
      </c>
      <c r="M41" s="20">
        <f t="shared" si="9"/>
        <v>60.2</v>
      </c>
      <c r="N41" s="20">
        <f t="shared" si="10"/>
        <v>4.856953778</v>
      </c>
      <c r="O41" s="20">
        <v>11.3396223992414</v>
      </c>
      <c r="P41" s="13" t="s">
        <v>258</v>
      </c>
      <c r="Q41" s="13" t="s">
        <v>259</v>
      </c>
      <c r="R41" s="6"/>
      <c r="S41" s="6"/>
      <c r="T41" s="6"/>
      <c r="U41" s="6"/>
      <c r="V41" s="6"/>
    </row>
    <row r="42">
      <c r="A42" s="13" t="s">
        <v>260</v>
      </c>
      <c r="B42" s="13" t="s">
        <v>261</v>
      </c>
      <c r="C42" s="13" t="s">
        <v>262</v>
      </c>
      <c r="D42" s="14">
        <f t="shared" si="1"/>
        <v>0.2095843204</v>
      </c>
      <c r="E42" s="15" t="s">
        <v>260</v>
      </c>
      <c r="F42" s="16">
        <f t="shared" si="2"/>
        <v>160.5195991</v>
      </c>
      <c r="G42" s="23">
        <v>1.251872577448554E13</v>
      </c>
      <c r="H42" s="18">
        <v>2018.0</v>
      </c>
      <c r="I42" s="19" t="s">
        <v>226</v>
      </c>
      <c r="J42" s="18" t="s">
        <v>197</v>
      </c>
      <c r="K42" s="24" t="s">
        <v>263</v>
      </c>
      <c r="L42" s="20">
        <v>11.3396223992414</v>
      </c>
      <c r="M42" s="20">
        <f t="shared" si="9"/>
        <v>54.86666667</v>
      </c>
      <c r="N42" s="20">
        <f t="shared" si="10"/>
        <v>5.378041775</v>
      </c>
      <c r="O42" s="20">
        <v>12.4741307475021</v>
      </c>
      <c r="P42" s="13" t="s">
        <v>264</v>
      </c>
      <c r="Q42" s="13" t="s">
        <v>265</v>
      </c>
      <c r="R42" s="6"/>
      <c r="S42" s="6"/>
      <c r="T42" s="6"/>
      <c r="U42" s="6"/>
      <c r="V42" s="6"/>
    </row>
    <row r="43">
      <c r="A43" s="13" t="s">
        <v>266</v>
      </c>
      <c r="B43" s="13" t="s">
        <v>267</v>
      </c>
      <c r="C43" s="13" t="s">
        <v>268</v>
      </c>
      <c r="D43" s="14">
        <f t="shared" si="1"/>
        <v>0.3869362778</v>
      </c>
      <c r="E43" s="15" t="s">
        <v>266</v>
      </c>
      <c r="F43" s="16">
        <f t="shared" si="2"/>
        <v>142.2223894</v>
      </c>
      <c r="G43" s="23">
        <v>7.520317205219788E12</v>
      </c>
      <c r="H43" s="18">
        <v>2017.0</v>
      </c>
      <c r="I43" s="19" t="s">
        <v>226</v>
      </c>
      <c r="J43" s="18" t="s">
        <v>263</v>
      </c>
      <c r="K43" s="24" t="s">
        <v>269</v>
      </c>
      <c r="L43" s="20">
        <v>12.4741307475021</v>
      </c>
      <c r="M43" s="20">
        <f t="shared" si="9"/>
        <v>49.66666667</v>
      </c>
      <c r="N43" s="20">
        <f t="shared" si="10"/>
        <v>5.614564394</v>
      </c>
      <c r="O43" s="20">
        <v>14.0523361024415</v>
      </c>
      <c r="P43" s="13" t="s">
        <v>270</v>
      </c>
      <c r="Q43" s="13" t="s">
        <v>271</v>
      </c>
      <c r="R43" s="6"/>
      <c r="S43" s="6"/>
      <c r="T43" s="6"/>
      <c r="U43" s="6"/>
      <c r="V43" s="6"/>
    </row>
    <row r="44">
      <c r="A44" s="13" t="s">
        <v>272</v>
      </c>
      <c r="B44" s="13" t="s">
        <v>273</v>
      </c>
      <c r="C44" s="13" t="s">
        <v>274</v>
      </c>
      <c r="D44" s="14">
        <f t="shared" si="1"/>
        <v>0.2123736008</v>
      </c>
      <c r="E44" s="15" t="s">
        <v>272</v>
      </c>
      <c r="F44" s="16">
        <f t="shared" si="2"/>
        <v>113.5431096</v>
      </c>
      <c r="G44" s="23">
        <v>3.759269779982132E12</v>
      </c>
      <c r="H44" s="18">
        <v>2016.0</v>
      </c>
      <c r="I44" s="19" t="s">
        <v>226</v>
      </c>
      <c r="J44" s="18" t="s">
        <v>269</v>
      </c>
      <c r="K44" s="24" t="s">
        <v>275</v>
      </c>
      <c r="L44" s="20">
        <v>14.0523361024415</v>
      </c>
      <c r="M44" s="20">
        <f t="shared" si="9"/>
        <v>45.33333333</v>
      </c>
      <c r="N44" s="20">
        <f t="shared" si="10"/>
        <v>3.467467856</v>
      </c>
      <c r="O44" s="20">
        <v>19.6496007142997</v>
      </c>
      <c r="P44" s="13" t="s">
        <v>276</v>
      </c>
      <c r="Q44" s="13" t="s">
        <v>277</v>
      </c>
      <c r="R44" s="6"/>
      <c r="S44" s="6"/>
      <c r="T44" s="6"/>
      <c r="U44" s="6"/>
      <c r="V44" s="6"/>
    </row>
    <row r="45">
      <c r="A45" s="13" t="s">
        <v>278</v>
      </c>
      <c r="B45" s="13" t="s">
        <v>279</v>
      </c>
      <c r="C45" s="13" t="s">
        <v>280</v>
      </c>
      <c r="D45" s="14">
        <f t="shared" si="1"/>
        <v>0.07551643287</v>
      </c>
      <c r="E45" s="15" t="s">
        <v>278</v>
      </c>
      <c r="F45" s="16">
        <f t="shared" si="2"/>
        <v>55.7091186</v>
      </c>
      <c r="G45" s="23">
        <v>1.4099195709409905E12</v>
      </c>
      <c r="H45" s="18">
        <v>2015.0</v>
      </c>
      <c r="I45" s="19" t="s">
        <v>226</v>
      </c>
      <c r="J45" s="18" t="s">
        <v>275</v>
      </c>
      <c r="K45" s="24" t="s">
        <v>281</v>
      </c>
      <c r="L45" s="20">
        <v>19.6496007142997</v>
      </c>
      <c r="M45" s="20">
        <f t="shared" si="9"/>
        <v>42.2</v>
      </c>
      <c r="N45" s="20">
        <f t="shared" si="10"/>
        <v>2.264950331</v>
      </c>
      <c r="O45" s="20">
        <v>28.846600976154</v>
      </c>
      <c r="P45" s="13" t="s">
        <v>282</v>
      </c>
      <c r="Q45" s="13" t="s">
        <v>283</v>
      </c>
      <c r="R45" s="6"/>
      <c r="S45" s="6"/>
      <c r="T45" s="6"/>
      <c r="U45" s="6"/>
      <c r="V45" s="6"/>
    </row>
    <row r="46">
      <c r="A46" s="13" t="s">
        <v>284</v>
      </c>
      <c r="B46" s="13" t="s">
        <v>285</v>
      </c>
      <c r="C46" s="13" t="s">
        <v>286</v>
      </c>
      <c r="D46" s="14">
        <f t="shared" si="1"/>
        <v>-0.6508124342</v>
      </c>
      <c r="E46" s="15" t="s">
        <v>284</v>
      </c>
      <c r="F46" s="16">
        <f t="shared" si="2"/>
        <v>66.08669331</v>
      </c>
      <c r="G46" s="23">
        <v>1.4496721032966963E12</v>
      </c>
      <c r="H46" s="18">
        <v>2014.0</v>
      </c>
      <c r="I46" s="19" t="s">
        <v>226</v>
      </c>
      <c r="J46" s="18" t="s">
        <v>281</v>
      </c>
      <c r="K46" s="21"/>
      <c r="L46" s="20">
        <v>28.846600976154</v>
      </c>
      <c r="M46" s="20"/>
      <c r="N46" s="20"/>
      <c r="O46" s="22"/>
      <c r="P46" s="13" t="s">
        <v>287</v>
      </c>
      <c r="Q46" s="13" t="s">
        <v>288</v>
      </c>
      <c r="R46" s="6"/>
      <c r="S46" s="6"/>
      <c r="T46" s="6"/>
      <c r="U46" s="6"/>
      <c r="V46" s="6"/>
    </row>
    <row r="47">
      <c r="A47" s="13" t="s">
        <v>289</v>
      </c>
      <c r="B47" s="13" t="s">
        <v>290</v>
      </c>
      <c r="C47" s="13" t="s">
        <v>291</v>
      </c>
      <c r="D47" s="14">
        <f t="shared" si="1"/>
        <v>0.134063297</v>
      </c>
      <c r="E47" s="15" t="s">
        <v>289</v>
      </c>
      <c r="F47" s="16">
        <f t="shared" si="2"/>
        <v>85.34938517</v>
      </c>
      <c r="G47" s="23">
        <v>2.0135449328521466E14</v>
      </c>
      <c r="H47" s="18">
        <v>2024.0</v>
      </c>
      <c r="I47" s="19" t="s">
        <v>292</v>
      </c>
      <c r="J47" s="18" t="s">
        <v>293</v>
      </c>
      <c r="K47" s="24" t="s">
        <v>294</v>
      </c>
      <c r="L47" s="20">
        <v>23.6602096848236</v>
      </c>
      <c r="M47" s="20"/>
      <c r="N47" s="20"/>
      <c r="O47" s="20">
        <v>21.6148974043115</v>
      </c>
      <c r="P47" s="13" t="s">
        <v>295</v>
      </c>
      <c r="Q47" s="13" t="s">
        <v>296</v>
      </c>
      <c r="R47" s="6"/>
      <c r="S47" s="6"/>
      <c r="T47" s="6"/>
      <c r="U47" s="6"/>
      <c r="V47" s="6"/>
    </row>
    <row r="48">
      <c r="A48" s="13" t="s">
        <v>297</v>
      </c>
      <c r="B48" s="13" t="s">
        <v>298</v>
      </c>
      <c r="C48" s="13" t="s">
        <v>299</v>
      </c>
      <c r="D48" s="14">
        <f t="shared" si="1"/>
        <v>0.1295097499</v>
      </c>
      <c r="E48" s="15" t="s">
        <v>297</v>
      </c>
      <c r="F48" s="16">
        <f t="shared" si="2"/>
        <v>56.06536876</v>
      </c>
      <c r="G48" s="23">
        <v>1.120524895901969E14</v>
      </c>
      <c r="H48" s="18">
        <v>2023.0</v>
      </c>
      <c r="I48" s="19" t="s">
        <v>292</v>
      </c>
      <c r="J48" s="18" t="s">
        <v>294</v>
      </c>
      <c r="K48" s="24" t="s">
        <v>300</v>
      </c>
      <c r="L48" s="20">
        <v>21.6148974043115</v>
      </c>
      <c r="M48" s="20">
        <f t="shared" ref="M48:M56" si="11">(J47+J48+J49)/3</f>
        <v>92.5</v>
      </c>
      <c r="N48" s="20">
        <f t="shared" ref="N48:N56" si="12">sqrt((((J47-M48)^2)+((J48-M48)^2)+((J49-M48)^2))/2)</f>
        <v>1.868154169</v>
      </c>
      <c r="O48" s="20">
        <v>18.1756591237636</v>
      </c>
      <c r="P48" s="13" t="s">
        <v>301</v>
      </c>
      <c r="Q48" s="13" t="s">
        <v>302</v>
      </c>
      <c r="R48" s="6"/>
      <c r="S48" s="6"/>
      <c r="T48" s="6"/>
      <c r="U48" s="6"/>
      <c r="V48" s="6"/>
    </row>
    <row r="49">
      <c r="A49" s="13" t="s">
        <v>303</v>
      </c>
      <c r="B49" s="13" t="s">
        <v>304</v>
      </c>
      <c r="C49" s="13" t="s">
        <v>305</v>
      </c>
      <c r="D49" s="14">
        <f t="shared" si="1"/>
        <v>0.1579891831</v>
      </c>
      <c r="E49" s="15" t="s">
        <v>303</v>
      </c>
      <c r="F49" s="16">
        <f t="shared" si="2"/>
        <v>72.36232539</v>
      </c>
      <c r="G49" s="23">
        <v>1.2918926603963464E14</v>
      </c>
      <c r="H49" s="18">
        <v>2022.0</v>
      </c>
      <c r="I49" s="19" t="s">
        <v>292</v>
      </c>
      <c r="J49" s="18" t="s">
        <v>300</v>
      </c>
      <c r="K49" s="24">
        <v>88.0</v>
      </c>
      <c r="L49" s="20">
        <v>18.1756591237636</v>
      </c>
      <c r="M49" s="20">
        <f t="shared" si="11"/>
        <v>90.33333333</v>
      </c>
      <c r="N49" s="20">
        <f t="shared" si="12"/>
        <v>2.138535324</v>
      </c>
      <c r="O49" s="20">
        <v>12.1839371970674</v>
      </c>
      <c r="P49" s="13" t="s">
        <v>306</v>
      </c>
      <c r="Q49" s="13" t="s">
        <v>307</v>
      </c>
      <c r="R49" s="6"/>
      <c r="S49" s="6"/>
      <c r="T49" s="6"/>
      <c r="U49" s="6"/>
      <c r="V49" s="6"/>
    </row>
    <row r="50">
      <c r="A50" s="13" t="s">
        <v>308</v>
      </c>
      <c r="B50" s="13" t="s">
        <v>309</v>
      </c>
      <c r="C50" s="13" t="s">
        <v>310</v>
      </c>
      <c r="D50" s="14">
        <f t="shared" si="1"/>
        <v>0.148637699</v>
      </c>
      <c r="E50" s="15" t="s">
        <v>308</v>
      </c>
      <c r="F50" s="16">
        <f t="shared" si="2"/>
        <v>76.84335607</v>
      </c>
      <c r="G50" s="23">
        <v>1.1625437788733106E14</v>
      </c>
      <c r="H50" s="18">
        <v>2021.0</v>
      </c>
      <c r="I50" s="19" t="s">
        <v>292</v>
      </c>
      <c r="J50" s="18">
        <v>88.0</v>
      </c>
      <c r="K50" s="24" t="s">
        <v>311</v>
      </c>
      <c r="L50" s="20">
        <v>12.1839371970674</v>
      </c>
      <c r="M50" s="20">
        <f t="shared" si="11"/>
        <v>88.56666667</v>
      </c>
      <c r="N50" s="20">
        <f t="shared" si="12"/>
        <v>2.010804151</v>
      </c>
      <c r="O50" s="20">
        <v>12.2738906719289</v>
      </c>
      <c r="P50" s="13" t="s">
        <v>312</v>
      </c>
      <c r="Q50" s="13" t="s">
        <v>313</v>
      </c>
      <c r="R50" s="6"/>
      <c r="S50" s="6"/>
      <c r="T50" s="6"/>
      <c r="U50" s="6"/>
      <c r="V50" s="6"/>
    </row>
    <row r="51">
      <c r="A51" s="13" t="s">
        <v>314</v>
      </c>
      <c r="B51" s="13" t="s">
        <v>315</v>
      </c>
      <c r="C51" s="13" t="s">
        <v>316</v>
      </c>
      <c r="D51" s="14">
        <f t="shared" si="1"/>
        <v>0.1174800685</v>
      </c>
      <c r="E51" s="15" t="s">
        <v>314</v>
      </c>
      <c r="F51" s="16">
        <f t="shared" si="2"/>
        <v>65.31689072</v>
      </c>
      <c r="G51" s="23">
        <v>8.63671898823233E13</v>
      </c>
      <c r="H51" s="18">
        <v>2020.0</v>
      </c>
      <c r="I51" s="19" t="s">
        <v>292</v>
      </c>
      <c r="J51" s="18" t="s">
        <v>311</v>
      </c>
      <c r="K51" s="24" t="s">
        <v>317</v>
      </c>
      <c r="L51" s="20">
        <v>12.2738906719289</v>
      </c>
      <c r="M51" s="20">
        <f t="shared" si="11"/>
        <v>85.8</v>
      </c>
      <c r="N51" s="20">
        <f t="shared" si="12"/>
        <v>2.910326442</v>
      </c>
      <c r="O51" s="20">
        <v>11.3076296512967</v>
      </c>
      <c r="P51" s="13" t="s">
        <v>318</v>
      </c>
      <c r="Q51" s="13" t="s">
        <v>319</v>
      </c>
      <c r="R51" s="6"/>
      <c r="S51" s="6"/>
      <c r="T51" s="6"/>
      <c r="U51" s="6"/>
      <c r="V51" s="6"/>
    </row>
    <row r="52">
      <c r="A52" s="13" t="s">
        <v>320</v>
      </c>
      <c r="B52" s="13" t="s">
        <v>321</v>
      </c>
      <c r="C52" s="13" t="s">
        <v>322</v>
      </c>
      <c r="D52" s="14">
        <f t="shared" si="1"/>
        <v>0.4663948212</v>
      </c>
      <c r="E52" s="15" t="s">
        <v>320</v>
      </c>
      <c r="F52" s="16">
        <f t="shared" si="2"/>
        <v>49.00693084</v>
      </c>
      <c r="G52" s="23">
        <v>5.964010479180057E13</v>
      </c>
      <c r="H52" s="19">
        <v>2019.0</v>
      </c>
      <c r="I52" s="19" t="s">
        <v>292</v>
      </c>
      <c r="J52" s="18" t="s">
        <v>317</v>
      </c>
      <c r="K52" s="24">
        <v>79.0</v>
      </c>
      <c r="L52" s="20">
        <v>11.3076296512967</v>
      </c>
      <c r="M52" s="20">
        <f t="shared" si="11"/>
        <v>82.8</v>
      </c>
      <c r="N52" s="20">
        <f t="shared" si="12"/>
        <v>3.958535083</v>
      </c>
      <c r="O52" s="20">
        <v>11.3396223992414</v>
      </c>
      <c r="P52" s="13" t="s">
        <v>323</v>
      </c>
      <c r="Q52" s="13" t="s">
        <v>324</v>
      </c>
      <c r="R52" s="6"/>
      <c r="S52" s="6"/>
      <c r="T52" s="6"/>
      <c r="U52" s="6"/>
      <c r="V52" s="6"/>
    </row>
    <row r="53">
      <c r="A53" s="13" t="s">
        <v>325</v>
      </c>
      <c r="B53" s="13" t="s">
        <v>326</v>
      </c>
      <c r="C53" s="13" t="s">
        <v>327</v>
      </c>
      <c r="D53" s="14">
        <f t="shared" si="1"/>
        <v>-0.1238097832</v>
      </c>
      <c r="E53" s="15" t="s">
        <v>325</v>
      </c>
      <c r="F53" s="16">
        <f t="shared" si="2"/>
        <v>45.1814856</v>
      </c>
      <c r="G53" s="23">
        <v>5.150736322928316E13</v>
      </c>
      <c r="H53" s="18">
        <v>2018.0</v>
      </c>
      <c r="I53" s="19" t="s">
        <v>292</v>
      </c>
      <c r="J53" s="18">
        <v>79.0</v>
      </c>
      <c r="K53" s="24" t="s">
        <v>328</v>
      </c>
      <c r="L53" s="20">
        <v>11.3396223992414</v>
      </c>
      <c r="M53" s="20">
        <f t="shared" si="11"/>
        <v>79.3</v>
      </c>
      <c r="N53" s="20">
        <f t="shared" si="12"/>
        <v>3.061045573</v>
      </c>
      <c r="O53" s="20">
        <v>12.4741307475021</v>
      </c>
      <c r="P53" s="13" t="s">
        <v>329</v>
      </c>
      <c r="Q53" s="13" t="s">
        <v>330</v>
      </c>
      <c r="R53" s="6"/>
      <c r="S53" s="6"/>
      <c r="T53" s="6"/>
      <c r="U53" s="6"/>
      <c r="V53" s="6"/>
    </row>
    <row r="54">
      <c r="A54" s="13" t="s">
        <v>331</v>
      </c>
      <c r="B54" s="13" t="s">
        <v>332</v>
      </c>
      <c r="C54" s="13" t="s">
        <v>333</v>
      </c>
      <c r="D54" s="14">
        <f t="shared" si="1"/>
        <v>0.1995043176</v>
      </c>
      <c r="E54" s="15" t="s">
        <v>331</v>
      </c>
      <c r="F54" s="16">
        <f t="shared" si="2"/>
        <v>44.37699669</v>
      </c>
      <c r="G54" s="23">
        <v>4.756421580503274E13</v>
      </c>
      <c r="H54" s="18">
        <v>2017.0</v>
      </c>
      <c r="I54" s="19" t="s">
        <v>292</v>
      </c>
      <c r="J54" s="18" t="s">
        <v>328</v>
      </c>
      <c r="K54" s="24" t="s">
        <v>334</v>
      </c>
      <c r="L54" s="20">
        <v>12.4741307475021</v>
      </c>
      <c r="M54" s="20">
        <f t="shared" si="11"/>
        <v>76.3</v>
      </c>
      <c r="N54" s="20">
        <f t="shared" si="12"/>
        <v>2.751363298</v>
      </c>
      <c r="O54" s="20">
        <v>14.0523361024415</v>
      </c>
      <c r="P54" s="13" t="s">
        <v>335</v>
      </c>
      <c r="Q54" s="13" t="s">
        <v>336</v>
      </c>
      <c r="R54" s="6"/>
      <c r="S54" s="6"/>
      <c r="T54" s="6"/>
      <c r="U54" s="6"/>
      <c r="V54" s="6"/>
    </row>
    <row r="55">
      <c r="A55" s="13" t="s">
        <v>337</v>
      </c>
      <c r="B55" s="13" t="s">
        <v>338</v>
      </c>
      <c r="C55" s="13" t="s">
        <v>339</v>
      </c>
      <c r="D55" s="14">
        <f t="shared" si="1"/>
        <v>0.2151776447</v>
      </c>
      <c r="E55" s="15" t="s">
        <v>337</v>
      </c>
      <c r="F55" s="16">
        <f t="shared" si="2"/>
        <v>45.63054193</v>
      </c>
      <c r="G55" s="23">
        <v>4.240135092564901E13</v>
      </c>
      <c r="H55" s="18">
        <v>2016.0</v>
      </c>
      <c r="I55" s="19" t="s">
        <v>292</v>
      </c>
      <c r="J55" s="18" t="s">
        <v>334</v>
      </c>
      <c r="K55" s="24" t="s">
        <v>340</v>
      </c>
      <c r="L55" s="20">
        <v>14.0523361024415</v>
      </c>
      <c r="M55" s="20">
        <f t="shared" si="11"/>
        <v>73.1</v>
      </c>
      <c r="N55" s="20">
        <f t="shared" si="12"/>
        <v>3.517101079</v>
      </c>
      <c r="O55" s="20">
        <v>19.6496007142997</v>
      </c>
      <c r="P55" s="13" t="s">
        <v>341</v>
      </c>
      <c r="Q55" s="13" t="s">
        <v>342</v>
      </c>
      <c r="R55" s="6"/>
      <c r="S55" s="6"/>
      <c r="T55" s="6"/>
      <c r="U55" s="6"/>
      <c r="V55" s="6"/>
    </row>
    <row r="56">
      <c r="A56" s="13" t="s">
        <v>343</v>
      </c>
      <c r="B56" s="13" t="s">
        <v>344</v>
      </c>
      <c r="C56" s="13" t="s">
        <v>345</v>
      </c>
      <c r="D56" s="14">
        <f t="shared" si="1"/>
        <v>0.05313301689</v>
      </c>
      <c r="E56" s="15" t="s">
        <v>343</v>
      </c>
      <c r="F56" s="16">
        <f t="shared" si="2"/>
        <v>44.94257274</v>
      </c>
      <c r="G56" s="23">
        <v>3.4308619969408305E13</v>
      </c>
      <c r="H56" s="18">
        <v>2015.0</v>
      </c>
      <c r="I56" s="19" t="s">
        <v>292</v>
      </c>
      <c r="J56" s="18" t="s">
        <v>340</v>
      </c>
      <c r="K56" s="24">
        <v>65.0</v>
      </c>
      <c r="L56" s="20">
        <v>19.6496007142997</v>
      </c>
      <c r="M56" s="20">
        <f t="shared" si="11"/>
        <v>69.3</v>
      </c>
      <c r="N56" s="20">
        <f t="shared" si="12"/>
        <v>4.250882261</v>
      </c>
      <c r="O56" s="20">
        <v>28.846600976154</v>
      </c>
      <c r="P56" s="13" t="s">
        <v>346</v>
      </c>
      <c r="Q56" s="13" t="s">
        <v>347</v>
      </c>
      <c r="R56" s="6"/>
      <c r="S56" s="6"/>
      <c r="T56" s="6"/>
      <c r="U56" s="6"/>
      <c r="V56" s="6"/>
    </row>
    <row r="57">
      <c r="A57" s="13" t="s">
        <v>348</v>
      </c>
      <c r="B57" s="13" t="s">
        <v>349</v>
      </c>
      <c r="C57" s="13" t="s">
        <v>350</v>
      </c>
      <c r="D57" s="14">
        <f t="shared" si="1"/>
        <v>-0.6902672008</v>
      </c>
      <c r="E57" s="15" t="s">
        <v>348</v>
      </c>
      <c r="F57" s="16">
        <f t="shared" si="2"/>
        <v>46.24802702</v>
      </c>
      <c r="G57" s="23">
        <v>2.9975142634102156E13</v>
      </c>
      <c r="H57" s="18">
        <v>2014.0</v>
      </c>
      <c r="I57" s="19" t="s">
        <v>292</v>
      </c>
      <c r="J57" s="18">
        <v>65.0</v>
      </c>
      <c r="K57" s="21"/>
      <c r="L57" s="20">
        <v>28.846600976154</v>
      </c>
      <c r="M57" s="20"/>
      <c r="N57" s="20"/>
      <c r="O57" s="22"/>
      <c r="P57" s="13" t="s">
        <v>351</v>
      </c>
      <c r="Q57" s="13" t="s">
        <v>352</v>
      </c>
      <c r="R57" s="6"/>
      <c r="S57" s="6"/>
      <c r="T57" s="6"/>
      <c r="U57" s="6"/>
      <c r="V57" s="6"/>
    </row>
    <row r="58">
      <c r="A58" s="13" t="s">
        <v>353</v>
      </c>
      <c r="B58" s="13" t="s">
        <v>354</v>
      </c>
      <c r="C58" s="13" t="s">
        <v>355</v>
      </c>
      <c r="D58" s="14">
        <f t="shared" si="1"/>
        <v>0.1944375082</v>
      </c>
      <c r="E58" s="15" t="s">
        <v>353</v>
      </c>
      <c r="F58" s="16">
        <f t="shared" si="2"/>
        <v>2319.67656</v>
      </c>
      <c r="G58" s="23">
        <v>1.66980429861702E14</v>
      </c>
      <c r="H58" s="18">
        <v>2024.0</v>
      </c>
      <c r="I58" s="19" t="s">
        <v>356</v>
      </c>
      <c r="J58" s="18" t="s">
        <v>357</v>
      </c>
      <c r="K58" s="24" t="s">
        <v>358</v>
      </c>
      <c r="L58" s="20">
        <v>23.6602096848236</v>
      </c>
      <c r="M58" s="20"/>
      <c r="N58" s="20"/>
      <c r="O58" s="20">
        <v>21.6148974043115</v>
      </c>
      <c r="P58" s="13" t="s">
        <v>359</v>
      </c>
      <c r="Q58" s="13" t="s">
        <v>360</v>
      </c>
      <c r="R58" s="6"/>
      <c r="S58" s="6"/>
      <c r="T58" s="6"/>
      <c r="U58" s="6"/>
      <c r="V58" s="6"/>
    </row>
    <row r="59">
      <c r="A59" s="13" t="s">
        <v>361</v>
      </c>
      <c r="B59" s="13" t="s">
        <v>362</v>
      </c>
      <c r="C59" s="13" t="s">
        <v>363</v>
      </c>
      <c r="D59" s="14">
        <f t="shared" si="1"/>
        <v>0.1956024888</v>
      </c>
      <c r="E59" s="15" t="s">
        <v>361</v>
      </c>
      <c r="F59" s="16">
        <f t="shared" si="2"/>
        <v>1294.83589</v>
      </c>
      <c r="G59" s="23">
        <v>7.8026018823585E13</v>
      </c>
      <c r="H59" s="18">
        <v>2023.0</v>
      </c>
      <c r="I59" s="19" t="s">
        <v>356</v>
      </c>
      <c r="J59" s="18" t="s">
        <v>358</v>
      </c>
      <c r="K59" s="24" t="s">
        <v>364</v>
      </c>
      <c r="L59" s="20">
        <v>21.6148974043115</v>
      </c>
      <c r="M59" s="20">
        <f t="shared" ref="M59:M67" si="13">(J58+J59+J60)/3</f>
        <v>84.36666667</v>
      </c>
      <c r="N59" s="20">
        <f t="shared" ref="N59:N67" si="14">sqrt((((J58-M59)^2)+((J59-M59)^2)+((J60-M59)^2))/2)</f>
        <v>3.202082656</v>
      </c>
      <c r="O59" s="20">
        <v>18.1756591237636</v>
      </c>
      <c r="P59" s="13" t="s">
        <v>365</v>
      </c>
      <c r="Q59" s="13" t="s">
        <v>366</v>
      </c>
      <c r="R59" s="6"/>
      <c r="S59" s="6"/>
      <c r="T59" s="6"/>
      <c r="U59" s="6"/>
      <c r="V59" s="6"/>
    </row>
    <row r="60">
      <c r="A60" s="13" t="s">
        <v>367</v>
      </c>
      <c r="B60" s="13" t="s">
        <v>368</v>
      </c>
      <c r="C60" s="13" t="s">
        <v>369</v>
      </c>
      <c r="D60" s="14">
        <f t="shared" si="1"/>
        <v>0.2342374187</v>
      </c>
      <c r="E60" s="15" t="s">
        <v>367</v>
      </c>
      <c r="F60" s="16">
        <f t="shared" si="2"/>
        <v>851.4750546</v>
      </c>
      <c r="G60" s="23">
        <v>4.395273606363E13</v>
      </c>
      <c r="H60" s="18">
        <v>2022.0</v>
      </c>
      <c r="I60" s="19" t="s">
        <v>356</v>
      </c>
      <c r="J60" s="18" t="s">
        <v>364</v>
      </c>
      <c r="K60" s="24" t="s">
        <v>370</v>
      </c>
      <c r="L60" s="20">
        <v>18.1756591237636</v>
      </c>
      <c r="M60" s="20">
        <f t="shared" si="13"/>
        <v>81.6</v>
      </c>
      <c r="N60" s="20">
        <f t="shared" si="14"/>
        <v>2.685144316</v>
      </c>
      <c r="O60" s="20">
        <v>12.1839371970674</v>
      </c>
      <c r="P60" s="13" t="s">
        <v>371</v>
      </c>
      <c r="Q60" s="13" t="s">
        <v>372</v>
      </c>
      <c r="R60" s="6"/>
      <c r="S60" s="6"/>
      <c r="T60" s="6"/>
      <c r="U60" s="6"/>
      <c r="V60" s="6"/>
    </row>
    <row r="61">
      <c r="A61" s="13" t="s">
        <v>373</v>
      </c>
      <c r="B61" s="13" t="s">
        <v>374</v>
      </c>
      <c r="C61" s="13" t="s">
        <v>375</v>
      </c>
      <c r="D61" s="14">
        <f t="shared" si="1"/>
        <v>0.1953330131</v>
      </c>
      <c r="E61" s="15" t="s">
        <v>373</v>
      </c>
      <c r="F61" s="16">
        <f t="shared" si="2"/>
        <v>705.0031091</v>
      </c>
      <c r="G61" s="23">
        <v>3.7824935329035E13</v>
      </c>
      <c r="H61" s="18">
        <v>2021.0</v>
      </c>
      <c r="I61" s="19" t="s">
        <v>356</v>
      </c>
      <c r="J61" s="18" t="s">
        <v>370</v>
      </c>
      <c r="K61" s="24" t="s">
        <v>376</v>
      </c>
      <c r="L61" s="20">
        <v>12.1839371970674</v>
      </c>
      <c r="M61" s="20">
        <f t="shared" si="13"/>
        <v>78.93333333</v>
      </c>
      <c r="N61" s="20">
        <f t="shared" si="14"/>
        <v>2.311565126</v>
      </c>
      <c r="O61" s="20">
        <v>12.2738906719289</v>
      </c>
      <c r="P61" s="13" t="s">
        <v>377</v>
      </c>
      <c r="Q61" s="13" t="s">
        <v>378</v>
      </c>
      <c r="R61" s="6"/>
      <c r="S61" s="6"/>
      <c r="T61" s="6"/>
      <c r="U61" s="6"/>
      <c r="V61" s="6"/>
    </row>
    <row r="62">
      <c r="A62" s="13" t="s">
        <v>379</v>
      </c>
      <c r="B62" s="13" t="s">
        <v>380</v>
      </c>
      <c r="C62" s="13" t="s">
        <v>381</v>
      </c>
      <c r="D62" s="14">
        <f t="shared" si="1"/>
        <v>0.07625079963</v>
      </c>
      <c r="E62" s="15" t="s">
        <v>379</v>
      </c>
      <c r="F62" s="16">
        <f t="shared" si="2"/>
        <v>425.5370467</v>
      </c>
      <c r="G62" s="23">
        <v>1.7736372001115E13</v>
      </c>
      <c r="H62" s="18">
        <v>2020.0</v>
      </c>
      <c r="I62" s="19" t="s">
        <v>356</v>
      </c>
      <c r="J62" s="18" t="s">
        <v>376</v>
      </c>
      <c r="K62" s="24" t="s">
        <v>382</v>
      </c>
      <c r="L62" s="20">
        <v>12.2738906719289</v>
      </c>
      <c r="M62" s="20">
        <f t="shared" si="13"/>
        <v>76.36666667</v>
      </c>
      <c r="N62" s="20">
        <f t="shared" si="14"/>
        <v>2.90229794</v>
      </c>
      <c r="O62" s="20">
        <v>11.3076296512967</v>
      </c>
      <c r="P62" s="13" t="s">
        <v>383</v>
      </c>
      <c r="Q62" s="13" t="s">
        <v>384</v>
      </c>
      <c r="R62" s="6"/>
      <c r="S62" s="6"/>
      <c r="T62" s="6"/>
      <c r="U62" s="6"/>
      <c r="V62" s="6"/>
    </row>
    <row r="63">
      <c r="A63" s="13" t="s">
        <v>385</v>
      </c>
      <c r="B63" s="13" t="s">
        <v>386</v>
      </c>
      <c r="C63" s="13" t="s">
        <v>387</v>
      </c>
      <c r="D63" s="14">
        <f t="shared" si="1"/>
        <v>0.1939998769</v>
      </c>
      <c r="E63" s="15" t="s">
        <v>385</v>
      </c>
      <c r="F63" s="16">
        <f t="shared" si="2"/>
        <v>397.5502069</v>
      </c>
      <c r="G63" s="23">
        <v>1.325926203717E13</v>
      </c>
      <c r="H63" s="19">
        <v>2019.0</v>
      </c>
      <c r="I63" s="19" t="s">
        <v>356</v>
      </c>
      <c r="J63" s="18" t="s">
        <v>382</v>
      </c>
      <c r="K63" s="24" t="s">
        <v>382</v>
      </c>
      <c r="L63" s="20">
        <v>11.3076296512967</v>
      </c>
      <c r="M63" s="20">
        <f t="shared" si="13"/>
        <v>74.43333333</v>
      </c>
      <c r="N63" s="20">
        <f t="shared" si="14"/>
        <v>1.789785834</v>
      </c>
      <c r="O63" s="20">
        <v>11.3396223992414</v>
      </c>
      <c r="P63" s="13" t="s">
        <v>388</v>
      </c>
      <c r="Q63" s="13" t="s">
        <v>389</v>
      </c>
      <c r="R63" s="6"/>
      <c r="S63" s="6"/>
      <c r="T63" s="6"/>
      <c r="U63" s="6"/>
      <c r="V63" s="6"/>
    </row>
    <row r="64">
      <c r="A64" s="13" t="s">
        <v>390</v>
      </c>
      <c r="B64" s="13" t="s">
        <v>391</v>
      </c>
      <c r="C64" s="13" t="s">
        <v>392</v>
      </c>
      <c r="D64" s="14">
        <f t="shared" si="1"/>
        <v>-0.455829986</v>
      </c>
      <c r="E64" s="15" t="s">
        <v>390</v>
      </c>
      <c r="F64" s="16">
        <f t="shared" si="2"/>
        <v>244.8831363</v>
      </c>
      <c r="G64" s="23">
        <v>7.272021833944E12</v>
      </c>
      <c r="H64" s="18">
        <v>2018.0</v>
      </c>
      <c r="I64" s="19" t="s">
        <v>356</v>
      </c>
      <c r="J64" s="18" t="s">
        <v>382</v>
      </c>
      <c r="K64" s="24" t="s">
        <v>382</v>
      </c>
      <c r="L64" s="20">
        <v>11.3396223992414</v>
      </c>
      <c r="M64" s="20">
        <f t="shared" si="13"/>
        <v>73.4</v>
      </c>
      <c r="N64" s="20">
        <f t="shared" si="14"/>
        <v>0</v>
      </c>
      <c r="O64" s="20">
        <v>12.4741307475021</v>
      </c>
      <c r="P64" s="13" t="s">
        <v>393</v>
      </c>
      <c r="Q64" s="13" t="s">
        <v>394</v>
      </c>
      <c r="R64" s="6"/>
      <c r="S64" s="6"/>
      <c r="T64" s="6"/>
      <c r="U64" s="6"/>
      <c r="V64" s="6"/>
    </row>
    <row r="65">
      <c r="A65" s="13" t="s">
        <v>395</v>
      </c>
      <c r="B65" s="13" t="s">
        <v>396</v>
      </c>
      <c r="C65" s="13" t="s">
        <v>397</v>
      </c>
      <c r="D65" s="14">
        <f t="shared" si="1"/>
        <v>0.07910513529</v>
      </c>
      <c r="E65" s="15" t="s">
        <v>395</v>
      </c>
      <c r="F65" s="16">
        <f t="shared" si="2"/>
        <v>282.5559435</v>
      </c>
      <c r="G65" s="23">
        <v>7.052045992666E12</v>
      </c>
      <c r="H65" s="18">
        <v>2017.0</v>
      </c>
      <c r="I65" s="19" t="s">
        <v>356</v>
      </c>
      <c r="J65" s="18" t="s">
        <v>382</v>
      </c>
      <c r="K65" s="24" t="s">
        <v>398</v>
      </c>
      <c r="L65" s="20">
        <v>12.4741307475021</v>
      </c>
      <c r="M65" s="20">
        <f t="shared" si="13"/>
        <v>71.2</v>
      </c>
      <c r="N65" s="20">
        <f t="shared" si="14"/>
        <v>3.810511777</v>
      </c>
      <c r="O65" s="20">
        <v>14.0523361024415</v>
      </c>
      <c r="P65" s="13" t="s">
        <v>399</v>
      </c>
      <c r="Q65" s="13" t="s">
        <v>400</v>
      </c>
      <c r="R65" s="6"/>
      <c r="S65" s="6"/>
      <c r="T65" s="6"/>
      <c r="U65" s="6"/>
      <c r="V65" s="6"/>
    </row>
    <row r="66">
      <c r="A66" s="13" t="s">
        <v>401</v>
      </c>
      <c r="B66" s="13" t="s">
        <v>402</v>
      </c>
      <c r="C66" s="13" t="s">
        <v>403</v>
      </c>
      <c r="D66" s="14">
        <f t="shared" si="1"/>
        <v>0.0414062798</v>
      </c>
      <c r="E66" s="15" t="s">
        <v>401</v>
      </c>
      <c r="F66" s="16">
        <f t="shared" si="2"/>
        <v>132.1153248</v>
      </c>
      <c r="G66" s="23">
        <v>3.923045887668E12</v>
      </c>
      <c r="H66" s="18">
        <v>2016.0</v>
      </c>
      <c r="I66" s="19" t="s">
        <v>356</v>
      </c>
      <c r="J66" s="18" t="s">
        <v>398</v>
      </c>
      <c r="K66" s="24" t="s">
        <v>398</v>
      </c>
      <c r="L66" s="20">
        <v>14.0523361024415</v>
      </c>
      <c r="M66" s="20">
        <f t="shared" si="13"/>
        <v>69</v>
      </c>
      <c r="N66" s="20">
        <f t="shared" si="14"/>
        <v>3.810511777</v>
      </c>
      <c r="O66" s="20">
        <v>19.6496007142997</v>
      </c>
      <c r="P66" s="13" t="s">
        <v>404</v>
      </c>
      <c r="Q66" s="13" t="s">
        <v>405</v>
      </c>
      <c r="R66" s="6"/>
      <c r="S66" s="6"/>
      <c r="T66" s="6"/>
      <c r="U66" s="6"/>
      <c r="V66" s="6"/>
    </row>
    <row r="67">
      <c r="A67" s="13" t="s">
        <v>406</v>
      </c>
      <c r="B67" s="13" t="s">
        <v>407</v>
      </c>
      <c r="C67" s="13" t="s">
        <v>408</v>
      </c>
      <c r="D67" s="14">
        <f t="shared" si="1"/>
        <v>0.1628150818</v>
      </c>
      <c r="E67" s="15" t="s">
        <v>406</v>
      </c>
      <c r="F67" s="16">
        <f t="shared" si="2"/>
        <v>119.5240315</v>
      </c>
      <c r="G67" s="23">
        <v>3.097210442711E12</v>
      </c>
      <c r="H67" s="18">
        <v>2015.0</v>
      </c>
      <c r="I67" s="19" t="s">
        <v>356</v>
      </c>
      <c r="J67" s="18" t="s">
        <v>398</v>
      </c>
      <c r="K67" s="24" t="s">
        <v>398</v>
      </c>
      <c r="L67" s="20">
        <v>19.6496007142997</v>
      </c>
      <c r="M67" s="20">
        <f t="shared" si="13"/>
        <v>66.8</v>
      </c>
      <c r="N67" s="20">
        <f t="shared" si="14"/>
        <v>0</v>
      </c>
      <c r="O67" s="20">
        <v>28.846600976154</v>
      </c>
      <c r="P67" s="13" t="s">
        <v>409</v>
      </c>
      <c r="Q67" s="13" t="s">
        <v>410</v>
      </c>
      <c r="R67" s="6"/>
      <c r="S67" s="6"/>
      <c r="T67" s="6"/>
      <c r="U67" s="6"/>
      <c r="V67" s="6"/>
    </row>
    <row r="68">
      <c r="A68" s="13" t="s">
        <v>411</v>
      </c>
      <c r="B68" s="13" t="s">
        <v>412</v>
      </c>
      <c r="C68" s="13" t="s">
        <v>413</v>
      </c>
      <c r="D68" s="14">
        <f t="shared" si="1"/>
        <v>-0.6847879913</v>
      </c>
      <c r="E68" s="15" t="s">
        <v>411</v>
      </c>
      <c r="F68" s="16">
        <f t="shared" si="2"/>
        <v>91.30823118</v>
      </c>
      <c r="G68" s="23">
        <v>2.05549278251E12</v>
      </c>
      <c r="H68" s="18">
        <v>2014.0</v>
      </c>
      <c r="I68" s="19" t="s">
        <v>356</v>
      </c>
      <c r="J68" s="18" t="s">
        <v>398</v>
      </c>
      <c r="K68" s="21"/>
      <c r="L68" s="20">
        <v>28.846600976154</v>
      </c>
      <c r="M68" s="20"/>
      <c r="N68" s="20"/>
      <c r="O68" s="22"/>
      <c r="P68" s="13" t="s">
        <v>414</v>
      </c>
      <c r="Q68" s="13" t="s">
        <v>415</v>
      </c>
      <c r="R68" s="6"/>
      <c r="S68" s="6"/>
      <c r="T68" s="6"/>
      <c r="U68" s="6"/>
      <c r="V68" s="6"/>
    </row>
    <row r="69">
      <c r="A69" s="13" t="s">
        <v>416</v>
      </c>
      <c r="B69" s="13" t="s">
        <v>417</v>
      </c>
      <c r="C69" s="13" t="s">
        <v>418</v>
      </c>
      <c r="D69" s="14">
        <f t="shared" si="1"/>
        <v>0.1513021566</v>
      </c>
      <c r="E69" s="15" t="s">
        <v>416</v>
      </c>
      <c r="F69" s="16">
        <f t="shared" si="2"/>
        <v>1800.494489</v>
      </c>
      <c r="G69" s="23">
        <v>1.4735897896126384E14</v>
      </c>
      <c r="H69" s="18">
        <v>2024.0</v>
      </c>
      <c r="I69" s="19" t="s">
        <v>419</v>
      </c>
      <c r="J69" s="18" t="s">
        <v>420</v>
      </c>
      <c r="K69" s="24" t="s">
        <v>421</v>
      </c>
      <c r="L69" s="20">
        <v>23.6602096848236</v>
      </c>
      <c r="M69" s="20"/>
      <c r="N69" s="20"/>
      <c r="O69" s="20">
        <v>21.6148974043115</v>
      </c>
      <c r="P69" s="13" t="s">
        <v>422</v>
      </c>
      <c r="Q69" s="13" t="s">
        <v>423</v>
      </c>
      <c r="R69" s="6"/>
      <c r="S69" s="6"/>
      <c r="T69" s="6"/>
      <c r="U69" s="6"/>
      <c r="V69" s="6"/>
    </row>
    <row r="70">
      <c r="A70" s="13" t="s">
        <v>424</v>
      </c>
      <c r="B70" s="13" t="s">
        <v>425</v>
      </c>
      <c r="C70" s="13" t="s">
        <v>426</v>
      </c>
      <c r="D70" s="14">
        <f t="shared" si="1"/>
        <v>-0.1069227881</v>
      </c>
      <c r="E70" s="15" t="s">
        <v>424</v>
      </c>
      <c r="F70" s="16">
        <f t="shared" si="2"/>
        <v>1414.222688</v>
      </c>
      <c r="G70" s="23">
        <v>1.2408188587597419E14</v>
      </c>
      <c r="H70" s="18">
        <v>2023.0</v>
      </c>
      <c r="I70" s="19" t="s">
        <v>419</v>
      </c>
      <c r="J70" s="18" t="s">
        <v>421</v>
      </c>
      <c r="K70" s="24" t="s">
        <v>427</v>
      </c>
      <c r="L70" s="20">
        <v>21.6148974043115</v>
      </c>
      <c r="M70" s="20">
        <f t="shared" ref="M70:M78" si="15">(J69+J70+J71)/3</f>
        <v>86.6</v>
      </c>
      <c r="N70" s="20">
        <f t="shared" ref="N70:N78" si="16">sqrt((((J69-M70)^2)+((J70-M70)^2)+((J71-M70)^2))/2)</f>
        <v>2.5</v>
      </c>
      <c r="O70" s="20">
        <v>18.1756591237636</v>
      </c>
      <c r="P70" s="13" t="s">
        <v>428</v>
      </c>
      <c r="Q70" s="13" t="s">
        <v>429</v>
      </c>
      <c r="R70" s="6"/>
      <c r="S70" s="6"/>
      <c r="T70" s="6"/>
      <c r="U70" s="6"/>
      <c r="V70" s="6"/>
    </row>
    <row r="71">
      <c r="A71" s="13" t="s">
        <v>430</v>
      </c>
      <c r="B71" s="13" t="s">
        <v>431</v>
      </c>
      <c r="C71" s="13" t="s">
        <v>432</v>
      </c>
      <c r="D71" s="14">
        <f t="shared" si="1"/>
        <v>0.2751082408</v>
      </c>
      <c r="E71" s="15" t="s">
        <v>430</v>
      </c>
      <c r="F71" s="16">
        <f t="shared" si="2"/>
        <v>1623.251425</v>
      </c>
      <c r="G71" s="23">
        <v>1.3416077919395986E14</v>
      </c>
      <c r="H71" s="18">
        <v>2022.0</v>
      </c>
      <c r="I71" s="19" t="s">
        <v>419</v>
      </c>
      <c r="J71" s="18" t="s">
        <v>427</v>
      </c>
      <c r="K71" s="24" t="s">
        <v>433</v>
      </c>
      <c r="L71" s="20">
        <v>18.1756591237636</v>
      </c>
      <c r="M71" s="20">
        <f t="shared" si="15"/>
        <v>84.33333333</v>
      </c>
      <c r="N71" s="20">
        <f t="shared" si="16"/>
        <v>2.159475245</v>
      </c>
      <c r="O71" s="20">
        <v>12.1839371970674</v>
      </c>
      <c r="P71" s="13" t="s">
        <v>434</v>
      </c>
      <c r="Q71" s="13" t="s">
        <v>435</v>
      </c>
      <c r="R71" s="6"/>
      <c r="S71" s="6"/>
      <c r="T71" s="6"/>
      <c r="U71" s="6"/>
      <c r="V71" s="6"/>
    </row>
    <row r="72">
      <c r="A72" s="13" t="s">
        <v>436</v>
      </c>
      <c r="B72" s="13" t="s">
        <v>437</v>
      </c>
      <c r="C72" s="13" t="s">
        <v>438</v>
      </c>
      <c r="D72" s="14">
        <f t="shared" si="1"/>
        <v>0.2316550812</v>
      </c>
      <c r="E72" s="15" t="s">
        <v>436</v>
      </c>
      <c r="F72" s="16">
        <f t="shared" si="2"/>
        <v>1571.779788</v>
      </c>
      <c r="G72" s="23">
        <v>1.2377949238402675E14</v>
      </c>
      <c r="H72" s="18">
        <v>2021.0</v>
      </c>
      <c r="I72" s="19" t="s">
        <v>419</v>
      </c>
      <c r="J72" s="18" t="s">
        <v>433</v>
      </c>
      <c r="K72" s="24">
        <v>81.0</v>
      </c>
      <c r="L72" s="20">
        <v>12.1839371970674</v>
      </c>
      <c r="M72" s="20">
        <f t="shared" si="15"/>
        <v>82.46666667</v>
      </c>
      <c r="N72" s="20">
        <f t="shared" si="16"/>
        <v>1.556705924</v>
      </c>
      <c r="O72" s="20">
        <v>12.2738906719289</v>
      </c>
      <c r="P72" s="13" t="s">
        <v>439</v>
      </c>
      <c r="Q72" s="13" t="s">
        <v>440</v>
      </c>
      <c r="R72" s="6"/>
      <c r="S72" s="6"/>
      <c r="T72" s="6"/>
      <c r="U72" s="6"/>
      <c r="V72" s="6"/>
    </row>
    <row r="73">
      <c r="A73" s="13" t="s">
        <v>441</v>
      </c>
      <c r="B73" s="13" t="s">
        <v>442</v>
      </c>
      <c r="C73" s="13" t="s">
        <v>443</v>
      </c>
      <c r="D73" s="14">
        <f t="shared" si="1"/>
        <v>-0.1449275198</v>
      </c>
      <c r="E73" s="15" t="s">
        <v>441</v>
      </c>
      <c r="F73" s="16">
        <f t="shared" si="2"/>
        <v>1709.107841</v>
      </c>
      <c r="G73" s="23">
        <v>1.0801626512651111E14</v>
      </c>
      <c r="H73" s="18">
        <v>2020.0</v>
      </c>
      <c r="I73" s="19" t="s">
        <v>419</v>
      </c>
      <c r="J73" s="18">
        <v>81.0</v>
      </c>
      <c r="K73" s="24" t="s">
        <v>444</v>
      </c>
      <c r="L73" s="20">
        <v>12.2738906719289</v>
      </c>
      <c r="M73" s="20">
        <f t="shared" si="15"/>
        <v>80.26666667</v>
      </c>
      <c r="N73" s="20">
        <f t="shared" si="16"/>
        <v>2.482606158</v>
      </c>
      <c r="O73" s="20">
        <v>11.3076296512967</v>
      </c>
      <c r="P73" s="13" t="s">
        <v>445</v>
      </c>
      <c r="Q73" s="13" t="s">
        <v>446</v>
      </c>
      <c r="R73" s="6"/>
      <c r="S73" s="6"/>
      <c r="T73" s="6"/>
      <c r="U73" s="6"/>
      <c r="V73" s="6"/>
    </row>
    <row r="74">
      <c r="A74" s="13" t="s">
        <v>447</v>
      </c>
      <c r="B74" s="13" t="s">
        <v>448</v>
      </c>
      <c r="C74" s="13" t="s">
        <v>449</v>
      </c>
      <c r="D74" s="14">
        <f t="shared" si="1"/>
        <v>-0.008017942949</v>
      </c>
      <c r="E74" s="15" t="s">
        <v>447</v>
      </c>
      <c r="F74" s="16">
        <f t="shared" si="2"/>
        <v>1791.983321</v>
      </c>
      <c r="G74" s="23">
        <v>1.1141078564640764E14</v>
      </c>
      <c r="H74" s="19">
        <v>2019.0</v>
      </c>
      <c r="I74" s="19" t="s">
        <v>419</v>
      </c>
      <c r="J74" s="18" t="s">
        <v>444</v>
      </c>
      <c r="K74" s="24" t="s">
        <v>450</v>
      </c>
      <c r="L74" s="20">
        <v>11.3076296512967</v>
      </c>
      <c r="M74" s="20">
        <f t="shared" si="15"/>
        <v>78.06666667</v>
      </c>
      <c r="N74" s="20">
        <f t="shared" si="16"/>
        <v>2.695057204</v>
      </c>
      <c r="O74" s="20">
        <v>11.3396223992414</v>
      </c>
      <c r="P74" s="13" t="s">
        <v>451</v>
      </c>
      <c r="Q74" s="13" t="s">
        <v>452</v>
      </c>
      <c r="R74" s="6"/>
      <c r="S74" s="6"/>
      <c r="T74" s="6"/>
      <c r="U74" s="6"/>
      <c r="V74" s="6"/>
    </row>
    <row r="75">
      <c r="A75" s="13" t="s">
        <v>453</v>
      </c>
      <c r="B75" s="13" t="s">
        <v>454</v>
      </c>
      <c r="C75" s="13" t="s">
        <v>455</v>
      </c>
      <c r="D75" s="14">
        <f t="shared" si="1"/>
        <v>0.1718643172</v>
      </c>
      <c r="E75" s="15" t="s">
        <v>453</v>
      </c>
      <c r="F75" s="16">
        <f t="shared" si="2"/>
        <v>1596.83086</v>
      </c>
      <c r="G75" s="23">
        <v>9.996889126428045E13</v>
      </c>
      <c r="H75" s="18">
        <v>2018.0</v>
      </c>
      <c r="I75" s="19" t="s">
        <v>419</v>
      </c>
      <c r="J75" s="18" t="s">
        <v>450</v>
      </c>
      <c r="K75" s="24" t="s">
        <v>456</v>
      </c>
      <c r="L75" s="20">
        <v>11.3396223992414</v>
      </c>
      <c r="M75" s="20">
        <f t="shared" si="15"/>
        <v>75.23333333</v>
      </c>
      <c r="N75" s="20">
        <f t="shared" si="16"/>
        <v>2.532455988</v>
      </c>
      <c r="O75" s="20">
        <v>12.4741307475021</v>
      </c>
      <c r="P75" s="13" t="s">
        <v>457</v>
      </c>
      <c r="Q75" s="13" t="s">
        <v>458</v>
      </c>
      <c r="R75" s="6"/>
      <c r="S75" s="6"/>
      <c r="T75" s="6"/>
      <c r="U75" s="6"/>
      <c r="V75" s="6"/>
    </row>
    <row r="76">
      <c r="A76" s="13" t="s">
        <v>459</v>
      </c>
      <c r="B76" s="13" t="s">
        <v>460</v>
      </c>
      <c r="C76" s="13" t="s">
        <v>461</v>
      </c>
      <c r="D76" s="14">
        <f t="shared" si="1"/>
        <v>0.09219022938</v>
      </c>
      <c r="E76" s="15" t="s">
        <v>459</v>
      </c>
      <c r="F76" s="16">
        <f t="shared" si="2"/>
        <v>1741.744054</v>
      </c>
      <c r="G76" s="23">
        <v>1.0777677791026586E14</v>
      </c>
      <c r="H76" s="18">
        <v>2017.0</v>
      </c>
      <c r="I76" s="19" t="s">
        <v>419</v>
      </c>
      <c r="J76" s="18" t="s">
        <v>456</v>
      </c>
      <c r="K76" s="24" t="s">
        <v>126</v>
      </c>
      <c r="L76" s="20">
        <v>12.4741307475021</v>
      </c>
      <c r="M76" s="20">
        <f t="shared" si="15"/>
        <v>72.8</v>
      </c>
      <c r="N76" s="20">
        <f t="shared" si="16"/>
        <v>2.762245463</v>
      </c>
      <c r="O76" s="20">
        <v>14.0523361024415</v>
      </c>
      <c r="P76" s="13" t="s">
        <v>462</v>
      </c>
      <c r="Q76" s="13" t="s">
        <v>463</v>
      </c>
      <c r="R76" s="6"/>
      <c r="S76" s="6"/>
      <c r="T76" s="6"/>
      <c r="U76" s="6"/>
      <c r="V76" s="6"/>
    </row>
    <row r="77">
      <c r="A77" s="13" t="s">
        <v>464</v>
      </c>
      <c r="B77" s="13" t="s">
        <v>465</v>
      </c>
      <c r="C77" s="13" t="s">
        <v>466</v>
      </c>
      <c r="D77" s="14">
        <f t="shared" si="1"/>
        <v>-0.08124407908</v>
      </c>
      <c r="E77" s="15" t="s">
        <v>464</v>
      </c>
      <c r="F77" s="16">
        <f t="shared" si="2"/>
        <v>1105.114154</v>
      </c>
      <c r="G77" s="23">
        <v>6.270357681606348E13</v>
      </c>
      <c r="H77" s="18">
        <v>2016.0</v>
      </c>
      <c r="I77" s="19" t="s">
        <v>419</v>
      </c>
      <c r="J77" s="18" t="s">
        <v>126</v>
      </c>
      <c r="K77" s="24">
        <v>66.0</v>
      </c>
      <c r="L77" s="20">
        <v>14.0523361024415</v>
      </c>
      <c r="M77" s="20">
        <f t="shared" si="15"/>
        <v>69.56666667</v>
      </c>
      <c r="N77" s="20">
        <f t="shared" si="16"/>
        <v>3.295957119</v>
      </c>
      <c r="O77" s="20">
        <v>19.6496007142997</v>
      </c>
      <c r="P77" s="13" t="s">
        <v>467</v>
      </c>
      <c r="Q77" s="13" t="s">
        <v>468</v>
      </c>
      <c r="R77" s="6"/>
      <c r="S77" s="6"/>
      <c r="T77" s="6"/>
      <c r="U77" s="6"/>
      <c r="V77" s="6"/>
    </row>
    <row r="78">
      <c r="A78" s="13" t="s">
        <v>469</v>
      </c>
      <c r="B78" s="13" t="s">
        <v>470</v>
      </c>
      <c r="C78" s="13" t="s">
        <v>471</v>
      </c>
      <c r="D78" s="14">
        <f t="shared" si="1"/>
        <v>-0.1236786928</v>
      </c>
      <c r="E78" s="15" t="s">
        <v>469</v>
      </c>
      <c r="F78" s="16">
        <f t="shared" si="2"/>
        <v>605.9805891</v>
      </c>
      <c r="G78" s="23">
        <v>3.435412498420178E13</v>
      </c>
      <c r="H78" s="18">
        <v>2015.0</v>
      </c>
      <c r="I78" s="19" t="s">
        <v>419</v>
      </c>
      <c r="J78" s="18">
        <v>66.0</v>
      </c>
      <c r="K78" s="24" t="s">
        <v>472</v>
      </c>
      <c r="L78" s="20">
        <v>19.6496007142997</v>
      </c>
      <c r="M78" s="20">
        <f t="shared" si="15"/>
        <v>66.56666667</v>
      </c>
      <c r="N78" s="20">
        <f t="shared" si="16"/>
        <v>3.38575447</v>
      </c>
      <c r="O78" s="20">
        <v>28.846600976154</v>
      </c>
      <c r="P78" s="13" t="s">
        <v>473</v>
      </c>
      <c r="Q78" s="13" t="s">
        <v>474</v>
      </c>
      <c r="R78" s="6"/>
      <c r="S78" s="6"/>
      <c r="T78" s="6"/>
      <c r="U78" s="6"/>
      <c r="V78" s="6"/>
    </row>
    <row r="79">
      <c r="A79" s="13" t="s">
        <v>475</v>
      </c>
      <c r="B79" s="13" t="s">
        <v>476</v>
      </c>
      <c r="C79" s="13" t="s">
        <v>477</v>
      </c>
      <c r="D79" s="14">
        <f t="shared" si="1"/>
        <v>0.4088994959</v>
      </c>
      <c r="E79" s="15" t="s">
        <v>475</v>
      </c>
      <c r="F79" s="16">
        <f t="shared" si="2"/>
        <v>1203.518986</v>
      </c>
      <c r="G79" s="23">
        <v>6.4722867986774914E13</v>
      </c>
      <c r="H79" s="18">
        <v>2014.0</v>
      </c>
      <c r="I79" s="19" t="s">
        <v>419</v>
      </c>
      <c r="J79" s="18" t="s">
        <v>472</v>
      </c>
      <c r="K79" s="21"/>
      <c r="L79" s="20">
        <v>28.846600976154</v>
      </c>
      <c r="M79" s="20"/>
      <c r="N79" s="20"/>
      <c r="O79" s="22"/>
      <c r="P79" s="13" t="s">
        <v>478</v>
      </c>
      <c r="Q79" s="13" t="s">
        <v>479</v>
      </c>
      <c r="R79" s="6"/>
      <c r="S79" s="6"/>
      <c r="T79" s="6"/>
      <c r="U79" s="6"/>
      <c r="V79" s="6"/>
    </row>
    <row r="80">
      <c r="A80" s="13" t="s">
        <v>480</v>
      </c>
      <c r="B80" s="13" t="s">
        <v>481</v>
      </c>
      <c r="C80" s="13" t="s">
        <v>482</v>
      </c>
      <c r="D80" s="14">
        <f t="shared" si="1"/>
        <v>0.1619533785</v>
      </c>
      <c r="E80" s="15" t="s">
        <v>480</v>
      </c>
      <c r="F80" s="16">
        <f t="shared" si="2"/>
        <v>76.73751399</v>
      </c>
      <c r="G80" s="23">
        <v>8.5609645802263E13</v>
      </c>
      <c r="H80" s="18">
        <v>2024.0</v>
      </c>
      <c r="I80" s="19" t="s">
        <v>483</v>
      </c>
      <c r="J80" s="18">
        <v>84.0</v>
      </c>
      <c r="K80" s="24">
        <v>77.0</v>
      </c>
      <c r="L80" s="20">
        <v>23.6602096848236</v>
      </c>
      <c r="M80" s="20"/>
      <c r="N80" s="20"/>
      <c r="O80" s="20">
        <v>21.6148974043115</v>
      </c>
      <c r="P80" s="13" t="s">
        <v>484</v>
      </c>
      <c r="Q80" s="13" t="s">
        <v>485</v>
      </c>
      <c r="R80" s="6"/>
      <c r="S80" s="6"/>
      <c r="T80" s="6"/>
      <c r="U80" s="6"/>
      <c r="V80" s="6"/>
    </row>
    <row r="81">
      <c r="A81" s="13" t="s">
        <v>486</v>
      </c>
      <c r="B81" s="13" t="s">
        <v>487</v>
      </c>
      <c r="C81" s="13" t="s">
        <v>488</v>
      </c>
      <c r="D81" s="14">
        <f t="shared" si="1"/>
        <v>0.03466933906</v>
      </c>
      <c r="E81" s="15" t="s">
        <v>486</v>
      </c>
      <c r="F81" s="16">
        <f t="shared" si="2"/>
        <v>58.17161555</v>
      </c>
      <c r="G81" s="23">
        <v>5.4121237373462E13</v>
      </c>
      <c r="H81" s="18">
        <v>2023.0</v>
      </c>
      <c r="I81" s="19" t="s">
        <v>483</v>
      </c>
      <c r="J81" s="18">
        <v>77.0</v>
      </c>
      <c r="K81" s="24">
        <v>72.0</v>
      </c>
      <c r="L81" s="20">
        <v>21.6148974043115</v>
      </c>
      <c r="M81" s="20">
        <f t="shared" ref="M81:M89" si="17">(J80+J81+J82)/3</f>
        <v>77.66666667</v>
      </c>
      <c r="N81" s="20">
        <f t="shared" ref="N81:N89" si="18">sqrt((((J80-M81)^2)+((J81-M81)^2)+((J82-M81)^2))/2)</f>
        <v>6.027713773</v>
      </c>
      <c r="O81" s="20">
        <v>18.1756591237636</v>
      </c>
      <c r="P81" s="13" t="s">
        <v>489</v>
      </c>
      <c r="Q81" s="13" t="s">
        <v>490</v>
      </c>
      <c r="R81" s="6"/>
      <c r="S81" s="6"/>
      <c r="T81" s="6"/>
      <c r="U81" s="6"/>
      <c r="V81" s="6"/>
    </row>
    <row r="82">
      <c r="A82" s="13" t="s">
        <v>491</v>
      </c>
      <c r="B82" s="13" t="s">
        <v>492</v>
      </c>
      <c r="C82" s="13" t="s">
        <v>493</v>
      </c>
      <c r="D82" s="14">
        <f t="shared" si="1"/>
        <v>0.2905876831</v>
      </c>
      <c r="E82" s="15" t="s">
        <v>491</v>
      </c>
      <c r="F82" s="16">
        <f t="shared" si="2"/>
        <v>49.03291701</v>
      </c>
      <c r="G82" s="23">
        <v>3.5073148229428E13</v>
      </c>
      <c r="H82" s="18">
        <v>2022.0</v>
      </c>
      <c r="I82" s="19" t="s">
        <v>483</v>
      </c>
      <c r="J82" s="18">
        <v>72.0</v>
      </c>
      <c r="K82" s="24">
        <v>66.0</v>
      </c>
      <c r="L82" s="20">
        <v>18.1756591237636</v>
      </c>
      <c r="M82" s="20">
        <f t="shared" si="17"/>
        <v>71.66666667</v>
      </c>
      <c r="N82" s="20">
        <f t="shared" si="18"/>
        <v>5.507570547</v>
      </c>
      <c r="O82" s="20">
        <v>12.1839371970674</v>
      </c>
      <c r="P82" s="13" t="s">
        <v>494</v>
      </c>
      <c r="Q82" s="13" t="s">
        <v>495</v>
      </c>
      <c r="R82" s="6"/>
      <c r="S82" s="6"/>
      <c r="T82" s="6"/>
      <c r="U82" s="6"/>
      <c r="V82" s="6"/>
    </row>
    <row r="83">
      <c r="A83" s="13" t="s">
        <v>496</v>
      </c>
      <c r="B83" s="13" t="s">
        <v>497</v>
      </c>
      <c r="C83" s="13" t="s">
        <v>498</v>
      </c>
      <c r="D83" s="14">
        <f t="shared" si="1"/>
        <v>0.3116530713</v>
      </c>
      <c r="E83" s="15" t="s">
        <v>496</v>
      </c>
      <c r="F83" s="16">
        <f t="shared" si="2"/>
        <v>61.16305135</v>
      </c>
      <c r="G83" s="23">
        <v>3.6589906230919E13</v>
      </c>
      <c r="H83" s="18">
        <v>2021.0</v>
      </c>
      <c r="I83" s="19" t="s">
        <v>483</v>
      </c>
      <c r="J83" s="18">
        <v>66.0</v>
      </c>
      <c r="K83" s="24">
        <v>61.0</v>
      </c>
      <c r="L83" s="20">
        <v>12.1839371970674</v>
      </c>
      <c r="M83" s="20">
        <f t="shared" si="17"/>
        <v>66.33333333</v>
      </c>
      <c r="N83" s="20">
        <f t="shared" si="18"/>
        <v>5.507570547</v>
      </c>
      <c r="O83" s="20">
        <v>12.2738906719289</v>
      </c>
      <c r="P83" s="13" t="s">
        <v>499</v>
      </c>
      <c r="Q83" s="13" t="s">
        <v>500</v>
      </c>
      <c r="R83" s="6"/>
      <c r="S83" s="6"/>
      <c r="T83" s="6"/>
      <c r="U83" s="6"/>
      <c r="V83" s="6"/>
    </row>
    <row r="84">
      <c r="A84" s="13" t="s">
        <v>501</v>
      </c>
      <c r="B84" s="13" t="s">
        <v>502</v>
      </c>
      <c r="C84" s="13" t="s">
        <v>503</v>
      </c>
      <c r="D84" s="14">
        <f t="shared" si="1"/>
        <v>0.1387137255</v>
      </c>
      <c r="E84" s="15" t="s">
        <v>501</v>
      </c>
      <c r="F84" s="16">
        <f t="shared" si="2"/>
        <v>37.50532907</v>
      </c>
      <c r="G84" s="23">
        <v>1.8119586202349E13</v>
      </c>
      <c r="H84" s="18">
        <v>2020.0</v>
      </c>
      <c r="I84" s="19" t="s">
        <v>483</v>
      </c>
      <c r="J84" s="18">
        <v>61.0</v>
      </c>
      <c r="K84" s="24">
        <v>58.0</v>
      </c>
      <c r="L84" s="20">
        <v>12.2738906719289</v>
      </c>
      <c r="M84" s="20">
        <f t="shared" si="17"/>
        <v>61.66666667</v>
      </c>
      <c r="N84" s="20">
        <f t="shared" si="18"/>
        <v>4.041451884</v>
      </c>
      <c r="O84" s="20">
        <v>11.3076296512967</v>
      </c>
      <c r="P84" s="13" t="s">
        <v>504</v>
      </c>
      <c r="Q84" s="13" t="s">
        <v>505</v>
      </c>
      <c r="R84" s="6"/>
      <c r="S84" s="6"/>
      <c r="T84" s="6"/>
      <c r="U84" s="6"/>
      <c r="V84" s="6"/>
    </row>
    <row r="85">
      <c r="A85" s="13" t="s">
        <v>506</v>
      </c>
      <c r="B85" s="13" t="s">
        <v>507</v>
      </c>
      <c r="C85" s="13" t="s">
        <v>508</v>
      </c>
      <c r="D85" s="14">
        <f t="shared" si="1"/>
        <v>0.2561762907</v>
      </c>
      <c r="E85" s="15" t="s">
        <v>506</v>
      </c>
      <c r="F85" s="16">
        <f t="shared" si="2"/>
        <v>32.43313364</v>
      </c>
      <c r="G85" s="23">
        <v>1.2974229752025E13</v>
      </c>
      <c r="H85" s="19">
        <v>2019.0</v>
      </c>
      <c r="I85" s="19" t="s">
        <v>483</v>
      </c>
      <c r="J85" s="18">
        <v>58.0</v>
      </c>
      <c r="K85" s="24">
        <v>54.0</v>
      </c>
      <c r="L85" s="20">
        <v>11.3076296512967</v>
      </c>
      <c r="M85" s="20">
        <f t="shared" si="17"/>
        <v>57.66666667</v>
      </c>
      <c r="N85" s="20">
        <f t="shared" si="18"/>
        <v>3.511884584</v>
      </c>
      <c r="O85" s="20">
        <v>11.3396223992414</v>
      </c>
      <c r="P85" s="13" t="s">
        <v>509</v>
      </c>
      <c r="Q85" s="13" t="s">
        <v>510</v>
      </c>
      <c r="R85" s="6"/>
      <c r="S85" s="6"/>
      <c r="T85" s="6"/>
      <c r="U85" s="6"/>
      <c r="V85" s="6"/>
    </row>
    <row r="86">
      <c r="A86" s="13" t="s">
        <v>511</v>
      </c>
      <c r="B86" s="13" t="s">
        <v>512</v>
      </c>
      <c r="C86" s="13" t="s">
        <v>513</v>
      </c>
      <c r="D86" s="14">
        <f t="shared" si="1"/>
        <v>0.4091117212</v>
      </c>
      <c r="E86" s="15" t="s">
        <v>511</v>
      </c>
      <c r="F86" s="16">
        <f t="shared" si="2"/>
        <v>26.26918667</v>
      </c>
      <c r="G86" s="23">
        <v>9.189832486571E12</v>
      </c>
      <c r="H86" s="18">
        <v>2018.0</v>
      </c>
      <c r="I86" s="19" t="s">
        <v>483</v>
      </c>
      <c r="J86" s="18">
        <v>54.0</v>
      </c>
      <c r="K86" s="24">
        <v>50.0</v>
      </c>
      <c r="L86" s="20">
        <v>11.3396223992414</v>
      </c>
      <c r="M86" s="20">
        <f t="shared" si="17"/>
        <v>54</v>
      </c>
      <c r="N86" s="20">
        <f t="shared" si="18"/>
        <v>4</v>
      </c>
      <c r="O86" s="20">
        <v>12.4741307475021</v>
      </c>
      <c r="P86" s="13" t="s">
        <v>514</v>
      </c>
      <c r="Q86" s="13" t="s">
        <v>515</v>
      </c>
      <c r="R86" s="6"/>
      <c r="S86" s="6"/>
      <c r="T86" s="6"/>
      <c r="U86" s="6"/>
      <c r="V86" s="6"/>
    </row>
    <row r="87">
      <c r="A87" s="13" t="s">
        <v>516</v>
      </c>
      <c r="B87" s="13" t="s">
        <v>517</v>
      </c>
      <c r="C87" s="13" t="s">
        <v>518</v>
      </c>
      <c r="D87" s="14">
        <f t="shared" si="1"/>
        <v>0.4302951845</v>
      </c>
      <c r="E87" s="15" t="s">
        <v>516</v>
      </c>
      <c r="F87" s="16">
        <f t="shared" si="2"/>
        <v>31.21725152</v>
      </c>
      <c r="G87" s="23">
        <v>9.514126446079E12</v>
      </c>
      <c r="H87" s="18">
        <v>2017.0</v>
      </c>
      <c r="I87" s="19" t="s">
        <v>483</v>
      </c>
      <c r="J87" s="18">
        <v>50.0</v>
      </c>
      <c r="K87" s="24">
        <v>46.0</v>
      </c>
      <c r="L87" s="20">
        <v>12.4741307475021</v>
      </c>
      <c r="M87" s="20">
        <f t="shared" si="17"/>
        <v>50</v>
      </c>
      <c r="N87" s="20">
        <f t="shared" si="18"/>
        <v>4</v>
      </c>
      <c r="O87" s="20">
        <v>14.0523361024415</v>
      </c>
      <c r="P87" s="13" t="s">
        <v>519</v>
      </c>
      <c r="Q87" s="13" t="s">
        <v>520</v>
      </c>
      <c r="R87" s="6"/>
      <c r="S87" s="6"/>
      <c r="T87" s="6"/>
      <c r="U87" s="6"/>
      <c r="V87" s="6"/>
    </row>
    <row r="88">
      <c r="A88" s="13" t="s">
        <v>521</v>
      </c>
      <c r="B88" s="13" t="s">
        <v>522</v>
      </c>
      <c r="C88" s="13" t="s">
        <v>523</v>
      </c>
      <c r="D88" s="14">
        <f t="shared" si="1"/>
        <v>0.08839867818</v>
      </c>
      <c r="E88" s="15" t="s">
        <v>521</v>
      </c>
      <c r="F88" s="16">
        <f t="shared" si="2"/>
        <v>18.35697891</v>
      </c>
      <c r="G88" s="23">
        <v>4.474461826667E12</v>
      </c>
      <c r="H88" s="18">
        <v>2016.0</v>
      </c>
      <c r="I88" s="19" t="s">
        <v>483</v>
      </c>
      <c r="J88" s="18">
        <v>46.0</v>
      </c>
      <c r="K88" s="24">
        <v>42.0</v>
      </c>
      <c r="L88" s="20">
        <v>14.0523361024415</v>
      </c>
      <c r="M88" s="20">
        <f t="shared" si="17"/>
        <v>46</v>
      </c>
      <c r="N88" s="20">
        <f t="shared" si="18"/>
        <v>4</v>
      </c>
      <c r="O88" s="20">
        <v>19.6496007142997</v>
      </c>
      <c r="P88" s="13" t="s">
        <v>524</v>
      </c>
      <c r="Q88" s="13" t="s">
        <v>525</v>
      </c>
      <c r="R88" s="6"/>
      <c r="S88" s="6"/>
      <c r="T88" s="6"/>
      <c r="U88" s="6"/>
      <c r="V88" s="6"/>
    </row>
    <row r="89">
      <c r="A89" s="13" t="s">
        <v>526</v>
      </c>
      <c r="B89" s="13" t="s">
        <v>527</v>
      </c>
      <c r="C89" s="13" t="s">
        <v>528</v>
      </c>
      <c r="D89" s="14">
        <f t="shared" si="1"/>
        <v>0.03408826257</v>
      </c>
      <c r="E89" s="15" t="s">
        <v>526</v>
      </c>
      <c r="F89" s="16">
        <f t="shared" si="2"/>
        <v>15.42720832</v>
      </c>
      <c r="G89" s="23">
        <v>3.212201931579E12</v>
      </c>
      <c r="H89" s="18">
        <v>2015.0</v>
      </c>
      <c r="I89" s="19" t="s">
        <v>483</v>
      </c>
      <c r="J89" s="18">
        <v>42.0</v>
      </c>
      <c r="K89" s="24">
        <v>38.0</v>
      </c>
      <c r="L89" s="20">
        <v>19.6496007142997</v>
      </c>
      <c r="M89" s="20">
        <f t="shared" si="17"/>
        <v>42</v>
      </c>
      <c r="N89" s="20">
        <f t="shared" si="18"/>
        <v>4</v>
      </c>
      <c r="O89" s="20">
        <v>28.846600976154</v>
      </c>
      <c r="P89" s="13" t="s">
        <v>529</v>
      </c>
      <c r="Q89" s="13" t="s">
        <v>530</v>
      </c>
      <c r="R89" s="6"/>
      <c r="S89" s="6"/>
      <c r="T89" s="6"/>
      <c r="U89" s="6"/>
      <c r="V89" s="6"/>
    </row>
    <row r="90">
      <c r="A90" s="13" t="s">
        <v>531</v>
      </c>
      <c r="B90" s="13" t="s">
        <v>532</v>
      </c>
      <c r="C90" s="13" t="s">
        <v>533</v>
      </c>
      <c r="D90" s="14">
        <f t="shared" si="1"/>
        <v>-0.8803238939</v>
      </c>
      <c r="E90" s="15" t="s">
        <v>531</v>
      </c>
      <c r="F90" s="16">
        <f t="shared" si="2"/>
        <v>14.02787663</v>
      </c>
      <c r="G90" s="23">
        <v>2.629096425806E12</v>
      </c>
      <c r="H90" s="18">
        <v>2014.0</v>
      </c>
      <c r="I90" s="19" t="s">
        <v>483</v>
      </c>
      <c r="J90" s="18">
        <v>38.0</v>
      </c>
      <c r="K90" s="21"/>
      <c r="L90" s="20">
        <v>28.846600976154</v>
      </c>
      <c r="M90" s="20"/>
      <c r="N90" s="20"/>
      <c r="O90" s="22"/>
      <c r="P90" s="13" t="s">
        <v>534</v>
      </c>
      <c r="Q90" s="13" t="s">
        <v>535</v>
      </c>
      <c r="R90" s="6"/>
      <c r="S90" s="6"/>
      <c r="T90" s="6"/>
      <c r="U90" s="6"/>
      <c r="V90" s="6"/>
    </row>
    <row r="91">
      <c r="A91" s="13" t="s">
        <v>536</v>
      </c>
      <c r="B91" s="13" t="s">
        <v>537</v>
      </c>
      <c r="C91" s="13" t="s">
        <v>538</v>
      </c>
      <c r="D91" s="14">
        <f t="shared" si="1"/>
        <v>0.0103520449</v>
      </c>
      <c r="E91" s="15" t="s">
        <v>536</v>
      </c>
      <c r="F91" s="16">
        <f t="shared" si="2"/>
        <v>163.1797004</v>
      </c>
      <c r="G91" s="23">
        <v>3.384825521055197E14</v>
      </c>
      <c r="H91" s="18">
        <v>2024.0</v>
      </c>
      <c r="I91" s="19" t="s">
        <v>539</v>
      </c>
      <c r="J91" s="18">
        <v>87.0</v>
      </c>
      <c r="K91" s="24">
        <v>82.0</v>
      </c>
      <c r="L91" s="20">
        <v>23.6602096848236</v>
      </c>
      <c r="M91" s="20"/>
      <c r="N91" s="20"/>
      <c r="O91" s="20">
        <v>21.6148974043115</v>
      </c>
      <c r="P91" s="13" t="s">
        <v>540</v>
      </c>
      <c r="Q91" s="13" t="s">
        <v>541</v>
      </c>
      <c r="R91" s="6"/>
      <c r="S91" s="6"/>
      <c r="T91" s="6"/>
      <c r="U91" s="6"/>
      <c r="V91" s="6"/>
    </row>
    <row r="92">
      <c r="A92" s="13" t="s">
        <v>542</v>
      </c>
      <c r="B92" s="13" t="s">
        <v>543</v>
      </c>
      <c r="C92" s="13" t="s">
        <v>544</v>
      </c>
      <c r="D92" s="14">
        <f t="shared" si="1"/>
        <v>-0.009055183236</v>
      </c>
      <c r="E92" s="15" t="s">
        <v>542</v>
      </c>
      <c r="F92" s="16">
        <f t="shared" si="2"/>
        <v>138.0790027</v>
      </c>
      <c r="G92" s="23">
        <v>2.5235268837749125E14</v>
      </c>
      <c r="H92" s="18">
        <v>2023.0</v>
      </c>
      <c r="I92" s="19" t="s">
        <v>539</v>
      </c>
      <c r="J92" s="18">
        <v>82.0</v>
      </c>
      <c r="K92" s="24">
        <v>77.0</v>
      </c>
      <c r="L92" s="20">
        <v>21.6148974043115</v>
      </c>
      <c r="M92" s="20">
        <f t="shared" ref="M92:M100" si="19">(J91+J92+J93)/3</f>
        <v>82</v>
      </c>
      <c r="N92" s="20">
        <f t="shared" ref="N92:N100" si="20">sqrt((((J91-M92)^2)+((J92-M92)^2)+((J93-M92)^2))/2)</f>
        <v>5</v>
      </c>
      <c r="O92" s="20">
        <v>18.1756591237636</v>
      </c>
      <c r="P92" s="13" t="s">
        <v>545</v>
      </c>
      <c r="Q92" s="13" t="s">
        <v>546</v>
      </c>
      <c r="R92" s="6"/>
      <c r="S92" s="6"/>
      <c r="T92" s="6"/>
      <c r="U92" s="6"/>
      <c r="V92" s="6"/>
    </row>
    <row r="93">
      <c r="A93" s="13" t="s">
        <v>547</v>
      </c>
      <c r="B93" s="13" t="s">
        <v>548</v>
      </c>
      <c r="C93" s="13" t="s">
        <v>549</v>
      </c>
      <c r="D93" s="14">
        <f t="shared" si="1"/>
        <v>0.2164886564</v>
      </c>
      <c r="E93" s="15" t="s">
        <v>547</v>
      </c>
      <c r="F93" s="16">
        <f t="shared" si="2"/>
        <v>92.90444208</v>
      </c>
      <c r="G93" s="23">
        <v>1.6683331731583353E14</v>
      </c>
      <c r="H93" s="18">
        <v>2022.0</v>
      </c>
      <c r="I93" s="19" t="s">
        <v>539</v>
      </c>
      <c r="J93" s="18">
        <v>77.0</v>
      </c>
      <c r="K93" s="24">
        <v>74.0</v>
      </c>
      <c r="L93" s="20">
        <v>18.1756591237636</v>
      </c>
      <c r="M93" s="20">
        <f t="shared" si="19"/>
        <v>77.66666667</v>
      </c>
      <c r="N93" s="20">
        <f t="shared" si="20"/>
        <v>4.041451884</v>
      </c>
      <c r="O93" s="20">
        <v>12.1839371970674</v>
      </c>
      <c r="P93" s="13" t="s">
        <v>550</v>
      </c>
      <c r="Q93" s="13" t="s">
        <v>551</v>
      </c>
      <c r="R93" s="6"/>
      <c r="S93" s="6"/>
      <c r="T93" s="6"/>
      <c r="U93" s="6"/>
      <c r="V93" s="6"/>
    </row>
    <row r="94">
      <c r="A94" s="13" t="s">
        <v>552</v>
      </c>
      <c r="B94" s="13" t="s">
        <v>553</v>
      </c>
      <c r="C94" s="13" t="s">
        <v>554</v>
      </c>
      <c r="D94" s="14">
        <f t="shared" si="1"/>
        <v>0.1561079281</v>
      </c>
      <c r="E94" s="15" t="s">
        <v>552</v>
      </c>
      <c r="F94" s="16">
        <f t="shared" si="2"/>
        <v>117.0588169</v>
      </c>
      <c r="G94" s="23">
        <v>1.6433081755609653E14</v>
      </c>
      <c r="H94" s="18">
        <v>2021.0</v>
      </c>
      <c r="I94" s="19" t="s">
        <v>539</v>
      </c>
      <c r="J94" s="18">
        <v>74.0</v>
      </c>
      <c r="K94" s="24">
        <v>69.0</v>
      </c>
      <c r="L94" s="20">
        <v>12.1839371970674</v>
      </c>
      <c r="M94" s="20">
        <f t="shared" si="19"/>
        <v>73.33333333</v>
      </c>
      <c r="N94" s="20">
        <f t="shared" si="20"/>
        <v>4.041451884</v>
      </c>
      <c r="O94" s="20">
        <v>12.2738906719289</v>
      </c>
      <c r="P94" s="13" t="s">
        <v>555</v>
      </c>
      <c r="Q94" s="13" t="s">
        <v>556</v>
      </c>
      <c r="R94" s="6"/>
      <c r="S94" s="6"/>
      <c r="T94" s="6"/>
      <c r="U94" s="6"/>
      <c r="V94" s="6"/>
    </row>
    <row r="95">
      <c r="A95" s="13" t="s">
        <v>557</v>
      </c>
      <c r="B95" s="13" t="s">
        <v>558</v>
      </c>
      <c r="C95" s="13" t="s">
        <v>559</v>
      </c>
      <c r="D95" s="14">
        <f t="shared" si="1"/>
        <v>0.1043556551</v>
      </c>
      <c r="E95" s="15" t="s">
        <v>557</v>
      </c>
      <c r="F95" s="16">
        <f t="shared" si="2"/>
        <v>120.1093257</v>
      </c>
      <c r="G95" s="23">
        <v>1.5806046699859828E14</v>
      </c>
      <c r="H95" s="18">
        <v>2020.0</v>
      </c>
      <c r="I95" s="19" t="s">
        <v>539</v>
      </c>
      <c r="J95" s="18">
        <v>69.0</v>
      </c>
      <c r="K95" s="24">
        <v>65.0</v>
      </c>
      <c r="L95" s="20">
        <v>12.2738906719289</v>
      </c>
      <c r="M95" s="20">
        <f t="shared" si="19"/>
        <v>69.33333333</v>
      </c>
      <c r="N95" s="20">
        <f t="shared" si="20"/>
        <v>4.509249753</v>
      </c>
      <c r="O95" s="20">
        <v>11.3076296512967</v>
      </c>
      <c r="P95" s="13" t="s">
        <v>560</v>
      </c>
      <c r="Q95" s="13" t="s">
        <v>561</v>
      </c>
      <c r="R95" s="6"/>
      <c r="S95" s="6"/>
      <c r="T95" s="6"/>
      <c r="U95" s="6"/>
      <c r="V95" s="6"/>
    </row>
    <row r="96">
      <c r="A96" s="13" t="s">
        <v>562</v>
      </c>
      <c r="B96" s="13" t="s">
        <v>563</v>
      </c>
      <c r="C96" s="13" t="s">
        <v>564</v>
      </c>
      <c r="D96" s="14">
        <f t="shared" si="1"/>
        <v>0.2345197706</v>
      </c>
      <c r="E96" s="15" t="s">
        <v>562</v>
      </c>
      <c r="F96" s="16">
        <f t="shared" si="2"/>
        <v>115.5247334</v>
      </c>
      <c r="G96" s="23">
        <v>1.4012336639538586E14</v>
      </c>
      <c r="H96" s="19">
        <v>2019.0</v>
      </c>
      <c r="I96" s="19" t="s">
        <v>539</v>
      </c>
      <c r="J96" s="18">
        <v>65.0</v>
      </c>
      <c r="K96" s="24">
        <v>60.0</v>
      </c>
      <c r="L96" s="20">
        <v>11.3076296512967</v>
      </c>
      <c r="M96" s="20">
        <f t="shared" si="19"/>
        <v>64.66666667</v>
      </c>
      <c r="N96" s="20">
        <f t="shared" si="20"/>
        <v>4.509249753</v>
      </c>
      <c r="O96" s="20">
        <v>11.3396223992414</v>
      </c>
      <c r="P96" s="13" t="s">
        <v>565</v>
      </c>
      <c r="Q96" s="13" t="s">
        <v>566</v>
      </c>
      <c r="R96" s="6"/>
      <c r="S96" s="6"/>
      <c r="T96" s="6"/>
      <c r="U96" s="6"/>
      <c r="V96" s="6"/>
    </row>
    <row r="97">
      <c r="A97" s="13" t="s">
        <v>567</v>
      </c>
      <c r="B97" s="13" t="s">
        <v>568</v>
      </c>
      <c r="C97" s="13" t="s">
        <v>569</v>
      </c>
      <c r="D97" s="14">
        <f t="shared" si="1"/>
        <v>0.2725900033</v>
      </c>
      <c r="E97" s="15" t="s">
        <v>567</v>
      </c>
      <c r="F97" s="16">
        <f t="shared" si="2"/>
        <v>78.32461151</v>
      </c>
      <c r="G97" s="23">
        <v>8.311086587752886E13</v>
      </c>
      <c r="H97" s="18">
        <v>2018.0</v>
      </c>
      <c r="I97" s="19" t="s">
        <v>539</v>
      </c>
      <c r="J97" s="18">
        <v>60.0</v>
      </c>
      <c r="K97" s="24">
        <v>55.0</v>
      </c>
      <c r="L97" s="20">
        <v>11.3396223992414</v>
      </c>
      <c r="M97" s="20">
        <f t="shared" si="19"/>
        <v>60</v>
      </c>
      <c r="N97" s="20">
        <f t="shared" si="20"/>
        <v>5</v>
      </c>
      <c r="O97" s="20">
        <v>12.4741307475021</v>
      </c>
      <c r="P97" s="13" t="s">
        <v>570</v>
      </c>
      <c r="Q97" s="13" t="s">
        <v>571</v>
      </c>
      <c r="R97" s="6"/>
      <c r="S97" s="6"/>
      <c r="T97" s="6"/>
      <c r="U97" s="6"/>
      <c r="V97" s="6"/>
    </row>
    <row r="98">
      <c r="A98" s="13" t="s">
        <v>572</v>
      </c>
      <c r="B98" s="13" t="s">
        <v>573</v>
      </c>
      <c r="C98" s="13" t="s">
        <v>574</v>
      </c>
      <c r="D98" s="14">
        <f t="shared" si="1"/>
        <v>0.1781498236</v>
      </c>
      <c r="E98" s="15" t="s">
        <v>572</v>
      </c>
      <c r="F98" s="16">
        <f t="shared" si="2"/>
        <v>81.39264429</v>
      </c>
      <c r="G98" s="23">
        <v>8.32825225938715E13</v>
      </c>
      <c r="H98" s="18">
        <v>2017.0</v>
      </c>
      <c r="I98" s="19" t="s">
        <v>539</v>
      </c>
      <c r="J98" s="18">
        <v>55.0</v>
      </c>
      <c r="K98" s="24">
        <v>49.0</v>
      </c>
      <c r="L98" s="20">
        <v>12.4741307475021</v>
      </c>
      <c r="M98" s="20">
        <f t="shared" si="19"/>
        <v>54.66666667</v>
      </c>
      <c r="N98" s="20">
        <f t="shared" si="20"/>
        <v>5.507570547</v>
      </c>
      <c r="O98" s="20">
        <v>14.0523361024415</v>
      </c>
      <c r="P98" s="13" t="s">
        <v>575</v>
      </c>
      <c r="Q98" s="13" t="s">
        <v>576</v>
      </c>
      <c r="R98" s="6"/>
      <c r="S98" s="6"/>
      <c r="T98" s="6"/>
      <c r="U98" s="6"/>
      <c r="V98" s="6"/>
    </row>
    <row r="99">
      <c r="A99" s="13" t="s">
        <v>577</v>
      </c>
      <c r="B99" s="13" t="s">
        <v>578</v>
      </c>
      <c r="C99" s="13" t="s">
        <v>579</v>
      </c>
      <c r="D99" s="14">
        <f t="shared" si="1"/>
        <v>0.1895171587</v>
      </c>
      <c r="E99" s="15" t="s">
        <v>577</v>
      </c>
      <c r="F99" s="16">
        <f t="shared" si="2"/>
        <v>50.96909452</v>
      </c>
      <c r="G99" s="23">
        <v>3.942054844501541E13</v>
      </c>
      <c r="H99" s="18">
        <v>2016.0</v>
      </c>
      <c r="I99" s="19" t="s">
        <v>539</v>
      </c>
      <c r="J99" s="18">
        <v>49.0</v>
      </c>
      <c r="K99" s="24">
        <v>45.0</v>
      </c>
      <c r="L99" s="20">
        <v>14.0523361024415</v>
      </c>
      <c r="M99" s="20">
        <f t="shared" si="19"/>
        <v>49.66666667</v>
      </c>
      <c r="N99" s="20">
        <f t="shared" si="20"/>
        <v>5.033222957</v>
      </c>
      <c r="O99" s="20">
        <v>19.6496007142997</v>
      </c>
      <c r="P99" s="13" t="s">
        <v>580</v>
      </c>
      <c r="Q99" s="13" t="s">
        <v>581</v>
      </c>
      <c r="R99" s="6"/>
      <c r="S99" s="6"/>
      <c r="T99" s="6"/>
      <c r="U99" s="6"/>
      <c r="V99" s="6"/>
    </row>
    <row r="100">
      <c r="A100" s="13" t="s">
        <v>582</v>
      </c>
      <c r="B100" s="13" t="s">
        <v>583</v>
      </c>
      <c r="C100" s="13" t="s">
        <v>584</v>
      </c>
      <c r="D100" s="14">
        <f t="shared" si="1"/>
        <v>0.2588990463</v>
      </c>
      <c r="E100" s="15" t="s">
        <v>582</v>
      </c>
      <c r="F100" s="16">
        <f t="shared" si="2"/>
        <v>53.49079986</v>
      </c>
      <c r="G100" s="23">
        <v>3.544468641686888E13</v>
      </c>
      <c r="H100" s="18">
        <v>2015.0</v>
      </c>
      <c r="I100" s="19" t="s">
        <v>539</v>
      </c>
      <c r="J100" s="18">
        <v>45.0</v>
      </c>
      <c r="K100" s="24">
        <v>41.0</v>
      </c>
      <c r="L100" s="20">
        <v>19.6496007142997</v>
      </c>
      <c r="M100" s="20">
        <f t="shared" si="19"/>
        <v>45</v>
      </c>
      <c r="N100" s="20">
        <f t="shared" si="20"/>
        <v>4</v>
      </c>
      <c r="O100" s="20">
        <v>28.846600976154</v>
      </c>
      <c r="P100" s="13" t="s">
        <v>585</v>
      </c>
      <c r="Q100" s="13" t="s">
        <v>586</v>
      </c>
      <c r="R100" s="6"/>
      <c r="S100" s="6"/>
      <c r="T100" s="6"/>
      <c r="U100" s="6"/>
      <c r="V100" s="6"/>
    </row>
    <row r="101">
      <c r="A101" s="13" t="s">
        <v>587</v>
      </c>
      <c r="B101" s="13" t="s">
        <v>588</v>
      </c>
      <c r="C101" s="13" t="s">
        <v>589</v>
      </c>
      <c r="D101" s="14">
        <f t="shared" si="1"/>
        <v>-0.7525255712</v>
      </c>
      <c r="E101" s="15" t="s">
        <v>587</v>
      </c>
      <c r="F101" s="16">
        <f t="shared" si="2"/>
        <v>38.91281959</v>
      </c>
      <c r="G101" s="23">
        <v>2.1919003844675254E13</v>
      </c>
      <c r="H101" s="18">
        <v>2014.0</v>
      </c>
      <c r="I101" s="19" t="s">
        <v>539</v>
      </c>
      <c r="J101" s="18">
        <v>41.0</v>
      </c>
      <c r="K101" s="21"/>
      <c r="L101" s="20">
        <v>28.846600976154</v>
      </c>
      <c r="M101" s="20"/>
      <c r="N101" s="20"/>
      <c r="O101" s="22"/>
      <c r="P101" s="13" t="s">
        <v>590</v>
      </c>
      <c r="Q101" s="13" t="s">
        <v>591</v>
      </c>
      <c r="R101" s="6"/>
      <c r="S101" s="6"/>
      <c r="T101" s="6"/>
      <c r="U101" s="6"/>
      <c r="V101" s="6"/>
    </row>
    <row r="102">
      <c r="A102" s="13" t="s">
        <v>592</v>
      </c>
      <c r="B102" s="13" t="s">
        <v>593</v>
      </c>
      <c r="C102" s="13" t="s">
        <v>594</v>
      </c>
      <c r="D102" s="14">
        <f t="shared" si="1"/>
        <v>0.02341758178</v>
      </c>
      <c r="E102" s="15" t="s">
        <v>592</v>
      </c>
      <c r="F102" s="16">
        <f t="shared" si="2"/>
        <v>2220.880071</v>
      </c>
      <c r="G102" s="23">
        <v>1.2223848903087358E14</v>
      </c>
      <c r="H102" s="18">
        <v>2024.0</v>
      </c>
      <c r="I102" s="19" t="s">
        <v>595</v>
      </c>
      <c r="J102" s="18" t="s">
        <v>596</v>
      </c>
      <c r="K102" s="24" t="s">
        <v>597</v>
      </c>
      <c r="L102" s="20">
        <v>23.6602096848236</v>
      </c>
      <c r="M102" s="20"/>
      <c r="N102" s="20"/>
      <c r="O102" s="20">
        <v>21.6148974043115</v>
      </c>
      <c r="P102" s="13" t="s">
        <v>598</v>
      </c>
      <c r="Q102" s="13" t="s">
        <v>599</v>
      </c>
      <c r="R102" s="6"/>
      <c r="S102" s="6"/>
      <c r="T102" s="6"/>
      <c r="U102" s="6"/>
      <c r="V102" s="6"/>
    </row>
    <row r="103">
      <c r="A103" s="13" t="s">
        <v>600</v>
      </c>
      <c r="B103" s="13" t="s">
        <v>601</v>
      </c>
      <c r="C103" s="13" t="s">
        <v>602</v>
      </c>
      <c r="D103" s="14">
        <f t="shared" si="1"/>
        <v>0.006882824298</v>
      </c>
      <c r="E103" s="15" t="s">
        <v>600</v>
      </c>
      <c r="F103" s="16">
        <f t="shared" si="2"/>
        <v>2342.743176</v>
      </c>
      <c r="G103" s="23">
        <v>1.2338253308590145E14</v>
      </c>
      <c r="H103" s="18">
        <v>2023.0</v>
      </c>
      <c r="I103" s="19" t="s">
        <v>595</v>
      </c>
      <c r="J103" s="18" t="s">
        <v>597</v>
      </c>
      <c r="K103" s="24" t="s">
        <v>603</v>
      </c>
      <c r="L103" s="20">
        <v>21.6148974043115</v>
      </c>
      <c r="M103" s="20">
        <f t="shared" ref="M103:M111" si="21">(J102+J103+J104)/3</f>
        <v>92.43333333</v>
      </c>
      <c r="N103" s="20">
        <f t="shared" ref="N103:N111" si="22">sqrt((((J102-M103)^2)+((J103-M103)^2)+((J104-M103)^2))/2)</f>
        <v>2.013289183</v>
      </c>
      <c r="O103" s="20">
        <v>18.1756591237636</v>
      </c>
      <c r="P103" s="13" t="s">
        <v>604</v>
      </c>
      <c r="Q103" s="13" t="s">
        <v>605</v>
      </c>
      <c r="R103" s="6"/>
      <c r="S103" s="6"/>
      <c r="T103" s="6"/>
      <c r="U103" s="6"/>
      <c r="V103" s="6"/>
    </row>
    <row r="104">
      <c r="A104" s="13" t="s">
        <v>606</v>
      </c>
      <c r="B104" s="13" t="s">
        <v>607</v>
      </c>
      <c r="C104" s="13" t="s">
        <v>608</v>
      </c>
      <c r="D104" s="14">
        <f t="shared" si="1"/>
        <v>-0.01580648145</v>
      </c>
      <c r="E104" s="15" t="s">
        <v>606</v>
      </c>
      <c r="F104" s="16">
        <f t="shared" si="2"/>
        <v>2752.573523</v>
      </c>
      <c r="G104" s="23">
        <v>1.3343643177639308E14</v>
      </c>
      <c r="H104" s="18">
        <v>2022.0</v>
      </c>
      <c r="I104" s="19" t="s">
        <v>595</v>
      </c>
      <c r="J104" s="18" t="s">
        <v>603</v>
      </c>
      <c r="K104" s="24" t="s">
        <v>609</v>
      </c>
      <c r="L104" s="20">
        <v>18.1756591237636</v>
      </c>
      <c r="M104" s="20">
        <f t="shared" si="21"/>
        <v>90.46666667</v>
      </c>
      <c r="N104" s="20">
        <f t="shared" si="22"/>
        <v>2.154839515</v>
      </c>
      <c r="O104" s="20">
        <v>12.1839371970674</v>
      </c>
      <c r="P104" s="13" t="s">
        <v>610</v>
      </c>
      <c r="Q104" s="13" t="s">
        <v>611</v>
      </c>
      <c r="R104" s="6"/>
      <c r="S104" s="6"/>
      <c r="T104" s="6"/>
      <c r="U104" s="6"/>
      <c r="V104" s="6"/>
    </row>
    <row r="105">
      <c r="A105" s="13" t="s">
        <v>612</v>
      </c>
      <c r="B105" s="13" t="s">
        <v>613</v>
      </c>
      <c r="C105" s="13" t="s">
        <v>614</v>
      </c>
      <c r="D105" s="14">
        <f t="shared" si="1"/>
        <v>0.0215117121</v>
      </c>
      <c r="E105" s="15" t="s">
        <v>612</v>
      </c>
      <c r="F105" s="16">
        <f t="shared" si="2"/>
        <v>2653.922614</v>
      </c>
      <c r="G105" s="23">
        <v>1.4152258927542944E14</v>
      </c>
      <c r="H105" s="18">
        <v>2021.0</v>
      </c>
      <c r="I105" s="19" t="s">
        <v>595</v>
      </c>
      <c r="J105" s="18" t="s">
        <v>609</v>
      </c>
      <c r="K105" s="24" t="s">
        <v>97</v>
      </c>
      <c r="L105" s="20">
        <v>12.1839371970674</v>
      </c>
      <c r="M105" s="20">
        <f t="shared" si="21"/>
        <v>88.5</v>
      </c>
      <c r="N105" s="20">
        <f t="shared" si="22"/>
        <v>1.752141547</v>
      </c>
      <c r="O105" s="20">
        <v>12.2738906719289</v>
      </c>
      <c r="P105" s="13" t="s">
        <v>615</v>
      </c>
      <c r="Q105" s="13" t="s">
        <v>616</v>
      </c>
      <c r="R105" s="6"/>
      <c r="S105" s="6"/>
      <c r="T105" s="6"/>
      <c r="U105" s="6"/>
      <c r="V105" s="6"/>
    </row>
    <row r="106">
      <c r="A106" s="13" t="s">
        <v>617</v>
      </c>
      <c r="B106" s="13" t="s">
        <v>618</v>
      </c>
      <c r="C106" s="13" t="s">
        <v>619</v>
      </c>
      <c r="D106" s="14">
        <f t="shared" si="1"/>
        <v>0.05891821851</v>
      </c>
      <c r="E106" s="15" t="s">
        <v>617</v>
      </c>
      <c r="F106" s="16">
        <f t="shared" si="2"/>
        <v>2987.095058</v>
      </c>
      <c r="G106" s="23">
        <v>1.446576383047993E14</v>
      </c>
      <c r="H106" s="18">
        <v>2020.0</v>
      </c>
      <c r="I106" s="19" t="s">
        <v>595</v>
      </c>
      <c r="J106" s="18" t="s">
        <v>97</v>
      </c>
      <c r="K106" s="24" t="s">
        <v>620</v>
      </c>
      <c r="L106" s="20">
        <v>12.2738906719289</v>
      </c>
      <c r="M106" s="20">
        <f t="shared" si="21"/>
        <v>85.46666667</v>
      </c>
      <c r="N106" s="20">
        <f t="shared" si="22"/>
        <v>3.780652501</v>
      </c>
      <c r="O106" s="20">
        <v>11.3076296512967</v>
      </c>
      <c r="P106" s="13" t="s">
        <v>621</v>
      </c>
      <c r="Q106" s="13" t="s">
        <v>622</v>
      </c>
      <c r="R106" s="6"/>
      <c r="S106" s="6"/>
      <c r="T106" s="6"/>
      <c r="U106" s="6"/>
      <c r="V106" s="6"/>
    </row>
    <row r="107">
      <c r="A107" s="13" t="s">
        <v>623</v>
      </c>
      <c r="B107" s="13" t="s">
        <v>624</v>
      </c>
      <c r="C107" s="13" t="s">
        <v>625</v>
      </c>
      <c r="D107" s="14">
        <f t="shared" si="1"/>
        <v>0.07146182351</v>
      </c>
      <c r="E107" s="15" t="s">
        <v>623</v>
      </c>
      <c r="F107" s="16">
        <f t="shared" si="2"/>
        <v>2813.627531</v>
      </c>
      <c r="G107" s="23">
        <v>1.2575382575443323E14</v>
      </c>
      <c r="H107" s="19">
        <v>2019.0</v>
      </c>
      <c r="I107" s="19" t="s">
        <v>595</v>
      </c>
      <c r="J107" s="18" t="s">
        <v>620</v>
      </c>
      <c r="K107" s="24" t="s">
        <v>626</v>
      </c>
      <c r="L107" s="20">
        <v>11.3076296512967</v>
      </c>
      <c r="M107" s="20">
        <f t="shared" si="21"/>
        <v>82.1</v>
      </c>
      <c r="N107" s="20">
        <f t="shared" si="22"/>
        <v>4.32087954</v>
      </c>
      <c r="O107" s="20">
        <v>11.3396223992414</v>
      </c>
      <c r="P107" s="13" t="s">
        <v>627</v>
      </c>
      <c r="Q107" s="13" t="s">
        <v>628</v>
      </c>
      <c r="R107" s="6"/>
      <c r="S107" s="6"/>
      <c r="T107" s="6"/>
      <c r="U107" s="6"/>
      <c r="V107" s="6"/>
    </row>
    <row r="108">
      <c r="A108" s="13" t="s">
        <v>629</v>
      </c>
      <c r="B108" s="13" t="s">
        <v>630</v>
      </c>
      <c r="C108" s="13" t="s">
        <v>631</v>
      </c>
      <c r="D108" s="14">
        <f t="shared" si="1"/>
        <v>0.02979706167</v>
      </c>
      <c r="E108" s="15" t="s">
        <v>629</v>
      </c>
      <c r="F108" s="16">
        <f t="shared" si="2"/>
        <v>2784.924285</v>
      </c>
      <c r="G108" s="23">
        <v>1.0405068867191294E14</v>
      </c>
      <c r="H108" s="18">
        <v>2018.0</v>
      </c>
      <c r="I108" s="19" t="s">
        <v>595</v>
      </c>
      <c r="J108" s="18" t="s">
        <v>626</v>
      </c>
      <c r="K108" s="25">
        <v>74.0</v>
      </c>
      <c r="L108" s="20">
        <v>11.3396223992414</v>
      </c>
      <c r="M108" s="20">
        <f t="shared" si="21"/>
        <v>77.83333333</v>
      </c>
      <c r="N108" s="20">
        <f t="shared" si="22"/>
        <v>3.622614157</v>
      </c>
      <c r="O108" s="20">
        <v>12.4741307475021</v>
      </c>
      <c r="P108" s="13" t="s">
        <v>632</v>
      </c>
      <c r="Q108" s="13" t="s">
        <v>633</v>
      </c>
      <c r="R108" s="6"/>
      <c r="S108" s="6"/>
      <c r="T108" s="6"/>
      <c r="U108" s="6"/>
      <c r="V108" s="6"/>
    </row>
    <row r="109">
      <c r="A109" s="13" t="s">
        <v>634</v>
      </c>
      <c r="B109" s="13" t="s">
        <v>635</v>
      </c>
      <c r="C109" s="13" t="s">
        <v>636</v>
      </c>
      <c r="D109" s="14">
        <f t="shared" si="1"/>
        <v>0.09075320946</v>
      </c>
      <c r="E109" s="15" t="s">
        <v>634</v>
      </c>
      <c r="F109" s="16">
        <f t="shared" si="2"/>
        <v>4230.670897</v>
      </c>
      <c r="G109" s="23">
        <v>1.4665522262383734E14</v>
      </c>
      <c r="H109" s="18">
        <v>2017.0</v>
      </c>
      <c r="I109" s="19" t="s">
        <v>595</v>
      </c>
      <c r="J109" s="19">
        <v>74.0</v>
      </c>
      <c r="K109" s="24" t="s">
        <v>637</v>
      </c>
      <c r="L109" s="20">
        <v>12.4741307475021</v>
      </c>
      <c r="M109" s="20">
        <f t="shared" si="21"/>
        <v>74.13333333</v>
      </c>
      <c r="N109" s="20">
        <f t="shared" si="22"/>
        <v>4.101625694</v>
      </c>
      <c r="O109" s="20">
        <v>14.0523361024415</v>
      </c>
      <c r="P109" s="13" t="s">
        <v>638</v>
      </c>
      <c r="Q109" s="13" t="s">
        <v>639</v>
      </c>
      <c r="R109" s="6"/>
      <c r="S109" s="6"/>
      <c r="T109" s="6"/>
      <c r="U109" s="6"/>
      <c r="V109" s="6"/>
    </row>
    <row r="110">
      <c r="A110" s="13" t="s">
        <v>640</v>
      </c>
      <c r="B110" s="13" t="s">
        <v>641</v>
      </c>
      <c r="C110" s="13" t="s">
        <v>642</v>
      </c>
      <c r="D110" s="14">
        <f t="shared" si="1"/>
        <v>0.1675122375</v>
      </c>
      <c r="E110" s="15" t="s">
        <v>640</v>
      </c>
      <c r="F110" s="16">
        <f t="shared" si="2"/>
        <v>2402.946521</v>
      </c>
      <c r="G110" s="23">
        <v>7.058836729173481E13</v>
      </c>
      <c r="H110" s="18">
        <v>2016.0</v>
      </c>
      <c r="I110" s="19" t="s">
        <v>595</v>
      </c>
      <c r="J110" s="18" t="s">
        <v>637</v>
      </c>
      <c r="K110" s="24" t="s">
        <v>643</v>
      </c>
      <c r="L110" s="20">
        <v>14.0523361024415</v>
      </c>
      <c r="M110" s="20">
        <f t="shared" si="21"/>
        <v>69.86666667</v>
      </c>
      <c r="N110" s="20">
        <f t="shared" si="22"/>
        <v>4.25480121</v>
      </c>
      <c r="O110" s="20">
        <v>19.6496007142997</v>
      </c>
      <c r="P110" s="13" t="s">
        <v>644</v>
      </c>
      <c r="Q110" s="13" t="s">
        <v>645</v>
      </c>
      <c r="R110" s="6"/>
      <c r="S110" s="6"/>
      <c r="T110" s="6"/>
      <c r="U110" s="6"/>
      <c r="V110" s="6"/>
    </row>
    <row r="111">
      <c r="A111" s="13" t="s">
        <v>646</v>
      </c>
      <c r="B111" s="13" t="s">
        <v>647</v>
      </c>
      <c r="C111" s="13" t="s">
        <v>648</v>
      </c>
      <c r="D111" s="14">
        <f t="shared" si="1"/>
        <v>0.1428024287</v>
      </c>
      <c r="E111" s="15" t="s">
        <v>646</v>
      </c>
      <c r="F111" s="16">
        <f t="shared" si="2"/>
        <v>1751.443953</v>
      </c>
      <c r="G111" s="23">
        <v>4.811993083001338E13</v>
      </c>
      <c r="H111" s="18">
        <v>2015.0</v>
      </c>
      <c r="I111" s="19" t="s">
        <v>595</v>
      </c>
      <c r="J111" s="18" t="s">
        <v>643</v>
      </c>
      <c r="K111" s="24" t="s">
        <v>649</v>
      </c>
      <c r="L111" s="20">
        <v>19.6496007142997</v>
      </c>
      <c r="M111" s="20">
        <f t="shared" si="21"/>
        <v>66.13333333</v>
      </c>
      <c r="N111" s="20">
        <f t="shared" si="22"/>
        <v>3.690979996</v>
      </c>
      <c r="O111" s="20">
        <v>28.846600976154</v>
      </c>
      <c r="P111" s="13" t="s">
        <v>650</v>
      </c>
      <c r="Q111" s="13" t="s">
        <v>651</v>
      </c>
      <c r="R111" s="6"/>
      <c r="S111" s="6"/>
      <c r="T111" s="6"/>
      <c r="U111" s="6"/>
      <c r="V111" s="6"/>
    </row>
    <row r="112">
      <c r="A112" s="13" t="s">
        <v>652</v>
      </c>
      <c r="B112" s="13" t="s">
        <v>653</v>
      </c>
      <c r="C112" s="13" t="s">
        <v>654</v>
      </c>
      <c r="D112" s="14">
        <f t="shared" si="1"/>
        <v>1.743810272</v>
      </c>
      <c r="E112" s="15" t="s">
        <v>652</v>
      </c>
      <c r="F112" s="16">
        <f t="shared" si="2"/>
        <v>917.4216148</v>
      </c>
      <c r="G112" s="23">
        <v>2.363611177169518E13</v>
      </c>
      <c r="H112" s="18">
        <v>2014.0</v>
      </c>
      <c r="I112" s="19" t="s">
        <v>595</v>
      </c>
      <c r="J112" s="18" t="s">
        <v>649</v>
      </c>
      <c r="K112" s="21"/>
      <c r="L112" s="20">
        <v>28.846600976154</v>
      </c>
      <c r="M112" s="20"/>
      <c r="N112" s="20"/>
      <c r="O112" s="22"/>
      <c r="P112" s="13" t="s">
        <v>655</v>
      </c>
      <c r="Q112" s="13" t="s">
        <v>656</v>
      </c>
      <c r="R112" s="6"/>
      <c r="S112" s="6"/>
      <c r="T112" s="6"/>
      <c r="U112" s="6"/>
      <c r="V112" s="6"/>
    </row>
    <row r="113">
      <c r="A113" s="13" t="s">
        <v>657</v>
      </c>
      <c r="B113" s="13" t="s">
        <v>658</v>
      </c>
      <c r="C113" s="13" t="s">
        <v>659</v>
      </c>
      <c r="D113" s="14">
        <f t="shared" si="1"/>
        <v>0.01273352897</v>
      </c>
      <c r="E113" s="26" t="s">
        <v>657</v>
      </c>
      <c r="F113" s="16">
        <f t="shared" si="2"/>
        <v>233.0375743</v>
      </c>
      <c r="G113" s="23">
        <v>3.2009796208205566E12</v>
      </c>
      <c r="H113" s="27">
        <v>2024.0</v>
      </c>
      <c r="I113" s="27" t="s">
        <v>660</v>
      </c>
      <c r="J113" s="27" t="s">
        <v>661</v>
      </c>
      <c r="K113" s="24" t="s">
        <v>662</v>
      </c>
      <c r="L113" s="20">
        <v>23.6602096848236</v>
      </c>
      <c r="M113" s="20"/>
      <c r="N113" s="20"/>
      <c r="O113" s="20">
        <v>21.6148974043115</v>
      </c>
      <c r="P113" s="13" t="s">
        <v>663</v>
      </c>
      <c r="Q113" s="13" t="s">
        <v>664</v>
      </c>
      <c r="R113" s="28"/>
      <c r="S113" s="29"/>
      <c r="T113" s="29"/>
      <c r="U113" s="29"/>
      <c r="V113" s="29"/>
    </row>
    <row r="114">
      <c r="A114" s="13" t="s">
        <v>665</v>
      </c>
      <c r="B114" s="13" t="s">
        <v>666</v>
      </c>
      <c r="C114" s="13" t="s">
        <v>667</v>
      </c>
      <c r="D114" s="14">
        <f t="shared" si="1"/>
        <v>-0.1745409468</v>
      </c>
      <c r="E114" s="26" t="s">
        <v>665</v>
      </c>
      <c r="F114" s="16">
        <f t="shared" si="2"/>
        <v>299.960069</v>
      </c>
      <c r="G114" s="23">
        <v>3.468951538618608E12</v>
      </c>
      <c r="H114" s="27">
        <v>2023.0</v>
      </c>
      <c r="I114" s="27" t="s">
        <v>660</v>
      </c>
      <c r="J114" s="27" t="s">
        <v>662</v>
      </c>
      <c r="K114" s="24" t="s">
        <v>668</v>
      </c>
      <c r="L114" s="20">
        <v>21.6148974043115</v>
      </c>
      <c r="M114" s="20">
        <f t="shared" ref="M114:M122" si="23">(J113+J114+J115)/3</f>
        <v>87.63333333</v>
      </c>
      <c r="N114" s="20">
        <f t="shared" ref="N114:N122" si="24">sqrt((((J113-M114)^2)+((J114-M114)^2)+((J115-M114)^2))/2)</f>
        <v>2.914332399</v>
      </c>
      <c r="O114" s="20">
        <v>18.1756591237636</v>
      </c>
      <c r="P114" s="13" t="s">
        <v>669</v>
      </c>
      <c r="Q114" s="13" t="s">
        <v>670</v>
      </c>
      <c r="R114" s="28"/>
      <c r="S114" s="29"/>
      <c r="T114" s="29"/>
      <c r="U114" s="29"/>
      <c r="V114" s="29"/>
    </row>
    <row r="115">
      <c r="A115" s="13" t="s">
        <v>671</v>
      </c>
      <c r="B115" s="13" t="s">
        <v>672</v>
      </c>
      <c r="C115" s="13" t="s">
        <v>673</v>
      </c>
      <c r="D115" s="14">
        <f t="shared" si="1"/>
        <v>0.1633697984</v>
      </c>
      <c r="E115" s="26" t="s">
        <v>671</v>
      </c>
      <c r="F115" s="16">
        <f t="shared" si="2"/>
        <v>198.7416111</v>
      </c>
      <c r="G115" s="23">
        <v>2.1409565334888352E12</v>
      </c>
      <c r="H115" s="27">
        <v>2022.0</v>
      </c>
      <c r="I115" s="27" t="s">
        <v>660</v>
      </c>
      <c r="J115" s="27" t="s">
        <v>668</v>
      </c>
      <c r="K115" s="24" t="s">
        <v>168</v>
      </c>
      <c r="L115" s="20">
        <v>18.1756591237636</v>
      </c>
      <c r="M115" s="20">
        <f t="shared" si="23"/>
        <v>84.63333333</v>
      </c>
      <c r="N115" s="20">
        <f t="shared" si="24"/>
        <v>2.809507667</v>
      </c>
      <c r="O115" s="20">
        <v>12.1839371970674</v>
      </c>
      <c r="P115" s="13" t="s">
        <v>674</v>
      </c>
      <c r="Q115" s="13" t="s">
        <v>675</v>
      </c>
      <c r="R115" s="28"/>
      <c r="S115" s="29"/>
      <c r="T115" s="29"/>
      <c r="U115" s="29"/>
      <c r="V115" s="29"/>
    </row>
    <row r="116">
      <c r="A116" s="13" t="s">
        <v>676</v>
      </c>
      <c r="B116" s="13" t="s">
        <v>677</v>
      </c>
      <c r="C116" s="13" t="s">
        <v>678</v>
      </c>
      <c r="D116" s="14">
        <f t="shared" si="1"/>
        <v>0.7692682223</v>
      </c>
      <c r="E116" s="26" t="s">
        <v>676</v>
      </c>
      <c r="F116" s="16">
        <f t="shared" si="2"/>
        <v>430.2013271</v>
      </c>
      <c r="G116" s="23">
        <v>4.301556496948822E12</v>
      </c>
      <c r="H116" s="27">
        <v>2021.0</v>
      </c>
      <c r="I116" s="27" t="s">
        <v>660</v>
      </c>
      <c r="J116" s="27" t="s">
        <v>168</v>
      </c>
      <c r="K116" s="24" t="s">
        <v>679</v>
      </c>
      <c r="L116" s="20">
        <v>12.1839371970674</v>
      </c>
      <c r="M116" s="20">
        <f t="shared" si="23"/>
        <v>81.96666667</v>
      </c>
      <c r="N116" s="20">
        <f t="shared" si="24"/>
        <v>2.809507667</v>
      </c>
      <c r="O116" s="20">
        <v>12.2738906719289</v>
      </c>
      <c r="P116" s="13" t="s">
        <v>680</v>
      </c>
      <c r="Q116" s="13" t="s">
        <v>681</v>
      </c>
      <c r="R116" s="28"/>
      <c r="S116" s="29"/>
      <c r="T116" s="29"/>
      <c r="U116" s="29"/>
      <c r="V116" s="29"/>
    </row>
    <row r="117">
      <c r="A117" s="13" t="s">
        <v>682</v>
      </c>
      <c r="B117" s="13" t="s">
        <v>683</v>
      </c>
      <c r="C117" s="13" t="s">
        <v>684</v>
      </c>
      <c r="D117" s="14">
        <f t="shared" si="1"/>
        <v>-0.1976130681</v>
      </c>
      <c r="E117" s="26" t="s">
        <v>682</v>
      </c>
      <c r="F117" s="16">
        <f t="shared" si="2"/>
        <v>244.5947243</v>
      </c>
      <c r="G117" s="23">
        <v>2.091488100483705E12</v>
      </c>
      <c r="H117" s="27">
        <v>2020.0</v>
      </c>
      <c r="I117" s="27" t="s">
        <v>660</v>
      </c>
      <c r="J117" s="27" t="s">
        <v>679</v>
      </c>
      <c r="K117" s="24" t="s">
        <v>685</v>
      </c>
      <c r="L117" s="20">
        <v>12.2738906719289</v>
      </c>
      <c r="M117" s="20">
        <f t="shared" si="23"/>
        <v>77.53333333</v>
      </c>
      <c r="N117" s="20">
        <f t="shared" si="24"/>
        <v>5.276678248</v>
      </c>
      <c r="O117" s="20">
        <v>11.3076296512967</v>
      </c>
      <c r="P117" s="13" t="s">
        <v>686</v>
      </c>
      <c r="Q117" s="13" t="s">
        <v>687</v>
      </c>
      <c r="R117" s="28"/>
      <c r="S117" s="29"/>
      <c r="T117" s="29"/>
      <c r="U117" s="29"/>
      <c r="V117" s="29"/>
    </row>
    <row r="118">
      <c r="A118" s="13" t="s">
        <v>688</v>
      </c>
      <c r="B118" s="13" t="s">
        <v>689</v>
      </c>
      <c r="C118" s="13" t="s">
        <v>690</v>
      </c>
      <c r="D118" s="14">
        <f t="shared" si="1"/>
        <v>0.1555875142</v>
      </c>
      <c r="E118" s="26" t="s">
        <v>688</v>
      </c>
      <c r="F118" s="16">
        <f t="shared" si="2"/>
        <v>211.7672738</v>
      </c>
      <c r="G118" s="23">
        <v>1.6867491758069507E12</v>
      </c>
      <c r="H118" s="27">
        <v>2019.0</v>
      </c>
      <c r="I118" s="27" t="s">
        <v>660</v>
      </c>
      <c r="J118" s="27" t="s">
        <v>685</v>
      </c>
      <c r="K118" s="24" t="s">
        <v>132</v>
      </c>
      <c r="L118" s="20">
        <v>11.3076296512967</v>
      </c>
      <c r="M118" s="20">
        <f t="shared" si="23"/>
        <v>72.16666667</v>
      </c>
      <c r="N118" s="20">
        <f t="shared" si="24"/>
        <v>6.867556577</v>
      </c>
      <c r="O118" s="20">
        <v>11.3396223992414</v>
      </c>
      <c r="P118" s="13" t="s">
        <v>691</v>
      </c>
      <c r="Q118" s="13" t="s">
        <v>692</v>
      </c>
      <c r="R118" s="28"/>
      <c r="S118" s="29"/>
      <c r="T118" s="29"/>
      <c r="U118" s="29"/>
      <c r="V118" s="29"/>
    </row>
    <row r="119">
      <c r="A119" s="13" t="s">
        <v>693</v>
      </c>
      <c r="B119" s="13" t="s">
        <v>694</v>
      </c>
      <c r="C119" s="13" t="s">
        <v>695</v>
      </c>
      <c r="D119" s="14">
        <f t="shared" si="1"/>
        <v>0.968634821</v>
      </c>
      <c r="E119" s="26" t="s">
        <v>693</v>
      </c>
      <c r="F119" s="16">
        <f t="shared" si="2"/>
        <v>123.5905513</v>
      </c>
      <c r="G119" s="23">
        <v>9.25984949467425E11</v>
      </c>
      <c r="H119" s="27">
        <v>2018.0</v>
      </c>
      <c r="I119" s="27" t="s">
        <v>660</v>
      </c>
      <c r="J119" s="27" t="s">
        <v>132</v>
      </c>
      <c r="K119" s="24" t="s">
        <v>696</v>
      </c>
      <c r="L119" s="20">
        <v>11.3396223992414</v>
      </c>
      <c r="M119" s="20">
        <f t="shared" si="23"/>
        <v>63.76666667</v>
      </c>
      <c r="N119" s="20">
        <f t="shared" si="24"/>
        <v>8.892881048</v>
      </c>
      <c r="O119" s="20">
        <v>12.4741307475021</v>
      </c>
      <c r="P119" s="13" t="s">
        <v>697</v>
      </c>
      <c r="Q119" s="13" t="s">
        <v>698</v>
      </c>
      <c r="R119" s="28"/>
      <c r="S119" s="29"/>
      <c r="T119" s="29"/>
      <c r="U119" s="29"/>
      <c r="V119" s="29"/>
    </row>
    <row r="120">
      <c r="A120" s="13" t="s">
        <v>699</v>
      </c>
      <c r="B120" s="13" t="s">
        <v>700</v>
      </c>
      <c r="C120" s="13" t="s">
        <v>701</v>
      </c>
      <c r="D120" s="14">
        <f t="shared" si="1"/>
        <v>0.8983420169</v>
      </c>
      <c r="E120" s="26" t="s">
        <v>699</v>
      </c>
      <c r="F120" s="16">
        <f t="shared" si="2"/>
        <v>239.788326</v>
      </c>
      <c r="G120" s="23">
        <v>1.0943578704238639E12</v>
      </c>
      <c r="H120" s="27">
        <v>2017.0</v>
      </c>
      <c r="I120" s="27" t="s">
        <v>660</v>
      </c>
      <c r="J120" s="27" t="s">
        <v>696</v>
      </c>
      <c r="K120" s="24" t="s">
        <v>702</v>
      </c>
      <c r="L120" s="20">
        <v>12.4741307475021</v>
      </c>
      <c r="M120" s="20">
        <f t="shared" si="23"/>
        <v>57.06666667</v>
      </c>
      <c r="N120" s="20">
        <f t="shared" si="24"/>
        <v>7.503554713</v>
      </c>
      <c r="O120" s="20">
        <v>14.0523361024415</v>
      </c>
      <c r="P120" s="13" t="s">
        <v>703</v>
      </c>
      <c r="Q120" s="13" t="s">
        <v>704</v>
      </c>
      <c r="R120" s="28"/>
      <c r="S120" s="29"/>
      <c r="T120" s="29"/>
      <c r="U120" s="29"/>
      <c r="V120" s="29"/>
    </row>
    <row r="121">
      <c r="A121" s="13" t="s">
        <v>705</v>
      </c>
      <c r="B121" s="13" t="s">
        <v>706</v>
      </c>
      <c r="C121" s="13" t="s">
        <v>707</v>
      </c>
      <c r="D121" s="14">
        <f t="shared" si="1"/>
        <v>0.3277824817</v>
      </c>
      <c r="E121" s="26" t="s">
        <v>705</v>
      </c>
      <c r="F121" s="16">
        <f t="shared" si="2"/>
        <v>207.6369657</v>
      </c>
      <c r="G121" s="23">
        <v>6.369039797246693E11</v>
      </c>
      <c r="H121" s="27">
        <v>2016.0</v>
      </c>
      <c r="I121" s="27" t="s">
        <v>660</v>
      </c>
      <c r="J121" s="27" t="s">
        <v>702</v>
      </c>
      <c r="K121" s="24" t="s">
        <v>203</v>
      </c>
      <c r="L121" s="20">
        <v>14.0523361024415</v>
      </c>
      <c r="M121" s="20">
        <f t="shared" si="23"/>
        <v>51.43333333</v>
      </c>
      <c r="N121" s="20">
        <f t="shared" si="24"/>
        <v>2.700617213</v>
      </c>
      <c r="O121" s="20">
        <v>19.6496007142997</v>
      </c>
      <c r="P121" s="13" t="s">
        <v>708</v>
      </c>
      <c r="Q121" s="13" t="s">
        <v>709</v>
      </c>
      <c r="R121" s="28"/>
      <c r="S121" s="29"/>
      <c r="T121" s="29"/>
      <c r="U121" s="29"/>
      <c r="V121" s="29"/>
    </row>
    <row r="122">
      <c r="A122" s="13" t="s">
        <v>710</v>
      </c>
      <c r="B122" s="13" t="s">
        <v>711</v>
      </c>
      <c r="C122" s="13" t="s">
        <v>712</v>
      </c>
      <c r="D122" s="14">
        <f t="shared" si="1"/>
        <v>0.03454045414</v>
      </c>
      <c r="E122" s="26" t="s">
        <v>710</v>
      </c>
      <c r="F122" s="16">
        <f t="shared" si="2"/>
        <v>127.3870657</v>
      </c>
      <c r="G122" s="23">
        <v>2.478764569827348E11</v>
      </c>
      <c r="H122" s="27">
        <v>2015.0</v>
      </c>
      <c r="I122" s="27" t="s">
        <v>660</v>
      </c>
      <c r="J122" s="27" t="s">
        <v>203</v>
      </c>
      <c r="K122" s="24">
        <v>44.0</v>
      </c>
      <c r="L122" s="20">
        <v>19.6496007142997</v>
      </c>
      <c r="M122" s="20">
        <f t="shared" si="23"/>
        <v>48.06666667</v>
      </c>
      <c r="N122" s="20">
        <f t="shared" si="24"/>
        <v>3.789898855</v>
      </c>
      <c r="O122" s="20">
        <v>28.846600976154</v>
      </c>
      <c r="P122" s="13" t="s">
        <v>713</v>
      </c>
      <c r="Q122" s="13" t="s">
        <v>714</v>
      </c>
      <c r="R122" s="28"/>
      <c r="S122" s="29"/>
      <c r="T122" s="29"/>
      <c r="U122" s="29"/>
      <c r="V122" s="29"/>
    </row>
    <row r="123">
      <c r="A123" s="13" t="s">
        <v>715</v>
      </c>
      <c r="B123" s="13" t="s">
        <v>716</v>
      </c>
      <c r="C123" s="13" t="s">
        <v>717</v>
      </c>
      <c r="D123" s="14">
        <f t="shared" si="1"/>
        <v>-0.9587380608</v>
      </c>
      <c r="E123" s="26" t="s">
        <v>715</v>
      </c>
      <c r="F123" s="16">
        <f t="shared" si="2"/>
        <v>79.26246702</v>
      </c>
      <c r="G123" s="23">
        <v>1.120482195791904E11</v>
      </c>
      <c r="H123" s="27">
        <v>2014.0</v>
      </c>
      <c r="I123" s="27" t="s">
        <v>660</v>
      </c>
      <c r="J123" s="27">
        <v>44.0</v>
      </c>
      <c r="K123" s="21"/>
      <c r="L123" s="20">
        <v>28.846600976154</v>
      </c>
      <c r="M123" s="20"/>
      <c r="N123" s="20"/>
      <c r="O123" s="22"/>
      <c r="P123" s="13" t="s">
        <v>718</v>
      </c>
      <c r="Q123" s="13" t="s">
        <v>719</v>
      </c>
      <c r="R123" s="28"/>
      <c r="S123" s="29"/>
      <c r="T123" s="29"/>
      <c r="U123" s="29"/>
      <c r="V123" s="29"/>
    </row>
    <row r="124">
      <c r="A124" s="13" t="s">
        <v>720</v>
      </c>
      <c r="B124" s="13" t="s">
        <v>721</v>
      </c>
      <c r="C124" s="13" t="s">
        <v>722</v>
      </c>
      <c r="D124" s="14">
        <f t="shared" si="1"/>
        <v>0.1414104472</v>
      </c>
      <c r="E124" s="30" t="s">
        <v>720</v>
      </c>
      <c r="F124" s="16">
        <f t="shared" si="2"/>
        <v>1825.865737</v>
      </c>
      <c r="G124" s="23">
        <v>3.1413053617568E13</v>
      </c>
      <c r="H124" s="27">
        <v>2024.0</v>
      </c>
      <c r="I124" s="31" t="s">
        <v>723</v>
      </c>
      <c r="J124" s="32">
        <v>87.31</v>
      </c>
      <c r="K124" s="32">
        <v>84.85</v>
      </c>
      <c r="L124" s="20">
        <v>23.6602096848236</v>
      </c>
      <c r="M124" s="20"/>
      <c r="N124" s="20"/>
      <c r="O124" s="20">
        <v>21.6148974043115</v>
      </c>
      <c r="P124" s="13" t="s">
        <v>724</v>
      </c>
      <c r="Q124" s="13" t="s">
        <v>725</v>
      </c>
      <c r="R124" s="6"/>
      <c r="S124" s="6"/>
      <c r="T124" s="6"/>
      <c r="U124" s="6"/>
      <c r="V124" s="6"/>
    </row>
    <row r="125">
      <c r="A125" s="13" t="s">
        <v>726</v>
      </c>
      <c r="B125" s="13" t="s">
        <v>727</v>
      </c>
      <c r="C125" s="13" t="s">
        <v>728</v>
      </c>
      <c r="D125" s="14">
        <f t="shared" si="1"/>
        <v>-0.02183006966</v>
      </c>
      <c r="E125" s="30" t="s">
        <v>726</v>
      </c>
      <c r="F125" s="16">
        <f t="shared" si="2"/>
        <v>1406.237445</v>
      </c>
      <c r="G125" s="23">
        <v>2.0283950949871E13</v>
      </c>
      <c r="H125" s="27">
        <v>2023.0</v>
      </c>
      <c r="I125" s="31" t="s">
        <v>723</v>
      </c>
      <c r="J125" s="32">
        <v>84.85</v>
      </c>
      <c r="K125" s="32">
        <v>80.1</v>
      </c>
      <c r="L125" s="20">
        <v>21.6148974043115</v>
      </c>
      <c r="M125" s="20">
        <f t="shared" ref="M125:M133" si="25">(J124+J125+J126)/3</f>
        <v>84.08666667</v>
      </c>
      <c r="N125" s="20">
        <f t="shared" ref="N125:N144" si="26">sqrt((((J124-M125)^2)+((J125-M125)^2)+((J126-M125)^2))/2)</f>
        <v>3.665110276</v>
      </c>
      <c r="O125" s="20">
        <v>18.1756591237636</v>
      </c>
      <c r="P125" s="13" t="s">
        <v>729</v>
      </c>
      <c r="Q125" s="13" t="s">
        <v>730</v>
      </c>
      <c r="R125" s="6"/>
      <c r="S125" s="6"/>
      <c r="T125" s="6"/>
      <c r="U125" s="6"/>
      <c r="V125" s="6"/>
    </row>
    <row r="126">
      <c r="A126" s="13" t="s">
        <v>731</v>
      </c>
      <c r="B126" s="13" t="s">
        <v>732</v>
      </c>
      <c r="C126" s="13" t="s">
        <v>733</v>
      </c>
      <c r="D126" s="14">
        <f t="shared" si="1"/>
        <v>0.7330717454</v>
      </c>
      <c r="E126" s="30" t="s">
        <v>731</v>
      </c>
      <c r="F126" s="16">
        <f t="shared" si="2"/>
        <v>1433.090116</v>
      </c>
      <c r="G126" s="23">
        <v>1.9108408482841E13</v>
      </c>
      <c r="H126" s="27">
        <v>2022.0</v>
      </c>
      <c r="I126" s="31" t="s">
        <v>723</v>
      </c>
      <c r="J126" s="32">
        <v>80.1</v>
      </c>
      <c r="K126" s="32">
        <v>75.6</v>
      </c>
      <c r="L126" s="20">
        <v>18.1756591237636</v>
      </c>
      <c r="M126" s="20">
        <f t="shared" si="25"/>
        <v>80.18333333</v>
      </c>
      <c r="N126" s="20">
        <f t="shared" si="26"/>
        <v>4.625563029</v>
      </c>
      <c r="O126" s="20">
        <v>12.1839371970674</v>
      </c>
      <c r="P126" s="13" t="s">
        <v>734</v>
      </c>
      <c r="Q126" s="13" t="s">
        <v>735</v>
      </c>
      <c r="R126" s="6"/>
      <c r="S126" s="6"/>
      <c r="T126" s="6"/>
      <c r="U126" s="6"/>
      <c r="V126" s="6"/>
    </row>
    <row r="127">
      <c r="A127" s="13" t="s">
        <v>736</v>
      </c>
      <c r="B127" s="13" t="s">
        <v>737</v>
      </c>
      <c r="C127" s="13" t="s">
        <v>738</v>
      </c>
      <c r="D127" s="14">
        <f t="shared" si="1"/>
        <v>0.1162865794</v>
      </c>
      <c r="E127" s="30" t="s">
        <v>736</v>
      </c>
      <c r="F127" s="16">
        <f t="shared" si="2"/>
        <v>1417.980906</v>
      </c>
      <c r="G127" s="23">
        <v>1.5052956316387E13</v>
      </c>
      <c r="H127" s="27">
        <v>2021.0</v>
      </c>
      <c r="I127" s="31" t="s">
        <v>723</v>
      </c>
      <c r="J127" s="32">
        <v>75.6</v>
      </c>
      <c r="K127" s="32">
        <v>70.55</v>
      </c>
      <c r="L127" s="20">
        <v>12.1839371970674</v>
      </c>
      <c r="M127" s="20">
        <f t="shared" si="25"/>
        <v>75.41666667</v>
      </c>
      <c r="N127" s="20">
        <f t="shared" si="26"/>
        <v>4.777638887</v>
      </c>
      <c r="O127" s="20">
        <v>12.2738906719289</v>
      </c>
      <c r="P127" s="13" t="s">
        <v>739</v>
      </c>
      <c r="Q127" s="13" t="s">
        <v>740</v>
      </c>
      <c r="R127" s="6"/>
      <c r="S127" s="6"/>
      <c r="T127" s="6"/>
      <c r="U127" s="6"/>
      <c r="V127" s="6"/>
    </row>
    <row r="128">
      <c r="A128" s="13" t="s">
        <v>741</v>
      </c>
      <c r="B128" s="13" t="s">
        <v>742</v>
      </c>
      <c r="C128" s="13" t="s">
        <v>743</v>
      </c>
      <c r="D128" s="14">
        <f t="shared" si="1"/>
        <v>0.03000512553</v>
      </c>
      <c r="E128" s="30" t="s">
        <v>741</v>
      </c>
      <c r="F128" s="16">
        <f t="shared" si="2"/>
        <v>1455.995979</v>
      </c>
      <c r="G128" s="23">
        <v>1.2348185322792E13</v>
      </c>
      <c r="H128" s="27">
        <v>2020.0</v>
      </c>
      <c r="I128" s="31" t="s">
        <v>723</v>
      </c>
      <c r="J128" s="32">
        <v>70.55</v>
      </c>
      <c r="K128" s="32">
        <v>64.775</v>
      </c>
      <c r="L128" s="20">
        <v>12.2738906719289</v>
      </c>
      <c r="M128" s="20">
        <f t="shared" si="25"/>
        <v>70.30833333</v>
      </c>
      <c r="N128" s="20">
        <f t="shared" si="26"/>
        <v>5.41654487</v>
      </c>
      <c r="O128" s="20">
        <v>11.3076296512967</v>
      </c>
      <c r="P128" s="13" t="s">
        <v>744</v>
      </c>
      <c r="Q128" s="13" t="s">
        <v>745</v>
      </c>
      <c r="R128" s="6"/>
      <c r="S128" s="6"/>
      <c r="T128" s="6"/>
      <c r="U128" s="6"/>
      <c r="V128" s="6"/>
    </row>
    <row r="129">
      <c r="A129" s="13" t="s">
        <v>746</v>
      </c>
      <c r="B129" s="13" t="s">
        <v>747</v>
      </c>
      <c r="C129" s="13" t="s">
        <v>748</v>
      </c>
      <c r="D129" s="14">
        <f t="shared" si="1"/>
        <v>0.1667368542</v>
      </c>
      <c r="E129" s="30" t="s">
        <v>746</v>
      </c>
      <c r="F129" s="16">
        <f t="shared" si="2"/>
        <v>1097.581566</v>
      </c>
      <c r="G129" s="23">
        <v>9.438429465011E12</v>
      </c>
      <c r="H129" s="27">
        <v>2019.0</v>
      </c>
      <c r="I129" s="31" t="s">
        <v>723</v>
      </c>
      <c r="J129" s="32">
        <v>64.775</v>
      </c>
      <c r="K129" s="32">
        <v>56.475</v>
      </c>
      <c r="L129" s="20">
        <v>11.3076296512967</v>
      </c>
      <c r="M129" s="20">
        <f t="shared" si="25"/>
        <v>63.93333333</v>
      </c>
      <c r="N129" s="20">
        <f t="shared" si="26"/>
        <v>7.075147231</v>
      </c>
      <c r="O129" s="20">
        <v>11.3396223992414</v>
      </c>
      <c r="P129" s="13" t="s">
        <v>749</v>
      </c>
      <c r="Q129" s="13" t="s">
        <v>750</v>
      </c>
      <c r="R129" s="6"/>
      <c r="S129" s="6"/>
      <c r="T129" s="6"/>
      <c r="U129" s="6"/>
      <c r="V129" s="6"/>
    </row>
    <row r="130">
      <c r="A130" s="13" t="s">
        <v>751</v>
      </c>
      <c r="B130" s="13" t="s">
        <v>752</v>
      </c>
      <c r="C130" s="13" t="s">
        <v>753</v>
      </c>
      <c r="D130" s="14">
        <f t="shared" si="1"/>
        <v>0.3274439523</v>
      </c>
      <c r="E130" s="30" t="s">
        <v>751</v>
      </c>
      <c r="F130" s="16">
        <f t="shared" si="2"/>
        <v>762.3274247</v>
      </c>
      <c r="G130" s="23">
        <v>4.905091518116E12</v>
      </c>
      <c r="H130" s="27">
        <v>2018.0</v>
      </c>
      <c r="I130" s="31" t="s">
        <v>723</v>
      </c>
      <c r="J130" s="32">
        <v>56.475</v>
      </c>
      <c r="K130" s="32">
        <v>50.225</v>
      </c>
      <c r="L130" s="20">
        <v>11.3396223992414</v>
      </c>
      <c r="M130" s="20">
        <f t="shared" si="25"/>
        <v>57.15833333</v>
      </c>
      <c r="N130" s="20">
        <f t="shared" si="26"/>
        <v>7.299029616</v>
      </c>
      <c r="O130" s="20">
        <v>12.4741307475021</v>
      </c>
      <c r="P130" s="13" t="s">
        <v>754</v>
      </c>
      <c r="Q130" s="13" t="s">
        <v>755</v>
      </c>
      <c r="R130" s="6"/>
      <c r="S130" s="6"/>
      <c r="T130" s="6"/>
      <c r="U130" s="6"/>
      <c r="V130" s="6"/>
    </row>
    <row r="131">
      <c r="A131" s="13" t="s">
        <v>756</v>
      </c>
      <c r="B131" s="13" t="s">
        <v>757</v>
      </c>
      <c r="C131" s="13" t="s">
        <v>758</v>
      </c>
      <c r="D131" s="14">
        <f t="shared" si="1"/>
        <v>0.2816534431</v>
      </c>
      <c r="E131" s="30" t="s">
        <v>756</v>
      </c>
      <c r="F131" s="16">
        <f t="shared" si="2"/>
        <v>936.8884987</v>
      </c>
      <c r="G131" s="23">
        <v>4.28125584228E12</v>
      </c>
      <c r="H131" s="27">
        <v>2017.0</v>
      </c>
      <c r="I131" s="31" t="s">
        <v>723</v>
      </c>
      <c r="J131" s="32">
        <v>50.225</v>
      </c>
      <c r="K131" s="32">
        <v>42.9</v>
      </c>
      <c r="L131" s="20">
        <v>12.4741307475021</v>
      </c>
      <c r="M131" s="20">
        <f t="shared" si="25"/>
        <v>49.86666667</v>
      </c>
      <c r="N131" s="20">
        <f t="shared" si="26"/>
        <v>6.794590373</v>
      </c>
      <c r="O131" s="20">
        <v>14.0523361024415</v>
      </c>
      <c r="P131" s="13" t="s">
        <v>759</v>
      </c>
      <c r="Q131" s="13" t="s">
        <v>760</v>
      </c>
      <c r="R131" s="6"/>
      <c r="S131" s="6"/>
      <c r="T131" s="6"/>
      <c r="U131" s="6"/>
      <c r="V131" s="6"/>
    </row>
    <row r="132">
      <c r="A132" s="13" t="s">
        <v>761</v>
      </c>
      <c r="B132" s="13" t="s">
        <v>762</v>
      </c>
      <c r="C132" s="13" t="s">
        <v>763</v>
      </c>
      <c r="D132" s="14">
        <f t="shared" si="1"/>
        <v>0.1114133612</v>
      </c>
      <c r="E132" s="30" t="s">
        <v>761</v>
      </c>
      <c r="F132" s="16">
        <f t="shared" si="2"/>
        <v>565.7842625</v>
      </c>
      <c r="G132" s="23">
        <v>2.027938867468E12</v>
      </c>
      <c r="H132" s="27">
        <v>2016.0</v>
      </c>
      <c r="I132" s="31" t="s">
        <v>723</v>
      </c>
      <c r="J132" s="32">
        <v>42.9</v>
      </c>
      <c r="K132" s="32">
        <v>40.525</v>
      </c>
      <c r="L132" s="20">
        <v>14.0523361024415</v>
      </c>
      <c r="M132" s="20">
        <f t="shared" si="25"/>
        <v>44.55</v>
      </c>
      <c r="N132" s="20">
        <f t="shared" si="26"/>
        <v>5.056122526</v>
      </c>
      <c r="O132" s="20">
        <v>19.6496007142997</v>
      </c>
      <c r="P132" s="13" t="s">
        <v>764</v>
      </c>
      <c r="Q132" s="13" t="s">
        <v>765</v>
      </c>
      <c r="R132" s="6"/>
      <c r="S132" s="6"/>
      <c r="T132" s="6"/>
      <c r="U132" s="6"/>
      <c r="V132" s="6"/>
    </row>
    <row r="133">
      <c r="A133" s="13" t="s">
        <v>766</v>
      </c>
      <c r="B133" s="13" t="s">
        <v>767</v>
      </c>
      <c r="C133" s="13" t="s">
        <v>768</v>
      </c>
      <c r="D133" s="14">
        <f t="shared" si="1"/>
        <v>-0.1623162834</v>
      </c>
      <c r="E133" s="30" t="s">
        <v>766</v>
      </c>
      <c r="F133" s="16">
        <f t="shared" si="2"/>
        <v>328.7426666</v>
      </c>
      <c r="G133" s="23">
        <v>9.76641844384E11</v>
      </c>
      <c r="H133" s="27">
        <v>2015.0</v>
      </c>
      <c r="I133" s="31" t="s">
        <v>723</v>
      </c>
      <c r="J133" s="32">
        <v>40.525</v>
      </c>
      <c r="K133" s="22">
        <v>38.25</v>
      </c>
      <c r="L133" s="20">
        <v>19.6496007142997</v>
      </c>
      <c r="M133" s="20">
        <f t="shared" si="25"/>
        <v>40.55833333</v>
      </c>
      <c r="N133" s="20">
        <f t="shared" si="26"/>
        <v>2.325179205</v>
      </c>
      <c r="O133" s="20">
        <v>28.846600976154</v>
      </c>
      <c r="P133" s="13" t="s">
        <v>769</v>
      </c>
      <c r="Q133" s="13" t="s">
        <v>770</v>
      </c>
      <c r="R133" s="6"/>
      <c r="S133" s="6"/>
      <c r="T133" s="6"/>
      <c r="U133" s="6"/>
      <c r="V133" s="6"/>
    </row>
    <row r="134">
      <c r="A134" s="13" t="s">
        <v>771</v>
      </c>
      <c r="B134" s="13" t="s">
        <v>772</v>
      </c>
      <c r="C134" s="13" t="s">
        <v>773</v>
      </c>
      <c r="D134" s="14">
        <f t="shared" si="1"/>
        <v>-0.8783628558</v>
      </c>
      <c r="E134" s="30" t="s">
        <v>771</v>
      </c>
      <c r="F134" s="16">
        <f t="shared" si="2"/>
        <v>243.2831042</v>
      </c>
      <c r="G134" s="23">
        <v>6.86635989926E11</v>
      </c>
      <c r="H134" s="27">
        <v>2014.0</v>
      </c>
      <c r="I134" s="31" t="s">
        <v>723</v>
      </c>
      <c r="J134" s="33">
        <v>38.25</v>
      </c>
      <c r="K134" s="20"/>
      <c r="L134" s="20">
        <v>28.846600976154</v>
      </c>
      <c r="M134" s="20"/>
      <c r="N134" s="20">
        <f t="shared" si="26"/>
        <v>77.20928741</v>
      </c>
      <c r="O134" s="32"/>
      <c r="P134" s="13" t="s">
        <v>774</v>
      </c>
      <c r="Q134" s="13" t="s">
        <v>775</v>
      </c>
      <c r="R134" s="6"/>
      <c r="S134" s="6"/>
      <c r="T134" s="6"/>
      <c r="U134" s="6"/>
      <c r="V134" s="6"/>
    </row>
    <row r="135">
      <c r="A135" s="13" t="s">
        <v>776</v>
      </c>
      <c r="B135" s="13" t="s">
        <v>777</v>
      </c>
      <c r="C135" s="13" t="s">
        <v>778</v>
      </c>
      <c r="D135" s="14">
        <f t="shared" si="1"/>
        <v>0.07137588991</v>
      </c>
      <c r="E135" s="15" t="s">
        <v>776</v>
      </c>
      <c r="F135" s="16">
        <f t="shared" si="2"/>
        <v>77.62709649</v>
      </c>
      <c r="G135" s="34">
        <v>2.1169637489376894E14</v>
      </c>
      <c r="H135" s="35" t="s">
        <v>779</v>
      </c>
      <c r="I135" s="36" t="s">
        <v>780</v>
      </c>
      <c r="J135" s="27" t="s">
        <v>781</v>
      </c>
      <c r="K135" s="27" t="s">
        <v>294</v>
      </c>
      <c r="L135" s="20">
        <v>23.6602096848236</v>
      </c>
      <c r="M135" s="20"/>
      <c r="N135" s="20">
        <f t="shared" si="26"/>
        <v>96.90488249</v>
      </c>
      <c r="O135" s="20">
        <v>21.6148974043115</v>
      </c>
      <c r="P135" s="13" t="s">
        <v>782</v>
      </c>
      <c r="Q135" s="13" t="s">
        <v>783</v>
      </c>
      <c r="R135" s="6"/>
      <c r="S135" s="6"/>
      <c r="T135" s="6"/>
      <c r="U135" s="6"/>
      <c r="V135" s="6"/>
    </row>
    <row r="136">
      <c r="A136" s="13" t="s">
        <v>784</v>
      </c>
      <c r="B136" s="13" t="s">
        <v>785</v>
      </c>
      <c r="C136" s="13" t="s">
        <v>786</v>
      </c>
      <c r="D136" s="14">
        <f t="shared" si="1"/>
        <v>0.08464473554</v>
      </c>
      <c r="E136" s="15" t="s">
        <v>784</v>
      </c>
      <c r="F136" s="16">
        <f t="shared" si="2"/>
        <v>78.93528336</v>
      </c>
      <c r="G136" s="34">
        <v>1.794417231800944E14</v>
      </c>
      <c r="H136" s="35" t="s">
        <v>787</v>
      </c>
      <c r="I136" s="36" t="s">
        <v>780</v>
      </c>
      <c r="J136" s="27" t="s">
        <v>294</v>
      </c>
      <c r="K136" s="27" t="s">
        <v>788</v>
      </c>
      <c r="L136" s="20">
        <v>21.6148974043115</v>
      </c>
      <c r="M136" s="20">
        <f t="shared" ref="M136:M144" si="27">(J135+J136+J137)/3</f>
        <v>91.8</v>
      </c>
      <c r="N136" s="20">
        <f t="shared" si="26"/>
        <v>2.32594067</v>
      </c>
      <c r="O136" s="20">
        <v>18.1756591237636</v>
      </c>
      <c r="P136" s="13" t="s">
        <v>789</v>
      </c>
      <c r="Q136" s="13" t="s">
        <v>790</v>
      </c>
      <c r="R136" s="6"/>
      <c r="S136" s="6"/>
      <c r="T136" s="6"/>
      <c r="U136" s="6"/>
      <c r="V136" s="6"/>
    </row>
    <row r="137">
      <c r="A137" s="13" t="s">
        <v>791</v>
      </c>
      <c r="B137" s="13" t="s">
        <v>792</v>
      </c>
      <c r="C137" s="13" t="s">
        <v>793</v>
      </c>
      <c r="D137" s="14">
        <f t="shared" si="1"/>
        <v>0.1595254298</v>
      </c>
      <c r="E137" s="15" t="s">
        <v>791</v>
      </c>
      <c r="F137" s="16">
        <f t="shared" si="2"/>
        <v>67.73524163</v>
      </c>
      <c r="G137" s="34">
        <v>1.416235696379128E14</v>
      </c>
      <c r="H137" s="35" t="s">
        <v>794</v>
      </c>
      <c r="I137" s="36" t="s">
        <v>780</v>
      </c>
      <c r="J137" s="27" t="s">
        <v>788</v>
      </c>
      <c r="K137" s="27" t="s">
        <v>357</v>
      </c>
      <c r="L137" s="20">
        <v>18.1756591237636</v>
      </c>
      <c r="M137" s="20">
        <f t="shared" si="27"/>
        <v>89.66666667</v>
      </c>
      <c r="N137" s="20">
        <f t="shared" si="26"/>
        <v>2.371356855</v>
      </c>
      <c r="O137" s="20">
        <v>12.1839371970674</v>
      </c>
      <c r="P137" s="13" t="s">
        <v>795</v>
      </c>
      <c r="Q137" s="13" t="s">
        <v>796</v>
      </c>
      <c r="R137" s="6"/>
      <c r="S137" s="6"/>
      <c r="T137" s="6"/>
      <c r="U137" s="6"/>
      <c r="V137" s="6"/>
    </row>
    <row r="138">
      <c r="A138" s="13" t="s">
        <v>797</v>
      </c>
      <c r="B138" s="13" t="s">
        <v>798</v>
      </c>
      <c r="C138" s="13" t="s">
        <v>799</v>
      </c>
      <c r="D138" s="14">
        <f t="shared" si="1"/>
        <v>0.2531151549</v>
      </c>
      <c r="E138" s="15" t="s">
        <v>797</v>
      </c>
      <c r="F138" s="16">
        <f t="shared" si="2"/>
        <v>62.38536935</v>
      </c>
      <c r="G138" s="34">
        <v>1.0822867590508173E14</v>
      </c>
      <c r="H138" s="35" t="s">
        <v>800</v>
      </c>
      <c r="I138" s="36" t="s">
        <v>780</v>
      </c>
      <c r="J138" s="27" t="s">
        <v>357</v>
      </c>
      <c r="K138" s="27" t="s">
        <v>801</v>
      </c>
      <c r="L138" s="20">
        <v>12.1839371970674</v>
      </c>
      <c r="M138" s="20">
        <f t="shared" si="27"/>
        <v>87.53333333</v>
      </c>
      <c r="N138" s="20">
        <f t="shared" si="26"/>
        <v>1.750238079</v>
      </c>
      <c r="O138" s="20">
        <v>12.2738906719289</v>
      </c>
      <c r="P138" s="13" t="s">
        <v>802</v>
      </c>
      <c r="Q138" s="13" t="s">
        <v>803</v>
      </c>
      <c r="R138" s="6"/>
      <c r="S138" s="6"/>
      <c r="T138" s="6"/>
      <c r="U138" s="6"/>
      <c r="V138" s="6"/>
    </row>
    <row r="139">
      <c r="A139" s="13" t="s">
        <v>804</v>
      </c>
      <c r="B139" s="13" t="s">
        <v>805</v>
      </c>
      <c r="C139" s="13" t="s">
        <v>806</v>
      </c>
      <c r="D139" s="14">
        <f t="shared" si="1"/>
        <v>0.05276054404</v>
      </c>
      <c r="E139" s="15" t="s">
        <v>804</v>
      </c>
      <c r="F139" s="16">
        <f t="shared" si="2"/>
        <v>73.86310189</v>
      </c>
      <c r="G139" s="34">
        <v>1.1059007217654625E14</v>
      </c>
      <c r="H139" s="35" t="s">
        <v>807</v>
      </c>
      <c r="I139" s="36" t="s">
        <v>780</v>
      </c>
      <c r="J139" s="27" t="s">
        <v>801</v>
      </c>
      <c r="K139" s="27">
        <v>82.0</v>
      </c>
      <c r="L139" s="20">
        <v>12.2738906719289</v>
      </c>
      <c r="M139" s="20">
        <f t="shared" si="27"/>
        <v>85.1</v>
      </c>
      <c r="N139" s="20">
        <f t="shared" si="26"/>
        <v>2.816025568</v>
      </c>
      <c r="O139" s="20">
        <v>11.3076296512967</v>
      </c>
      <c r="P139" s="13" t="s">
        <v>808</v>
      </c>
      <c r="Q139" s="13" t="s">
        <v>809</v>
      </c>
      <c r="R139" s="6"/>
      <c r="S139" s="6"/>
      <c r="T139" s="6"/>
      <c r="U139" s="6"/>
      <c r="V139" s="6"/>
    </row>
    <row r="140">
      <c r="A140" s="13" t="s">
        <v>810</v>
      </c>
      <c r="B140" s="13" t="s">
        <v>811</v>
      </c>
      <c r="C140" s="13" t="s">
        <v>812</v>
      </c>
      <c r="D140" s="14">
        <f t="shared" si="1"/>
        <v>0.05845526404</v>
      </c>
      <c r="E140" s="15" t="s">
        <v>810</v>
      </c>
      <c r="F140" s="16">
        <f t="shared" si="2"/>
        <v>60.72101303</v>
      </c>
      <c r="G140" s="34">
        <v>8.905941189436306E13</v>
      </c>
      <c r="H140" s="37" t="s">
        <v>813</v>
      </c>
      <c r="I140" s="36" t="s">
        <v>780</v>
      </c>
      <c r="J140" s="27">
        <v>82.0</v>
      </c>
      <c r="K140" s="27" t="s">
        <v>814</v>
      </c>
      <c r="L140" s="20">
        <v>11.3076296512967</v>
      </c>
      <c r="M140" s="20">
        <f t="shared" si="27"/>
        <v>80.8</v>
      </c>
      <c r="N140" s="20">
        <f t="shared" si="26"/>
        <v>5.695612346</v>
      </c>
      <c r="O140" s="20">
        <v>11.3396223992414</v>
      </c>
      <c r="P140" s="13" t="s">
        <v>815</v>
      </c>
      <c r="Q140" s="13" t="s">
        <v>816</v>
      </c>
      <c r="R140" s="6"/>
      <c r="S140" s="6"/>
      <c r="T140" s="6"/>
      <c r="U140" s="6"/>
      <c r="V140" s="6"/>
    </row>
    <row r="141">
      <c r="A141" s="13" t="s">
        <v>817</v>
      </c>
      <c r="B141" s="13" t="s">
        <v>818</v>
      </c>
      <c r="C141" s="13" t="s">
        <v>819</v>
      </c>
      <c r="D141" s="14">
        <f t="shared" si="1"/>
        <v>0.1354078286</v>
      </c>
      <c r="E141" s="15" t="s">
        <v>817</v>
      </c>
      <c r="F141" s="16">
        <f t="shared" si="2"/>
        <v>49.85942168</v>
      </c>
      <c r="G141" s="34">
        <v>6.420037532053634E13</v>
      </c>
      <c r="H141" s="35" t="s">
        <v>820</v>
      </c>
      <c r="I141" s="36" t="s">
        <v>780</v>
      </c>
      <c r="J141" s="27" t="s">
        <v>814</v>
      </c>
      <c r="K141" s="27" t="s">
        <v>821</v>
      </c>
      <c r="L141" s="20">
        <v>11.3396223992414</v>
      </c>
      <c r="M141" s="20">
        <f t="shared" si="27"/>
        <v>75.7</v>
      </c>
      <c r="N141" s="20">
        <f t="shared" si="26"/>
        <v>5.828378848</v>
      </c>
      <c r="O141" s="20">
        <v>12.4741307475021</v>
      </c>
      <c r="P141" s="13" t="s">
        <v>822</v>
      </c>
      <c r="Q141" s="13" t="s">
        <v>823</v>
      </c>
      <c r="R141" s="6"/>
      <c r="S141" s="6"/>
      <c r="T141" s="6"/>
      <c r="U141" s="6"/>
      <c r="V141" s="6"/>
    </row>
    <row r="142">
      <c r="A142" s="13" t="s">
        <v>824</v>
      </c>
      <c r="B142" s="13" t="s">
        <v>825</v>
      </c>
      <c r="C142" s="13" t="s">
        <v>826</v>
      </c>
      <c r="D142" s="14">
        <f t="shared" si="1"/>
        <v>0.2966907601</v>
      </c>
      <c r="E142" s="15" t="s">
        <v>824</v>
      </c>
      <c r="F142" s="16">
        <f t="shared" si="2"/>
        <v>40.54270929</v>
      </c>
      <c r="G142" s="34">
        <v>4.759039449632751E13</v>
      </c>
      <c r="H142" s="35" t="s">
        <v>827</v>
      </c>
      <c r="I142" s="36" t="s">
        <v>780</v>
      </c>
      <c r="J142" s="27" t="s">
        <v>821</v>
      </c>
      <c r="K142" s="27" t="s">
        <v>828</v>
      </c>
      <c r="L142" s="20">
        <v>12.4741307475021</v>
      </c>
      <c r="M142" s="20">
        <f t="shared" si="27"/>
        <v>70.5</v>
      </c>
      <c r="N142" s="20">
        <f t="shared" si="26"/>
        <v>4.1</v>
      </c>
      <c r="O142" s="20">
        <v>14.0523361024415</v>
      </c>
      <c r="P142" s="13" t="s">
        <v>829</v>
      </c>
      <c r="Q142" s="13" t="s">
        <v>830</v>
      </c>
      <c r="R142" s="6"/>
      <c r="S142" s="6"/>
      <c r="T142" s="6"/>
      <c r="U142" s="6"/>
      <c r="V142" s="6"/>
    </row>
    <row r="143">
      <c r="A143" s="13" t="s">
        <v>831</v>
      </c>
      <c r="B143" s="13" t="s">
        <v>832</v>
      </c>
      <c r="C143" s="13" t="s">
        <v>833</v>
      </c>
      <c r="D143" s="14">
        <f t="shared" si="1"/>
        <v>0.2470185709</v>
      </c>
      <c r="E143" s="15" t="s">
        <v>831</v>
      </c>
      <c r="F143" s="16">
        <f t="shared" si="2"/>
        <v>26.47383818</v>
      </c>
      <c r="G143" s="34">
        <v>2.568049240579561E13</v>
      </c>
      <c r="H143" s="35" t="s">
        <v>834</v>
      </c>
      <c r="I143" s="36" t="s">
        <v>780</v>
      </c>
      <c r="J143" s="27" t="s">
        <v>828</v>
      </c>
      <c r="K143" s="27">
        <v>65.0</v>
      </c>
      <c r="L143" s="20">
        <v>14.0523361024415</v>
      </c>
      <c r="M143" s="20">
        <f t="shared" si="27"/>
        <v>67.3</v>
      </c>
      <c r="N143" s="20">
        <f t="shared" si="26"/>
        <v>2.858321186</v>
      </c>
      <c r="O143" s="20">
        <v>19.6496007142997</v>
      </c>
      <c r="P143" s="13" t="s">
        <v>835</v>
      </c>
      <c r="Q143" s="13" t="s">
        <v>836</v>
      </c>
      <c r="R143" s="6"/>
      <c r="S143" s="6"/>
      <c r="T143" s="6"/>
      <c r="U143" s="6"/>
      <c r="V143" s="6"/>
    </row>
    <row r="144">
      <c r="A144" s="13" t="s">
        <v>837</v>
      </c>
      <c r="B144" s="13" t="s">
        <v>838</v>
      </c>
      <c r="C144" s="13" t="s">
        <v>839</v>
      </c>
      <c r="D144" s="14">
        <f t="shared" si="1"/>
        <v>0.09792200092</v>
      </c>
      <c r="E144" s="15" t="s">
        <v>837</v>
      </c>
      <c r="F144" s="16">
        <f t="shared" si="2"/>
        <v>35.14586363</v>
      </c>
      <c r="G144" s="34">
        <v>2.908918528516733E13</v>
      </c>
      <c r="H144" s="35" t="s">
        <v>840</v>
      </c>
      <c r="I144" s="36" t="s">
        <v>780</v>
      </c>
      <c r="J144" s="27">
        <v>65.0</v>
      </c>
      <c r="K144" s="27">
        <v>60.0</v>
      </c>
      <c r="L144" s="20">
        <v>19.6496007142997</v>
      </c>
      <c r="M144" s="20">
        <f t="shared" si="27"/>
        <v>63.8</v>
      </c>
      <c r="N144" s="20">
        <f t="shared" si="26"/>
        <v>3.364520768</v>
      </c>
      <c r="O144" s="20">
        <v>28.846600976154</v>
      </c>
      <c r="P144" s="13" t="s">
        <v>841</v>
      </c>
      <c r="Q144" s="13" t="s">
        <v>842</v>
      </c>
      <c r="R144" s="6"/>
      <c r="S144" s="6"/>
      <c r="T144" s="6"/>
      <c r="U144" s="6"/>
      <c r="V144" s="6"/>
    </row>
    <row r="145">
      <c r="A145" s="13" t="s">
        <v>843</v>
      </c>
      <c r="B145" s="13" t="s">
        <v>844</v>
      </c>
      <c r="C145" s="13" t="s">
        <v>845</v>
      </c>
      <c r="D145" s="14">
        <f t="shared" si="1"/>
        <v>1.378566199</v>
      </c>
      <c r="E145" s="15" t="s">
        <v>843</v>
      </c>
      <c r="F145" s="16">
        <f t="shared" si="2"/>
        <v>25.83014548</v>
      </c>
      <c r="G145" s="34">
        <v>1.6181652269201678E13</v>
      </c>
      <c r="H145" s="35" t="s">
        <v>846</v>
      </c>
      <c r="I145" s="36" t="s">
        <v>780</v>
      </c>
      <c r="J145" s="27">
        <v>60.0</v>
      </c>
      <c r="K145" s="20"/>
      <c r="L145" s="20">
        <v>28.846600976154</v>
      </c>
      <c r="M145" s="20"/>
      <c r="N145" s="20"/>
      <c r="O145" s="32"/>
      <c r="P145" s="13" t="s">
        <v>847</v>
      </c>
      <c r="Q145" s="13" t="s">
        <v>848</v>
      </c>
      <c r="R145" s="38"/>
      <c r="S145" s="38"/>
      <c r="T145" s="38"/>
      <c r="U145" s="6"/>
      <c r="V145" s="6"/>
    </row>
    <row r="146">
      <c r="A146" s="13" t="s">
        <v>849</v>
      </c>
      <c r="B146" s="13" t="s">
        <v>850</v>
      </c>
      <c r="C146" s="39" t="s">
        <v>851</v>
      </c>
      <c r="D146" s="14">
        <f t="shared" si="1"/>
        <v>-0.02173319903</v>
      </c>
      <c r="E146" s="30" t="s">
        <v>849</v>
      </c>
      <c r="F146" s="16">
        <f t="shared" si="2"/>
        <v>59.3035034</v>
      </c>
      <c r="G146" s="40">
        <v>2.14250659131E12</v>
      </c>
      <c r="H146" s="41">
        <v>2024.0</v>
      </c>
      <c r="I146" s="22" t="s">
        <v>852</v>
      </c>
      <c r="J146" s="42">
        <v>92.5</v>
      </c>
      <c r="K146" s="42">
        <v>89.5</v>
      </c>
      <c r="L146" s="20">
        <v>23.6602096848236</v>
      </c>
      <c r="M146" s="20"/>
      <c r="N146" s="20"/>
      <c r="O146" s="20">
        <v>21.6148974043115</v>
      </c>
      <c r="P146" s="39" t="s">
        <v>853</v>
      </c>
      <c r="Q146" s="39" t="s">
        <v>854</v>
      </c>
      <c r="R146" s="38"/>
      <c r="S146" s="38"/>
      <c r="T146" s="6"/>
      <c r="U146" s="38"/>
      <c r="V146" s="38"/>
    </row>
    <row r="147">
      <c r="A147" s="13" t="s">
        <v>855</v>
      </c>
      <c r="B147" s="13" t="s">
        <v>856</v>
      </c>
      <c r="C147" s="39" t="s">
        <v>857</v>
      </c>
      <c r="D147" s="14">
        <f t="shared" si="1"/>
        <v>-0.08557571655</v>
      </c>
      <c r="E147" s="30" t="s">
        <v>855</v>
      </c>
      <c r="F147" s="16">
        <f t="shared" si="2"/>
        <v>162.9289215</v>
      </c>
      <c r="G147" s="32">
        <v>5.6740767903E12</v>
      </c>
      <c r="H147" s="41">
        <v>2023.0</v>
      </c>
      <c r="I147" s="22" t="s">
        <v>852</v>
      </c>
      <c r="J147" s="42">
        <v>89.5</v>
      </c>
      <c r="K147" s="42">
        <v>86.4</v>
      </c>
      <c r="L147" s="20">
        <v>21.6148974043115</v>
      </c>
      <c r="M147" s="20">
        <f t="shared" ref="M147:M155" si="28">(J146+J147+J148)/3</f>
        <v>89.46666667</v>
      </c>
      <c r="N147" s="20">
        <f t="shared" ref="N147:N155" si="29">sqrt((((J146-M147)^2)+((J147-M147)^2)+((J148-M147)^2))/2)</f>
        <v>3.050136609</v>
      </c>
      <c r="O147" s="20">
        <v>18.1756591237636</v>
      </c>
      <c r="P147" s="39" t="s">
        <v>858</v>
      </c>
      <c r="Q147" s="39" t="s">
        <v>859</v>
      </c>
      <c r="R147" s="38"/>
      <c r="S147" s="38"/>
      <c r="T147" s="6"/>
      <c r="U147" s="6"/>
      <c r="V147" s="6"/>
    </row>
    <row r="148">
      <c r="A148" s="13" t="s">
        <v>860</v>
      </c>
      <c r="B148" s="13" t="s">
        <v>861</v>
      </c>
      <c r="C148" s="39" t="s">
        <v>862</v>
      </c>
      <c r="D148" s="14">
        <f t="shared" si="1"/>
        <v>0.6131209589</v>
      </c>
      <c r="E148" s="30" t="s">
        <v>860</v>
      </c>
      <c r="F148" s="16">
        <f t="shared" si="2"/>
        <v>70.37276107</v>
      </c>
      <c r="G148" s="32">
        <v>2.37195013365E12</v>
      </c>
      <c r="H148" s="41">
        <v>2022.0</v>
      </c>
      <c r="I148" s="22" t="s">
        <v>852</v>
      </c>
      <c r="J148" s="42">
        <v>86.4</v>
      </c>
      <c r="K148" s="42">
        <v>83.7</v>
      </c>
      <c r="L148" s="20">
        <v>18.1756591237636</v>
      </c>
      <c r="M148" s="20">
        <f t="shared" si="28"/>
        <v>86.53333333</v>
      </c>
      <c r="N148" s="20">
        <f t="shared" si="29"/>
        <v>2.90229794</v>
      </c>
      <c r="O148" s="20">
        <v>12.1839371970674</v>
      </c>
      <c r="P148" s="39" t="s">
        <v>863</v>
      </c>
      <c r="Q148" s="39" t="s">
        <v>864</v>
      </c>
      <c r="R148" s="38"/>
      <c r="S148" s="38"/>
      <c r="T148" s="6"/>
      <c r="U148" s="6"/>
      <c r="V148" s="6"/>
    </row>
    <row r="149">
      <c r="A149" s="13" t="s">
        <v>865</v>
      </c>
      <c r="B149" s="13" t="s">
        <v>866</v>
      </c>
      <c r="C149" s="39" t="s">
        <v>867</v>
      </c>
      <c r="D149" s="14">
        <f t="shared" si="1"/>
        <v>0.03015348567</v>
      </c>
      <c r="E149" s="30" t="s">
        <v>865</v>
      </c>
      <c r="F149" s="16">
        <f t="shared" si="2"/>
        <v>93.69719542</v>
      </c>
      <c r="G149" s="32">
        <v>2.966631828569724E12</v>
      </c>
      <c r="H149" s="41">
        <v>2021.0</v>
      </c>
      <c r="I149" s="22" t="s">
        <v>852</v>
      </c>
      <c r="J149" s="42">
        <v>83.7</v>
      </c>
      <c r="K149" s="42">
        <v>80.7</v>
      </c>
      <c r="L149" s="20">
        <v>12.1839371970674</v>
      </c>
      <c r="M149" s="20">
        <f t="shared" si="28"/>
        <v>83.6</v>
      </c>
      <c r="N149" s="20">
        <f t="shared" si="29"/>
        <v>2.851315486</v>
      </c>
      <c r="O149" s="20">
        <v>12.2738906719289</v>
      </c>
      <c r="P149" s="39" t="s">
        <v>868</v>
      </c>
      <c r="Q149" s="39" t="s">
        <v>869</v>
      </c>
      <c r="R149" s="38"/>
      <c r="S149" s="38"/>
      <c r="T149" s="6"/>
      <c r="U149" s="6"/>
      <c r="V149" s="6"/>
    </row>
    <row r="150">
      <c r="A150" s="13" t="s">
        <v>870</v>
      </c>
      <c r="B150" s="13" t="s">
        <v>871</v>
      </c>
      <c r="C150" s="39" t="s">
        <v>872</v>
      </c>
      <c r="D150" s="14">
        <f t="shared" si="1"/>
        <v>0.1533633319</v>
      </c>
      <c r="E150" s="30" t="s">
        <v>870</v>
      </c>
      <c r="F150" s="16">
        <f t="shared" si="2"/>
        <v>108.8941925</v>
      </c>
      <c r="G150" s="32">
        <v>2.2273293770991772E12</v>
      </c>
      <c r="H150" s="41">
        <v>2020.0</v>
      </c>
      <c r="I150" s="22" t="s">
        <v>852</v>
      </c>
      <c r="J150" s="42">
        <v>80.7</v>
      </c>
      <c r="K150" s="42">
        <v>76.0</v>
      </c>
      <c r="L150" s="20">
        <v>12.2738906719289</v>
      </c>
      <c r="M150" s="20">
        <f t="shared" si="28"/>
        <v>80.13333333</v>
      </c>
      <c r="N150" s="20">
        <f t="shared" si="29"/>
        <v>3.881151032</v>
      </c>
      <c r="O150" s="20">
        <v>11.3076296512967</v>
      </c>
      <c r="P150" s="39" t="s">
        <v>873</v>
      </c>
      <c r="Q150" s="39" t="s">
        <v>874</v>
      </c>
      <c r="R150" s="38"/>
      <c r="S150" s="38"/>
      <c r="T150" s="6"/>
      <c r="U150" s="6"/>
      <c r="V150" s="6"/>
    </row>
    <row r="151">
      <c r="A151" s="13" t="s">
        <v>875</v>
      </c>
      <c r="B151" s="13" t="s">
        <v>876</v>
      </c>
      <c r="C151" s="39" t="s">
        <v>877</v>
      </c>
      <c r="D151" s="14">
        <f t="shared" si="1"/>
        <v>-0.04133256849</v>
      </c>
      <c r="E151" s="30" t="s">
        <v>875</v>
      </c>
      <c r="F151" s="16">
        <f t="shared" si="2"/>
        <v>191.1494215</v>
      </c>
      <c r="G151" s="32">
        <v>3.742359042135112E12</v>
      </c>
      <c r="H151" s="41">
        <v>2019.0</v>
      </c>
      <c r="I151" s="22" t="s">
        <v>852</v>
      </c>
      <c r="J151" s="42">
        <v>76.0</v>
      </c>
      <c r="K151" s="42">
        <v>70.8</v>
      </c>
      <c r="L151" s="20">
        <v>11.3076296512967</v>
      </c>
      <c r="M151" s="20">
        <f t="shared" si="28"/>
        <v>75.83333333</v>
      </c>
      <c r="N151" s="20">
        <f t="shared" si="29"/>
        <v>4.95210393</v>
      </c>
      <c r="O151" s="20">
        <v>11.3396223992414</v>
      </c>
      <c r="P151" s="39" t="s">
        <v>878</v>
      </c>
      <c r="Q151" s="39" t="s">
        <v>879</v>
      </c>
      <c r="R151" s="38"/>
      <c r="S151" s="38"/>
      <c r="T151" s="6"/>
      <c r="U151" s="38"/>
      <c r="V151" s="38"/>
    </row>
    <row r="152">
      <c r="A152" s="13" t="s">
        <v>880</v>
      </c>
      <c r="B152" s="13" t="s">
        <v>881</v>
      </c>
      <c r="C152" s="39" t="s">
        <v>882</v>
      </c>
      <c r="D152" s="14">
        <f t="shared" si="1"/>
        <v>0.02111670051</v>
      </c>
      <c r="E152" s="30" t="s">
        <v>880</v>
      </c>
      <c r="F152" s="16">
        <f t="shared" si="2"/>
        <v>195.8783152</v>
      </c>
      <c r="G152" s="32">
        <v>3.030476601375388E12</v>
      </c>
      <c r="H152" s="41">
        <v>2018.0</v>
      </c>
      <c r="I152" s="22" t="s">
        <v>852</v>
      </c>
      <c r="J152" s="42">
        <v>70.8</v>
      </c>
      <c r="K152" s="22">
        <v>67.2</v>
      </c>
      <c r="L152" s="20">
        <v>11.3396223992414</v>
      </c>
      <c r="M152" s="20">
        <f t="shared" si="28"/>
        <v>71.33333333</v>
      </c>
      <c r="N152" s="20">
        <f t="shared" si="29"/>
        <v>4.424176006</v>
      </c>
      <c r="O152" s="20">
        <v>12.4741307475021</v>
      </c>
      <c r="P152" s="39" t="s">
        <v>883</v>
      </c>
      <c r="Q152" s="39" t="s">
        <v>884</v>
      </c>
      <c r="R152" s="38"/>
      <c r="S152" s="38"/>
      <c r="T152" s="6"/>
      <c r="U152" s="38"/>
      <c r="V152" s="6"/>
    </row>
    <row r="153">
      <c r="A153" s="13" t="s">
        <v>885</v>
      </c>
      <c r="B153" s="13" t="s">
        <v>886</v>
      </c>
      <c r="C153" s="39" t="s">
        <v>887</v>
      </c>
      <c r="D153" s="14">
        <f t="shared" si="1"/>
        <v>0.3650392032</v>
      </c>
      <c r="E153" s="30" t="s">
        <v>885</v>
      </c>
      <c r="F153" s="16">
        <f t="shared" si="2"/>
        <v>205.5161369</v>
      </c>
      <c r="G153" s="32">
        <v>2.932183422060921E12</v>
      </c>
      <c r="H153" s="41">
        <v>2017.0</v>
      </c>
      <c r="I153" s="22" t="s">
        <v>852</v>
      </c>
      <c r="J153" s="22">
        <v>67.2</v>
      </c>
      <c r="K153" s="42">
        <v>63.4</v>
      </c>
      <c r="L153" s="20">
        <v>12.4741307475021</v>
      </c>
      <c r="M153" s="20">
        <f t="shared" si="28"/>
        <v>67.13333333</v>
      </c>
      <c r="N153" s="20">
        <f t="shared" si="29"/>
        <v>3.700450423</v>
      </c>
      <c r="O153" s="20">
        <v>14.0523361024415</v>
      </c>
      <c r="P153" s="39" t="s">
        <v>888</v>
      </c>
      <c r="Q153" s="39" t="s">
        <v>889</v>
      </c>
      <c r="R153" s="38"/>
      <c r="S153" s="38"/>
      <c r="T153" s="6"/>
      <c r="U153" s="38"/>
      <c r="V153" s="6"/>
    </row>
    <row r="154">
      <c r="A154" s="13" t="s">
        <v>890</v>
      </c>
      <c r="B154" s="13" t="s">
        <v>891</v>
      </c>
      <c r="C154" s="39" t="s">
        <v>892</v>
      </c>
      <c r="D154" s="14">
        <f t="shared" si="1"/>
        <v>0.3843477496</v>
      </c>
      <c r="E154" s="30" t="s">
        <v>890</v>
      </c>
      <c r="F154" s="16">
        <f t="shared" si="2"/>
        <v>264.4757995</v>
      </c>
      <c r="G154" s="32">
        <v>3.010458705924098E12</v>
      </c>
      <c r="H154" s="41">
        <v>2016.0</v>
      </c>
      <c r="I154" s="22" t="s">
        <v>852</v>
      </c>
      <c r="J154" s="42">
        <v>63.4</v>
      </c>
      <c r="K154" s="42">
        <v>61.1</v>
      </c>
      <c r="L154" s="20">
        <v>14.0523361024415</v>
      </c>
      <c r="M154" s="20">
        <f t="shared" si="28"/>
        <v>63.9</v>
      </c>
      <c r="N154" s="20">
        <f t="shared" si="29"/>
        <v>3.08058436</v>
      </c>
      <c r="O154" s="20">
        <v>19.6496007142997</v>
      </c>
      <c r="P154" s="39" t="s">
        <v>893</v>
      </c>
      <c r="Q154" s="39" t="s">
        <v>894</v>
      </c>
      <c r="R154" s="38"/>
      <c r="S154" s="38"/>
      <c r="T154" s="6"/>
      <c r="U154" s="38"/>
      <c r="V154" s="6"/>
    </row>
    <row r="155">
      <c r="A155" s="13" t="s">
        <v>895</v>
      </c>
      <c r="B155" s="13" t="s">
        <v>896</v>
      </c>
      <c r="C155" s="39" t="s">
        <v>897</v>
      </c>
      <c r="D155" s="14">
        <f t="shared" si="1"/>
        <v>0.005323471516</v>
      </c>
      <c r="E155" s="30" t="s">
        <v>895</v>
      </c>
      <c r="F155" s="16">
        <f t="shared" si="2"/>
        <v>139.8886927</v>
      </c>
      <c r="G155" s="32">
        <v>1.341253837032724E12</v>
      </c>
      <c r="H155" s="41">
        <v>2015.0</v>
      </c>
      <c r="I155" s="22" t="s">
        <v>852</v>
      </c>
      <c r="J155" s="42">
        <v>61.1</v>
      </c>
      <c r="K155" s="42">
        <v>58.7</v>
      </c>
      <c r="L155" s="20">
        <v>19.6496007142997</v>
      </c>
      <c r="M155" s="20">
        <f t="shared" si="28"/>
        <v>61.06666667</v>
      </c>
      <c r="N155" s="20">
        <f t="shared" si="29"/>
        <v>2.350177298</v>
      </c>
      <c r="O155" s="20">
        <v>28.846600976154</v>
      </c>
      <c r="P155" s="39" t="s">
        <v>898</v>
      </c>
      <c r="Q155" s="39" t="s">
        <v>899</v>
      </c>
      <c r="R155" s="38"/>
      <c r="S155" s="38"/>
      <c r="T155" s="6"/>
      <c r="U155" s="38"/>
      <c r="V155" s="6"/>
    </row>
    <row r="156">
      <c r="A156" s="13" t="s">
        <v>900</v>
      </c>
      <c r="B156" s="13" t="s">
        <v>901</v>
      </c>
      <c r="C156" s="39" t="s">
        <v>902</v>
      </c>
      <c r="D156" s="14">
        <f t="shared" si="1"/>
        <v>-0.1315687916</v>
      </c>
      <c r="E156" s="30" t="s">
        <v>900</v>
      </c>
      <c r="F156" s="16">
        <f t="shared" si="2"/>
        <v>173.9309684</v>
      </c>
      <c r="G156" s="32">
        <v>1.4595094096606367E12</v>
      </c>
      <c r="H156" s="41">
        <v>2014.0</v>
      </c>
      <c r="I156" s="22" t="s">
        <v>852</v>
      </c>
      <c r="J156" s="42">
        <v>58.7</v>
      </c>
      <c r="K156" s="20"/>
      <c r="L156" s="20">
        <v>28.846600976154</v>
      </c>
      <c r="M156" s="20"/>
      <c r="N156" s="20"/>
      <c r="O156" s="32"/>
      <c r="P156" s="39" t="s">
        <v>903</v>
      </c>
      <c r="Q156" s="39" t="s">
        <v>904</v>
      </c>
      <c r="R156" s="38"/>
      <c r="S156" s="38"/>
      <c r="T156" s="6"/>
      <c r="U156" s="38"/>
      <c r="V156" s="6"/>
    </row>
    <row r="157">
      <c r="A157" s="13" t="s">
        <v>905</v>
      </c>
      <c r="B157" s="13" t="s">
        <v>906</v>
      </c>
      <c r="C157" s="13" t="s">
        <v>907</v>
      </c>
      <c r="D157" s="14">
        <f t="shared" si="1"/>
        <v>-0.02005592279</v>
      </c>
      <c r="E157" s="26" t="s">
        <v>905</v>
      </c>
      <c r="F157" s="16">
        <f t="shared" si="2"/>
        <v>104.7352889</v>
      </c>
      <c r="G157" s="32">
        <v>3.8132440308275063E12</v>
      </c>
      <c r="H157" s="22">
        <v>2024.0</v>
      </c>
      <c r="I157" s="22" t="s">
        <v>908</v>
      </c>
      <c r="J157" s="22">
        <v>80.3</v>
      </c>
      <c r="K157" s="22">
        <v>77.3</v>
      </c>
      <c r="L157" s="20">
        <v>23.6602096848236</v>
      </c>
      <c r="M157" s="20"/>
      <c r="N157" s="20"/>
      <c r="O157" s="20">
        <v>21.6148974043115</v>
      </c>
      <c r="P157" s="13" t="s">
        <v>909</v>
      </c>
      <c r="Q157" s="13" t="s">
        <v>910</v>
      </c>
      <c r="R157" s="6"/>
      <c r="S157" s="6"/>
      <c r="T157" s="6"/>
      <c r="U157" s="6"/>
      <c r="V157" s="6"/>
    </row>
    <row r="158">
      <c r="A158" s="13" t="s">
        <v>911</v>
      </c>
      <c r="B158" s="13" t="s">
        <v>912</v>
      </c>
      <c r="C158" s="13" t="s">
        <v>913</v>
      </c>
      <c r="D158" s="14">
        <f t="shared" si="1"/>
        <v>-0.462471302</v>
      </c>
      <c r="E158" s="26" t="s">
        <v>911</v>
      </c>
      <c r="F158" s="16">
        <f t="shared" si="2"/>
        <v>117.8245374</v>
      </c>
      <c r="G158" s="32">
        <v>3.8852218184515464E12</v>
      </c>
      <c r="H158" s="22">
        <v>2023.0</v>
      </c>
      <c r="I158" s="22" t="s">
        <v>908</v>
      </c>
      <c r="J158" s="22">
        <v>77.3</v>
      </c>
      <c r="K158" s="22">
        <v>74.3</v>
      </c>
      <c r="L158" s="20">
        <v>21.6148974043115</v>
      </c>
      <c r="M158" s="20">
        <f t="shared" ref="M158:M166" si="30">(J157+J158+J159)/3</f>
        <v>77.3</v>
      </c>
      <c r="N158" s="20">
        <f t="shared" ref="N158:N166" si="31">sqrt((((J157-M158)^2)+((J158-M158)^2)+((J159-M158)^2))/2)</f>
        <v>3</v>
      </c>
      <c r="O158" s="20">
        <v>18.1756591237636</v>
      </c>
      <c r="P158" s="13" t="s">
        <v>914</v>
      </c>
      <c r="Q158" s="13" t="s">
        <v>915</v>
      </c>
      <c r="R158" s="6"/>
      <c r="S158" s="6"/>
      <c r="T158" s="6"/>
      <c r="U158" s="6"/>
      <c r="V158" s="6"/>
    </row>
    <row r="159">
      <c r="A159" s="13" t="s">
        <v>916</v>
      </c>
      <c r="B159" s="13" t="s">
        <v>917</v>
      </c>
      <c r="C159" s="13" t="s">
        <v>918</v>
      </c>
      <c r="D159" s="14">
        <f t="shared" si="1"/>
        <v>1.009763021</v>
      </c>
      <c r="E159" s="26" t="s">
        <v>916</v>
      </c>
      <c r="F159" s="16">
        <f t="shared" si="2"/>
        <v>100.0049891</v>
      </c>
      <c r="G159" s="32">
        <v>2.835833643609268E12</v>
      </c>
      <c r="H159" s="22">
        <v>2022.0</v>
      </c>
      <c r="I159" s="22" t="s">
        <v>908</v>
      </c>
      <c r="J159" s="22">
        <v>74.3</v>
      </c>
      <c r="K159" s="22">
        <v>71.0</v>
      </c>
      <c r="L159" s="20">
        <v>18.1756591237636</v>
      </c>
      <c r="M159" s="20">
        <f t="shared" si="30"/>
        <v>74.2</v>
      </c>
      <c r="N159" s="20">
        <f t="shared" si="31"/>
        <v>3.151190251</v>
      </c>
      <c r="O159" s="20">
        <v>12.1839371970674</v>
      </c>
      <c r="P159" s="13" t="s">
        <v>919</v>
      </c>
      <c r="Q159" s="13" t="s">
        <v>920</v>
      </c>
      <c r="R159" s="6"/>
      <c r="S159" s="6"/>
      <c r="T159" s="6"/>
      <c r="U159" s="6"/>
      <c r="V159" s="6"/>
    </row>
    <row r="160">
      <c r="A160" s="13" t="s">
        <v>921</v>
      </c>
      <c r="B160" s="13" t="s">
        <v>922</v>
      </c>
      <c r="C160" s="13" t="s">
        <v>923</v>
      </c>
      <c r="D160" s="14">
        <f t="shared" si="1"/>
        <v>-0.4678107062</v>
      </c>
      <c r="E160" s="26" t="s">
        <v>921</v>
      </c>
      <c r="F160" s="16">
        <f t="shared" si="2"/>
        <v>330.9919995</v>
      </c>
      <c r="G160" s="32">
        <v>1.0195288954299613E13</v>
      </c>
      <c r="H160" s="22">
        <v>2021.0</v>
      </c>
      <c r="I160" s="22" t="s">
        <v>908</v>
      </c>
      <c r="J160" s="22">
        <v>71.0</v>
      </c>
      <c r="K160" s="22">
        <v>66.7</v>
      </c>
      <c r="L160" s="20">
        <v>12.1839371970674</v>
      </c>
      <c r="M160" s="20">
        <f t="shared" si="30"/>
        <v>70.66666667</v>
      </c>
      <c r="N160" s="20">
        <f t="shared" si="31"/>
        <v>3.810949138</v>
      </c>
      <c r="O160" s="20">
        <v>12.2738906719289</v>
      </c>
      <c r="P160" s="13" t="s">
        <v>924</v>
      </c>
      <c r="Q160" s="13" t="s">
        <v>925</v>
      </c>
      <c r="R160" s="6"/>
      <c r="S160" s="6"/>
      <c r="T160" s="6"/>
      <c r="U160" s="6"/>
      <c r="V160" s="6"/>
    </row>
    <row r="161">
      <c r="A161" s="13" t="s">
        <v>926</v>
      </c>
      <c r="B161" s="13" t="s">
        <v>927</v>
      </c>
      <c r="C161" s="13" t="s">
        <v>928</v>
      </c>
      <c r="D161" s="14">
        <f t="shared" si="1"/>
        <v>1.963934975</v>
      </c>
      <c r="E161" s="26" t="s">
        <v>926</v>
      </c>
      <c r="F161" s="16">
        <f t="shared" si="2"/>
        <v>159.877265</v>
      </c>
      <c r="G161" s="32">
        <v>4.702137578060481E12</v>
      </c>
      <c r="H161" s="22">
        <v>2020.0</v>
      </c>
      <c r="I161" s="22" t="s">
        <v>908</v>
      </c>
      <c r="J161" s="22">
        <v>66.7</v>
      </c>
      <c r="K161" s="22">
        <v>63.0</v>
      </c>
      <c r="L161" s="20">
        <v>12.2738906719289</v>
      </c>
      <c r="M161" s="20">
        <f t="shared" si="30"/>
        <v>66.9</v>
      </c>
      <c r="N161" s="20">
        <f t="shared" si="31"/>
        <v>4.003748244</v>
      </c>
      <c r="O161" s="20">
        <v>11.3076296512967</v>
      </c>
      <c r="P161" s="13" t="s">
        <v>929</v>
      </c>
      <c r="Q161" s="13" t="s">
        <v>930</v>
      </c>
      <c r="R161" s="6"/>
      <c r="S161" s="6"/>
      <c r="T161" s="6"/>
      <c r="U161" s="6"/>
      <c r="V161" s="6"/>
    </row>
    <row r="162">
      <c r="A162" s="13" t="s">
        <v>931</v>
      </c>
      <c r="B162" s="13" t="s">
        <v>932</v>
      </c>
      <c r="C162" s="13" t="s">
        <v>933</v>
      </c>
      <c r="D162" s="14">
        <f t="shared" si="1"/>
        <v>-0.3249593022</v>
      </c>
      <c r="E162" s="26" t="s">
        <v>931</v>
      </c>
      <c r="F162" s="16">
        <f t="shared" si="2"/>
        <v>169.6556614</v>
      </c>
      <c r="G162" s="32">
        <v>4.941655974622441E12</v>
      </c>
      <c r="H162" s="22">
        <v>2019.0</v>
      </c>
      <c r="I162" s="22" t="s">
        <v>908</v>
      </c>
      <c r="J162" s="22">
        <v>63.0</v>
      </c>
      <c r="K162" s="22">
        <v>58.7</v>
      </c>
      <c r="L162" s="20">
        <v>11.3076296512967</v>
      </c>
      <c r="M162" s="20">
        <f t="shared" si="30"/>
        <v>62.8</v>
      </c>
      <c r="N162" s="20">
        <f t="shared" si="31"/>
        <v>4.003748244</v>
      </c>
      <c r="O162" s="20">
        <v>11.3396223992414</v>
      </c>
      <c r="P162" s="13" t="s">
        <v>934</v>
      </c>
      <c r="Q162" s="13" t="s">
        <v>935</v>
      </c>
      <c r="R162" s="6"/>
      <c r="S162" s="6"/>
      <c r="T162" s="6"/>
      <c r="U162" s="6"/>
      <c r="V162" s="6"/>
    </row>
    <row r="163">
      <c r="A163" s="13" t="s">
        <v>936</v>
      </c>
      <c r="B163" s="13" t="s">
        <v>937</v>
      </c>
      <c r="C163" s="13" t="s">
        <v>938</v>
      </c>
      <c r="D163" s="14">
        <f t="shared" si="1"/>
        <v>0.3159157697</v>
      </c>
      <c r="E163" s="26" t="s">
        <v>936</v>
      </c>
      <c r="F163" s="16">
        <f t="shared" si="2"/>
        <v>257.040753</v>
      </c>
      <c r="G163" s="32">
        <v>5.710190111022407E12</v>
      </c>
      <c r="H163" s="22">
        <v>2018.0</v>
      </c>
      <c r="I163" s="22" t="s">
        <v>908</v>
      </c>
      <c r="J163" s="22">
        <v>58.7</v>
      </c>
      <c r="K163" s="22">
        <v>56.0</v>
      </c>
      <c r="L163" s="20">
        <v>11.3396223992414</v>
      </c>
      <c r="M163" s="20">
        <f t="shared" si="30"/>
        <v>59.23333333</v>
      </c>
      <c r="N163" s="20">
        <f t="shared" si="31"/>
        <v>3.530344648</v>
      </c>
      <c r="O163" s="20">
        <v>12.4741307475021</v>
      </c>
      <c r="P163" s="13" t="s">
        <v>939</v>
      </c>
      <c r="Q163" s="13" t="s">
        <v>940</v>
      </c>
      <c r="R163" s="6"/>
      <c r="S163" s="6"/>
      <c r="T163" s="6"/>
      <c r="U163" s="6"/>
      <c r="V163" s="6"/>
    </row>
    <row r="164">
      <c r="A164" s="13" t="s">
        <v>941</v>
      </c>
      <c r="B164" s="13" t="s">
        <v>942</v>
      </c>
      <c r="C164" s="13" t="s">
        <v>943</v>
      </c>
      <c r="D164" s="14">
        <f t="shared" si="1"/>
        <v>0.6858610937</v>
      </c>
      <c r="E164" s="26" t="s">
        <v>941</v>
      </c>
      <c r="F164" s="16">
        <f t="shared" si="2"/>
        <v>362.0768179</v>
      </c>
      <c r="G164" s="32">
        <v>7.485238114141819E12</v>
      </c>
      <c r="H164" s="22">
        <v>2017.0</v>
      </c>
      <c r="I164" s="22" t="s">
        <v>908</v>
      </c>
      <c r="J164" s="22">
        <v>56.0</v>
      </c>
      <c r="K164" s="22">
        <v>52.0</v>
      </c>
      <c r="L164" s="20">
        <v>12.4741307475021</v>
      </c>
      <c r="M164" s="20">
        <f t="shared" si="30"/>
        <v>55.56666667</v>
      </c>
      <c r="N164" s="20">
        <f t="shared" si="31"/>
        <v>3.370954365</v>
      </c>
      <c r="O164" s="20">
        <v>14.0523361024415</v>
      </c>
      <c r="P164" s="13" t="s">
        <v>944</v>
      </c>
      <c r="Q164" s="13" t="s">
        <v>945</v>
      </c>
      <c r="R164" s="6"/>
      <c r="S164" s="6"/>
      <c r="T164" s="6"/>
      <c r="U164" s="6"/>
      <c r="V164" s="6"/>
    </row>
    <row r="165">
      <c r="A165" s="13" t="s">
        <v>946</v>
      </c>
      <c r="B165" s="13" t="s">
        <v>947</v>
      </c>
      <c r="C165" s="13" t="s">
        <v>948</v>
      </c>
      <c r="D165" s="14">
        <f t="shared" si="1"/>
        <v>-0.3085140203</v>
      </c>
      <c r="E165" s="26" t="s">
        <v>946</v>
      </c>
      <c r="F165" s="16">
        <f t="shared" si="2"/>
        <v>484.1294058</v>
      </c>
      <c r="G165" s="32">
        <v>4.903802108924903E12</v>
      </c>
      <c r="H165" s="22">
        <v>2016.0</v>
      </c>
      <c r="I165" s="22" t="s">
        <v>908</v>
      </c>
      <c r="J165" s="22">
        <v>52.0</v>
      </c>
      <c r="K165" s="22">
        <v>48.7</v>
      </c>
      <c r="L165" s="20">
        <v>14.0523361024415</v>
      </c>
      <c r="M165" s="20">
        <f t="shared" si="30"/>
        <v>52.23333333</v>
      </c>
      <c r="N165" s="20">
        <f t="shared" si="31"/>
        <v>3.655589328</v>
      </c>
      <c r="O165" s="20">
        <v>19.6496007142997</v>
      </c>
      <c r="P165" s="13" t="s">
        <v>949</v>
      </c>
      <c r="Q165" s="13" t="s">
        <v>950</v>
      </c>
      <c r="R165" s="6"/>
      <c r="S165" s="6"/>
      <c r="T165" s="6"/>
      <c r="U165" s="6"/>
      <c r="V165" s="6"/>
    </row>
    <row r="166">
      <c r="A166" s="13" t="s">
        <v>951</v>
      </c>
      <c r="B166" s="13" t="s">
        <v>952</v>
      </c>
      <c r="C166" s="13" t="s">
        <v>953</v>
      </c>
      <c r="D166" s="14">
        <f t="shared" si="1"/>
        <v>-0.3282305908</v>
      </c>
      <c r="E166" s="26" t="s">
        <v>951</v>
      </c>
      <c r="F166" s="16">
        <f t="shared" si="2"/>
        <v>195.6974963</v>
      </c>
      <c r="G166" s="32">
        <v>2.937924427755095E12</v>
      </c>
      <c r="H166" s="22">
        <v>2015.0</v>
      </c>
      <c r="I166" s="22" t="s">
        <v>908</v>
      </c>
      <c r="J166" s="22">
        <v>48.7</v>
      </c>
      <c r="K166" s="22">
        <v>46.0</v>
      </c>
      <c r="L166" s="20">
        <v>19.6496007142997</v>
      </c>
      <c r="M166" s="20">
        <f t="shared" si="30"/>
        <v>48.9</v>
      </c>
      <c r="N166" s="20">
        <f t="shared" si="31"/>
        <v>3.00499584</v>
      </c>
      <c r="O166" s="20">
        <v>28.846600976154</v>
      </c>
      <c r="P166" s="13" t="s">
        <v>954</v>
      </c>
      <c r="Q166" s="13" t="s">
        <v>955</v>
      </c>
      <c r="R166" s="6"/>
      <c r="S166" s="6"/>
      <c r="T166" s="6"/>
      <c r="U166" s="6"/>
      <c r="V166" s="6"/>
    </row>
    <row r="167">
      <c r="A167" s="13" t="s">
        <v>956</v>
      </c>
      <c r="B167" s="13" t="s">
        <v>957</v>
      </c>
      <c r="C167" s="13" t="s">
        <v>958</v>
      </c>
      <c r="D167" s="14">
        <f t="shared" si="1"/>
        <v>5.150966346</v>
      </c>
      <c r="E167" s="26" t="s">
        <v>956</v>
      </c>
      <c r="F167" s="16">
        <f t="shared" si="2"/>
        <v>161.3304048</v>
      </c>
      <c r="G167" s="32">
        <v>1.4453007470374558E12</v>
      </c>
      <c r="H167" s="22">
        <v>2014.0</v>
      </c>
      <c r="I167" s="22" t="s">
        <v>908</v>
      </c>
      <c r="J167" s="22">
        <v>46.0</v>
      </c>
      <c r="K167" s="20"/>
      <c r="L167" s="20">
        <v>28.846600976154</v>
      </c>
      <c r="M167" s="20"/>
      <c r="N167" s="20"/>
      <c r="O167" s="32"/>
      <c r="P167" s="13" t="s">
        <v>959</v>
      </c>
      <c r="Q167" s="13" t="s">
        <v>960</v>
      </c>
      <c r="R167" s="6"/>
      <c r="S167" s="6"/>
      <c r="T167" s="6"/>
      <c r="U167" s="6"/>
      <c r="V167" s="6"/>
    </row>
    <row r="168">
      <c r="A168" s="13" t="s">
        <v>961</v>
      </c>
      <c r="B168" s="13" t="s">
        <v>962</v>
      </c>
      <c r="C168" s="13" t="s">
        <v>963</v>
      </c>
      <c r="D168" s="14">
        <f t="shared" si="1"/>
        <v>-0.003238713994</v>
      </c>
      <c r="E168" s="26" t="s">
        <v>961</v>
      </c>
      <c r="F168" s="16">
        <f t="shared" si="2"/>
        <v>526.7921229</v>
      </c>
      <c r="G168" s="17">
        <v>4.18180660553754E11</v>
      </c>
      <c r="H168" s="22">
        <v>2024.0</v>
      </c>
      <c r="I168" s="22" t="s">
        <v>964</v>
      </c>
      <c r="J168" s="22">
        <v>76.2</v>
      </c>
      <c r="K168" s="22">
        <v>73.2</v>
      </c>
      <c r="L168" s="20">
        <v>23.6602096848236</v>
      </c>
      <c r="M168" s="20"/>
      <c r="N168" s="20"/>
      <c r="O168" s="20">
        <v>21.6148974043115</v>
      </c>
      <c r="P168" s="13" t="s">
        <v>965</v>
      </c>
      <c r="Q168" s="13" t="s">
        <v>966</v>
      </c>
      <c r="R168" s="6"/>
      <c r="S168" s="6"/>
      <c r="T168" s="6"/>
      <c r="U168" s="6"/>
      <c r="V168" s="6"/>
    </row>
    <row r="169">
      <c r="A169" s="13" t="s">
        <v>967</v>
      </c>
      <c r="B169" s="13" t="s">
        <v>968</v>
      </c>
      <c r="C169" s="13" t="s">
        <v>969</v>
      </c>
      <c r="D169" s="14">
        <f t="shared" si="1"/>
        <v>-0.1034265296</v>
      </c>
      <c r="E169" s="26" t="s">
        <v>967</v>
      </c>
      <c r="F169" s="16">
        <f t="shared" si="2"/>
        <v>533.6326822</v>
      </c>
      <c r="G169" s="17">
        <v>4.175951744400374E11</v>
      </c>
      <c r="H169" s="22">
        <v>2023.0</v>
      </c>
      <c r="I169" s="22" t="s">
        <v>964</v>
      </c>
      <c r="J169" s="22">
        <v>73.2</v>
      </c>
      <c r="K169" s="22">
        <v>69.5</v>
      </c>
      <c r="L169" s="20">
        <v>21.6148974043115</v>
      </c>
      <c r="M169" s="20">
        <f t="shared" ref="M169:M177" si="32">(J168+J169+J170)/3</f>
        <v>72.96666667</v>
      </c>
      <c r="N169" s="20">
        <f t="shared" ref="N169:N177" si="33">sqrt((((J168-M169)^2)+((J169-M169)^2)+((J170-M169)^2))/2)</f>
        <v>3.356088994</v>
      </c>
      <c r="O169" s="20">
        <v>18.1756591237636</v>
      </c>
      <c r="P169" s="13" t="s">
        <v>970</v>
      </c>
      <c r="Q169" s="13" t="s">
        <v>971</v>
      </c>
      <c r="R169" s="6"/>
      <c r="S169" s="6"/>
      <c r="T169" s="6"/>
      <c r="U169" s="6"/>
      <c r="V169" s="6"/>
    </row>
    <row r="170">
      <c r="A170" s="13" t="s">
        <v>972</v>
      </c>
      <c r="B170" s="13" t="s">
        <v>973</v>
      </c>
      <c r="C170" s="13" t="s">
        <v>974</v>
      </c>
      <c r="D170" s="14">
        <f t="shared" si="1"/>
        <v>0.5850257967</v>
      </c>
      <c r="E170" s="26" t="s">
        <v>972</v>
      </c>
      <c r="F170" s="16">
        <f t="shared" si="2"/>
        <v>554.912947</v>
      </c>
      <c r="G170" s="17">
        <v>4.313817560788599E11</v>
      </c>
      <c r="H170" s="22">
        <v>2022.0</v>
      </c>
      <c r="I170" s="22" t="s">
        <v>964</v>
      </c>
      <c r="J170" s="22">
        <v>69.5</v>
      </c>
      <c r="K170" s="22">
        <v>67.0</v>
      </c>
      <c r="L170" s="20">
        <v>18.1756591237636</v>
      </c>
      <c r="M170" s="20">
        <f t="shared" si="32"/>
        <v>69.9</v>
      </c>
      <c r="N170" s="20">
        <f t="shared" si="33"/>
        <v>3.119294792</v>
      </c>
      <c r="O170" s="20">
        <v>12.1839371970674</v>
      </c>
      <c r="P170" s="13" t="s">
        <v>975</v>
      </c>
      <c r="Q170" s="13" t="s">
        <v>976</v>
      </c>
      <c r="R170" s="6"/>
      <c r="S170" s="6"/>
      <c r="T170" s="6"/>
      <c r="U170" s="6"/>
      <c r="V170" s="6"/>
    </row>
    <row r="171">
      <c r="A171" s="13" t="s">
        <v>977</v>
      </c>
      <c r="B171" s="13" t="s">
        <v>978</v>
      </c>
      <c r="C171" s="13" t="s">
        <v>979</v>
      </c>
      <c r="D171" s="14">
        <f t="shared" si="1"/>
        <v>0.03027752601</v>
      </c>
      <c r="E171" s="26" t="s">
        <v>977</v>
      </c>
      <c r="F171" s="16">
        <f t="shared" si="2"/>
        <v>519.287194</v>
      </c>
      <c r="G171" s="17">
        <v>3.5746432189246454E11</v>
      </c>
      <c r="H171" s="22">
        <v>2021.0</v>
      </c>
      <c r="I171" s="22" t="s">
        <v>964</v>
      </c>
      <c r="J171" s="22">
        <v>67.0</v>
      </c>
      <c r="K171" s="22">
        <v>64.0</v>
      </c>
      <c r="L171" s="20">
        <v>12.1839371970674</v>
      </c>
      <c r="M171" s="20">
        <f t="shared" si="32"/>
        <v>66.83333333</v>
      </c>
      <c r="N171" s="20">
        <f t="shared" si="33"/>
        <v>2.753785274</v>
      </c>
      <c r="O171" s="20">
        <v>12.2738906719289</v>
      </c>
      <c r="P171" s="13" t="s">
        <v>980</v>
      </c>
      <c r="Q171" s="13" t="s">
        <v>981</v>
      </c>
      <c r="R171" s="6"/>
      <c r="S171" s="6"/>
      <c r="T171" s="6"/>
      <c r="U171" s="6"/>
      <c r="V171" s="6"/>
    </row>
    <row r="172">
      <c r="A172" s="13" t="s">
        <v>982</v>
      </c>
      <c r="B172" s="13" t="s">
        <v>983</v>
      </c>
      <c r="C172" s="13" t="s">
        <v>984</v>
      </c>
      <c r="D172" s="14">
        <f t="shared" si="1"/>
        <v>-0.244980408</v>
      </c>
      <c r="E172" s="26" t="s">
        <v>982</v>
      </c>
      <c r="F172" s="16">
        <f t="shared" si="2"/>
        <v>353.0915531</v>
      </c>
      <c r="G172" s="17">
        <v>2.442256530923034E11</v>
      </c>
      <c r="H172" s="22">
        <v>2020.0</v>
      </c>
      <c r="I172" s="22" t="s">
        <v>964</v>
      </c>
      <c r="J172" s="22">
        <v>64.0</v>
      </c>
      <c r="K172" s="22">
        <v>60.8</v>
      </c>
      <c r="L172" s="20">
        <v>12.2738906719289</v>
      </c>
      <c r="M172" s="20">
        <f t="shared" si="32"/>
        <v>63.93333333</v>
      </c>
      <c r="N172" s="20">
        <f t="shared" si="33"/>
        <v>3.100537588</v>
      </c>
      <c r="O172" s="20">
        <v>11.3076296512967</v>
      </c>
      <c r="P172" s="13" t="s">
        <v>985</v>
      </c>
      <c r="Q172" s="13" t="s">
        <v>986</v>
      </c>
      <c r="R172" s="6"/>
      <c r="S172" s="6"/>
      <c r="T172" s="6"/>
      <c r="U172" s="6"/>
      <c r="V172" s="6"/>
    </row>
    <row r="173">
      <c r="A173" s="13" t="s">
        <v>987</v>
      </c>
      <c r="B173" s="13" t="s">
        <v>988</v>
      </c>
      <c r="C173" s="13" t="s">
        <v>989</v>
      </c>
      <c r="D173" s="14">
        <f t="shared" si="1"/>
        <v>-0.03490728494</v>
      </c>
      <c r="E173" s="26" t="s">
        <v>987</v>
      </c>
      <c r="F173" s="16">
        <f t="shared" si="2"/>
        <v>277.5243364</v>
      </c>
      <c r="G173" s="17">
        <v>1.9136495243646292E11</v>
      </c>
      <c r="H173" s="22">
        <v>2019.0</v>
      </c>
      <c r="I173" s="22" t="s">
        <v>964</v>
      </c>
      <c r="J173" s="22">
        <v>60.8</v>
      </c>
      <c r="K173" s="22">
        <v>57.5</v>
      </c>
      <c r="L173" s="20">
        <v>11.3076296512967</v>
      </c>
      <c r="M173" s="20">
        <f t="shared" si="32"/>
        <v>60.76666667</v>
      </c>
      <c r="N173" s="20">
        <f t="shared" si="33"/>
        <v>3.250128203</v>
      </c>
      <c r="O173" s="20">
        <v>11.3396223992414</v>
      </c>
      <c r="P173" s="13" t="s">
        <v>990</v>
      </c>
      <c r="Q173" s="13" t="s">
        <v>991</v>
      </c>
      <c r="R173" s="6"/>
      <c r="S173" s="6"/>
      <c r="T173" s="6"/>
      <c r="U173" s="6"/>
      <c r="V173" s="6"/>
    </row>
    <row r="174">
      <c r="A174" s="13" t="s">
        <v>992</v>
      </c>
      <c r="B174" s="13" t="s">
        <v>993</v>
      </c>
      <c r="C174" s="13" t="s">
        <v>994</v>
      </c>
      <c r="D174" s="14">
        <f t="shared" si="1"/>
        <v>0.189459639</v>
      </c>
      <c r="E174" s="26" t="s">
        <v>992</v>
      </c>
      <c r="F174" s="16">
        <f t="shared" si="2"/>
        <v>193.2819686</v>
      </c>
      <c r="G174" s="17">
        <v>1.3260934479753516E11</v>
      </c>
      <c r="H174" s="22">
        <v>2018.0</v>
      </c>
      <c r="I174" s="22" t="s">
        <v>964</v>
      </c>
      <c r="J174" s="22">
        <v>57.5</v>
      </c>
      <c r="K174" s="22">
        <v>55.5</v>
      </c>
      <c r="L174" s="20">
        <v>11.3396223992414</v>
      </c>
      <c r="M174" s="20">
        <f t="shared" si="32"/>
        <v>57.93333333</v>
      </c>
      <c r="N174" s="20">
        <f t="shared" si="33"/>
        <v>2.676440422</v>
      </c>
      <c r="O174" s="20">
        <v>12.4741307475021</v>
      </c>
      <c r="P174" s="13" t="s">
        <v>995</v>
      </c>
      <c r="Q174" s="13" t="s">
        <v>996</v>
      </c>
      <c r="R174" s="6"/>
      <c r="S174" s="6"/>
      <c r="T174" s="6"/>
      <c r="U174" s="6"/>
      <c r="V174" s="6"/>
    </row>
    <row r="175">
      <c r="A175" s="13" t="s">
        <v>997</v>
      </c>
      <c r="B175" s="13" t="s">
        <v>998</v>
      </c>
      <c r="C175" s="13" t="s">
        <v>999</v>
      </c>
      <c r="D175" s="14">
        <f t="shared" si="1"/>
        <v>0.1397176629</v>
      </c>
      <c r="E175" s="26" t="s">
        <v>997</v>
      </c>
      <c r="F175" s="16">
        <f t="shared" si="2"/>
        <v>238.2847939</v>
      </c>
      <c r="G175" s="17">
        <v>1.628192333033448E11</v>
      </c>
      <c r="H175" s="22">
        <v>2017.0</v>
      </c>
      <c r="I175" s="22" t="s">
        <v>964</v>
      </c>
      <c r="J175" s="22">
        <v>55.5</v>
      </c>
      <c r="K175" s="22">
        <v>53.2</v>
      </c>
      <c r="L175" s="20">
        <v>12.4741307475021</v>
      </c>
      <c r="M175" s="20">
        <f t="shared" si="32"/>
        <v>55.4</v>
      </c>
      <c r="N175" s="20">
        <f t="shared" si="33"/>
        <v>2.151743479</v>
      </c>
      <c r="O175" s="20">
        <v>14.0523361024415</v>
      </c>
      <c r="P175" s="13" t="s">
        <v>1000</v>
      </c>
      <c r="Q175" s="13" t="s">
        <v>1001</v>
      </c>
      <c r="R175" s="6"/>
      <c r="S175" s="6"/>
      <c r="T175" s="6"/>
      <c r="U175" s="6"/>
      <c r="V175" s="6"/>
    </row>
    <row r="176">
      <c r="A176" s="13" t="s">
        <v>1002</v>
      </c>
      <c r="B176" s="13" t="s">
        <v>1003</v>
      </c>
      <c r="C176" s="13" t="s">
        <v>1004</v>
      </c>
      <c r="D176" s="14">
        <f t="shared" si="1"/>
        <v>-0.210524187</v>
      </c>
      <c r="E176" s="26" t="s">
        <v>1002</v>
      </c>
      <c r="F176" s="16">
        <f t="shared" si="2"/>
        <v>136.1968796</v>
      </c>
      <c r="G176" s="17">
        <v>8.992437530685558E10</v>
      </c>
      <c r="H176" s="22">
        <v>2016.0</v>
      </c>
      <c r="I176" s="22" t="s">
        <v>964</v>
      </c>
      <c r="J176" s="22">
        <v>53.2</v>
      </c>
      <c r="K176" s="22">
        <v>51.6</v>
      </c>
      <c r="L176" s="20">
        <v>14.0523361024415</v>
      </c>
      <c r="M176" s="20">
        <f t="shared" si="32"/>
        <v>53.43333333</v>
      </c>
      <c r="N176" s="20">
        <f t="shared" si="33"/>
        <v>1.960442127</v>
      </c>
      <c r="O176" s="20">
        <v>19.6496007142997</v>
      </c>
      <c r="P176" s="13" t="s">
        <v>1005</v>
      </c>
      <c r="Q176" s="13" t="s">
        <v>1006</v>
      </c>
      <c r="R176" s="6"/>
      <c r="S176" s="6"/>
      <c r="T176" s="6"/>
      <c r="U176" s="6"/>
      <c r="V176" s="6"/>
    </row>
    <row r="177">
      <c r="A177" s="13" t="s">
        <v>1007</v>
      </c>
      <c r="B177" s="13" t="s">
        <v>1008</v>
      </c>
      <c r="C177" s="13" t="s">
        <v>1009</v>
      </c>
      <c r="D177" s="14">
        <f t="shared" si="1"/>
        <v>-0.2656415894</v>
      </c>
      <c r="E177" s="26" t="s">
        <v>1007</v>
      </c>
      <c r="F177" s="16">
        <f t="shared" si="2"/>
        <v>113.7135737</v>
      </c>
      <c r="G177" s="17">
        <v>6.8251322758971085E10</v>
      </c>
      <c r="H177" s="22">
        <v>2015.0</v>
      </c>
      <c r="I177" s="22" t="s">
        <v>964</v>
      </c>
      <c r="J177" s="22">
        <v>51.6</v>
      </c>
      <c r="K177" s="22">
        <v>48.3</v>
      </c>
      <c r="L177" s="20">
        <v>19.6496007142997</v>
      </c>
      <c r="M177" s="20">
        <f t="shared" si="32"/>
        <v>51.03333333</v>
      </c>
      <c r="N177" s="20">
        <f t="shared" si="33"/>
        <v>2.498666311</v>
      </c>
      <c r="O177" s="20">
        <v>28.846600976154</v>
      </c>
      <c r="P177" s="13" t="s">
        <v>1010</v>
      </c>
      <c r="Q177" s="13" t="s">
        <v>1011</v>
      </c>
      <c r="R177" s="6"/>
      <c r="S177" s="6"/>
      <c r="T177" s="6"/>
      <c r="U177" s="6"/>
      <c r="V177" s="6"/>
    </row>
    <row r="178">
      <c r="A178" s="13" t="s">
        <v>1012</v>
      </c>
      <c r="B178" s="13" t="s">
        <v>1013</v>
      </c>
      <c r="C178" s="13" t="s">
        <v>1014</v>
      </c>
      <c r="D178" s="14">
        <f t="shared" si="1"/>
        <v>-0.6831467697</v>
      </c>
      <c r="E178" s="26" t="s">
        <v>1012</v>
      </c>
      <c r="F178" s="16">
        <f t="shared" si="2"/>
        <v>117.421644</v>
      </c>
      <c r="G178" s="17">
        <v>6.919887057512306E10</v>
      </c>
      <c r="H178" s="22">
        <v>2014.0</v>
      </c>
      <c r="I178" s="22" t="s">
        <v>964</v>
      </c>
      <c r="J178" s="22">
        <v>48.3</v>
      </c>
      <c r="K178" s="20"/>
      <c r="L178" s="20">
        <v>28.846600976154</v>
      </c>
      <c r="M178" s="20"/>
      <c r="N178" s="20"/>
      <c r="O178" s="32"/>
      <c r="P178" s="13" t="s">
        <v>1015</v>
      </c>
      <c r="Q178" s="13" t="s">
        <v>1016</v>
      </c>
      <c r="R178" s="6"/>
      <c r="S178" s="6"/>
      <c r="T178" s="6"/>
      <c r="U178" s="6"/>
      <c r="V178" s="6"/>
    </row>
    <row r="179">
      <c r="A179" s="39" t="s">
        <v>1017</v>
      </c>
      <c r="B179" s="39" t="s">
        <v>1018</v>
      </c>
      <c r="C179" s="39" t="s">
        <v>1019</v>
      </c>
      <c r="D179" s="14">
        <f t="shared" si="1"/>
        <v>0.02642297525</v>
      </c>
      <c r="E179" s="30" t="s">
        <v>1017</v>
      </c>
      <c r="F179" s="16">
        <f t="shared" si="2"/>
        <v>332.8373495</v>
      </c>
      <c r="G179" s="42">
        <f>(9586.78*478973330000)/10000</f>
        <v>459181194058</v>
      </c>
      <c r="H179" s="43">
        <v>2024.0</v>
      </c>
      <c r="I179" s="22" t="s">
        <v>1020</v>
      </c>
      <c r="J179" s="32">
        <v>65.35</v>
      </c>
      <c r="K179" s="32">
        <v>61.7</v>
      </c>
      <c r="L179" s="20">
        <v>23.6602096848236</v>
      </c>
      <c r="M179" s="20"/>
      <c r="N179" s="20"/>
      <c r="O179" s="20">
        <v>21.6148974043115</v>
      </c>
      <c r="P179" s="39" t="s">
        <v>1021</v>
      </c>
      <c r="Q179" s="39" t="s">
        <v>1022</v>
      </c>
      <c r="R179" s="44"/>
      <c r="S179" s="38"/>
      <c r="T179" s="38"/>
      <c r="U179" s="38"/>
      <c r="V179" s="6"/>
    </row>
    <row r="180">
      <c r="A180" s="39" t="s">
        <v>1023</v>
      </c>
      <c r="B180" s="39" t="s">
        <v>1024</v>
      </c>
      <c r="C180" s="39" t="s">
        <v>1025</v>
      </c>
      <c r="D180" s="14">
        <f t="shared" si="1"/>
        <v>-0.2238220225</v>
      </c>
      <c r="E180" s="30" t="s">
        <v>1023</v>
      </c>
      <c r="F180" s="16">
        <f t="shared" si="2"/>
        <v>293.0650105</v>
      </c>
      <c r="G180" s="32">
        <f>(7598.894942*478973330000)/10000</f>
        <v>363966801469</v>
      </c>
      <c r="H180" s="43">
        <v>2023.0</v>
      </c>
      <c r="I180" s="22" t="s">
        <v>1020</v>
      </c>
      <c r="J180" s="32">
        <v>61.7</v>
      </c>
      <c r="K180" s="32">
        <v>57.7</v>
      </c>
      <c r="L180" s="20">
        <v>21.6148974043115</v>
      </c>
      <c r="M180" s="20">
        <f t="shared" ref="M180:M188" si="34">(J179+J180+J181)/3</f>
        <v>61.58333333</v>
      </c>
      <c r="N180" s="20">
        <f t="shared" ref="N180:N188" si="35">sqrt((((J179-M180)^2)+((J180-M180)^2)+((J181-M180)^2))/2)</f>
        <v>3.82633419</v>
      </c>
      <c r="O180" s="20">
        <v>18.1756591237636</v>
      </c>
      <c r="P180" s="39" t="s">
        <v>1026</v>
      </c>
      <c r="Q180" s="39" t="s">
        <v>1027</v>
      </c>
      <c r="R180" s="6"/>
      <c r="S180" s="6"/>
      <c r="T180" s="6"/>
      <c r="U180" s="6"/>
      <c r="V180" s="6"/>
    </row>
    <row r="181">
      <c r="A181" s="39" t="s">
        <v>1028</v>
      </c>
      <c r="B181" s="39" t="s">
        <v>1029</v>
      </c>
      <c r="C181" s="39" t="s">
        <v>1030</v>
      </c>
      <c r="D181" s="14">
        <f t="shared" si="1"/>
        <v>-0.04795160044</v>
      </c>
      <c r="E181" s="30" t="s">
        <v>1028</v>
      </c>
      <c r="F181" s="16">
        <f t="shared" si="2"/>
        <v>371.3142205</v>
      </c>
      <c r="G181" s="32">
        <f>(8384.720851*478973330000)/10000</f>
        <v>401605766712</v>
      </c>
      <c r="H181" s="43">
        <v>2022.0</v>
      </c>
      <c r="I181" s="22" t="s">
        <v>1020</v>
      </c>
      <c r="J181" s="32">
        <v>57.7</v>
      </c>
      <c r="K181" s="32">
        <v>52.5</v>
      </c>
      <c r="L181" s="20">
        <v>18.1756591237636</v>
      </c>
      <c r="M181" s="20">
        <f t="shared" si="34"/>
        <v>57.3</v>
      </c>
      <c r="N181" s="20">
        <f t="shared" si="35"/>
        <v>4.613025038</v>
      </c>
      <c r="O181" s="20">
        <v>12.1839371970674</v>
      </c>
      <c r="P181" s="39" t="s">
        <v>1031</v>
      </c>
      <c r="Q181" s="39" t="s">
        <v>1032</v>
      </c>
      <c r="R181" s="6"/>
      <c r="S181" s="6"/>
      <c r="T181" s="6"/>
      <c r="U181" s="6"/>
      <c r="V181" s="6"/>
    </row>
    <row r="182">
      <c r="A182" s="39" t="s">
        <v>1033</v>
      </c>
      <c r="B182" s="39" t="s">
        <v>1034</v>
      </c>
      <c r="C182" s="39" t="s">
        <v>1035</v>
      </c>
      <c r="D182" s="14">
        <f t="shared" si="1"/>
        <v>0.5194319373</v>
      </c>
      <c r="E182" s="30" t="s">
        <v>1033</v>
      </c>
      <c r="F182" s="16">
        <f t="shared" si="2"/>
        <v>545.463248</v>
      </c>
      <c r="G182" s="32">
        <f>(16250.41421*478973330000)/10000</f>
        <v>778351500804</v>
      </c>
      <c r="H182" s="43">
        <v>2021.0</v>
      </c>
      <c r="I182" s="22" t="s">
        <v>1020</v>
      </c>
      <c r="J182" s="32">
        <v>52.5</v>
      </c>
      <c r="K182" s="32">
        <v>48.55</v>
      </c>
      <c r="L182" s="20">
        <v>12.1839371970674</v>
      </c>
      <c r="M182" s="20">
        <f t="shared" si="34"/>
        <v>52.91666667</v>
      </c>
      <c r="N182" s="20">
        <f t="shared" si="35"/>
        <v>4.589208356</v>
      </c>
      <c r="O182" s="20">
        <v>12.2738906719289</v>
      </c>
      <c r="P182" s="39" t="s">
        <v>1036</v>
      </c>
      <c r="Q182" s="39" t="s">
        <v>1037</v>
      </c>
      <c r="R182" s="6"/>
      <c r="S182" s="6"/>
      <c r="T182" s="6"/>
      <c r="U182" s="6"/>
      <c r="V182" s="6"/>
    </row>
    <row r="183">
      <c r="A183" s="39" t="s">
        <v>1038</v>
      </c>
      <c r="B183" s="39" t="s">
        <v>1039</v>
      </c>
      <c r="C183" s="39" t="s">
        <v>1040</v>
      </c>
      <c r="D183" s="14">
        <f t="shared" si="1"/>
        <v>-0.1466483057</v>
      </c>
      <c r="E183" s="30" t="s">
        <v>1038</v>
      </c>
      <c r="F183" s="16">
        <f t="shared" si="2"/>
        <v>288.7329032</v>
      </c>
      <c r="G183" s="32">
        <f>(6351.077885*478973330000)/10000</f>
        <v>304199692367</v>
      </c>
      <c r="H183" s="43">
        <v>2020.0</v>
      </c>
      <c r="I183" s="22" t="s">
        <v>1020</v>
      </c>
      <c r="J183" s="32">
        <v>48.55</v>
      </c>
      <c r="K183" s="32">
        <v>42.73</v>
      </c>
      <c r="L183" s="20">
        <v>12.2738906719289</v>
      </c>
      <c r="M183" s="20">
        <f t="shared" si="34"/>
        <v>47.92666667</v>
      </c>
      <c r="N183" s="20">
        <f t="shared" si="35"/>
        <v>4.914736344</v>
      </c>
      <c r="O183" s="20">
        <v>11.3076296512967</v>
      </c>
      <c r="P183" s="39" t="s">
        <v>1041</v>
      </c>
      <c r="Q183" s="39" t="s">
        <v>1042</v>
      </c>
      <c r="R183" s="6"/>
      <c r="S183" s="6"/>
      <c r="T183" s="6"/>
      <c r="U183" s="6"/>
      <c r="V183" s="6"/>
    </row>
    <row r="184">
      <c r="A184" s="39" t="s">
        <v>1043</v>
      </c>
      <c r="B184" s="39" t="s">
        <v>1044</v>
      </c>
      <c r="C184" s="39" t="s">
        <v>1045</v>
      </c>
      <c r="D184" s="14">
        <f t="shared" si="1"/>
        <v>-0.2740034113</v>
      </c>
      <c r="E184" s="30" t="s">
        <v>1043</v>
      </c>
      <c r="F184" s="16">
        <f t="shared" si="2"/>
        <v>229.5972284</v>
      </c>
      <c r="G184" s="32">
        <f>(478973330000*5198.664559)/10000</f>
        <v>249002167538</v>
      </c>
      <c r="H184" s="43">
        <v>2019.0</v>
      </c>
      <c r="I184" s="22" t="s">
        <v>1020</v>
      </c>
      <c r="J184" s="32">
        <v>42.73</v>
      </c>
      <c r="K184" s="32">
        <v>36.925</v>
      </c>
      <c r="L184" s="20">
        <v>11.3076296512967</v>
      </c>
      <c r="M184" s="20">
        <f t="shared" si="34"/>
        <v>42.735</v>
      </c>
      <c r="N184" s="20">
        <f t="shared" si="35"/>
        <v>5.812501613</v>
      </c>
      <c r="O184" s="20">
        <v>11.3396223992414</v>
      </c>
      <c r="P184" s="39" t="s">
        <v>1046</v>
      </c>
      <c r="Q184" s="39" t="s">
        <v>1047</v>
      </c>
      <c r="R184" s="6"/>
      <c r="S184" s="6"/>
      <c r="T184" s="6"/>
      <c r="U184" s="6"/>
      <c r="V184" s="6"/>
    </row>
    <row r="185">
      <c r="A185" s="39" t="s">
        <v>1048</v>
      </c>
      <c r="B185" s="39" t="s">
        <v>1049</v>
      </c>
      <c r="C185" s="39" t="s">
        <v>1050</v>
      </c>
      <c r="D185" s="14">
        <f t="shared" si="1"/>
        <v>-0.0593579493</v>
      </c>
      <c r="E185" s="30" t="s">
        <v>1048</v>
      </c>
      <c r="F185" s="16">
        <f t="shared" si="2"/>
        <v>432.0630694</v>
      </c>
      <c r="G185" s="32">
        <f>(11216.8192*478973330000)/10000</f>
        <v>537255724423</v>
      </c>
      <c r="H185" s="43">
        <v>2018.0</v>
      </c>
      <c r="I185" s="22" t="s">
        <v>1020</v>
      </c>
      <c r="J185" s="32">
        <v>36.925</v>
      </c>
      <c r="K185" s="32">
        <v>32.1</v>
      </c>
      <c r="L185" s="20">
        <v>11.3396223992414</v>
      </c>
      <c r="M185" s="20">
        <f t="shared" si="34"/>
        <v>37.25166667</v>
      </c>
      <c r="N185" s="20">
        <f t="shared" si="35"/>
        <v>5.322523681</v>
      </c>
      <c r="O185" s="20">
        <v>12.4741307475021</v>
      </c>
      <c r="P185" s="39" t="s">
        <v>1051</v>
      </c>
      <c r="Q185" s="39" t="s">
        <v>1052</v>
      </c>
      <c r="R185" s="6"/>
      <c r="S185" s="6"/>
      <c r="T185" s="6"/>
      <c r="U185" s="6"/>
      <c r="V185" s="6"/>
    </row>
    <row r="186">
      <c r="A186" s="39" t="s">
        <v>1053</v>
      </c>
      <c r="B186" s="39" t="s">
        <v>1054</v>
      </c>
      <c r="C186" s="39" t="s">
        <v>1055</v>
      </c>
      <c r="D186" s="14">
        <f t="shared" si="1"/>
        <v>0.01888350196</v>
      </c>
      <c r="E186" s="30" t="s">
        <v>1053</v>
      </c>
      <c r="F186" s="16">
        <f t="shared" si="2"/>
        <v>346.9326131</v>
      </c>
      <c r="G186" s="32">
        <f>(478973330000*8953.106478)/10000</f>
        <v>428829922361</v>
      </c>
      <c r="H186" s="43">
        <v>2017.0</v>
      </c>
      <c r="I186" s="22" t="s">
        <v>1020</v>
      </c>
      <c r="J186" s="32">
        <v>32.1</v>
      </c>
      <c r="K186" s="32">
        <v>28.5</v>
      </c>
      <c r="L186" s="20">
        <v>12.4741307475021</v>
      </c>
      <c r="M186" s="20">
        <f t="shared" si="34"/>
        <v>32.50833333</v>
      </c>
      <c r="N186" s="20">
        <f t="shared" si="35"/>
        <v>4.227316919</v>
      </c>
      <c r="O186" s="20">
        <v>14.0523361024415</v>
      </c>
      <c r="P186" s="39" t="s">
        <v>1056</v>
      </c>
      <c r="Q186" s="39" t="s">
        <v>1057</v>
      </c>
      <c r="R186" s="6"/>
      <c r="S186" s="6"/>
      <c r="T186" s="6"/>
      <c r="U186" s="6"/>
      <c r="V186" s="6"/>
    </row>
    <row r="187">
      <c r="A187" s="39" t="s">
        <v>1058</v>
      </c>
      <c r="B187" s="39" t="s">
        <v>1059</v>
      </c>
      <c r="C187" s="39" t="s">
        <v>1060</v>
      </c>
      <c r="D187" s="14">
        <f t="shared" si="1"/>
        <v>0.0002024833483</v>
      </c>
      <c r="E187" s="30" t="s">
        <v>1058</v>
      </c>
      <c r="F187" s="16">
        <f t="shared" si="2"/>
        <v>295.5837444</v>
      </c>
      <c r="G187" s="32">
        <f>(435433060000*7913.555446)/10000</f>
        <v>344582366333</v>
      </c>
      <c r="H187" s="43">
        <v>2016.0</v>
      </c>
      <c r="I187" s="22" t="s">
        <v>1020</v>
      </c>
      <c r="J187" s="32">
        <v>28.5</v>
      </c>
      <c r="K187" s="32">
        <v>25.76</v>
      </c>
      <c r="L187" s="20">
        <v>14.0523361024415</v>
      </c>
      <c r="M187" s="20">
        <f t="shared" si="34"/>
        <v>28.78666667</v>
      </c>
      <c r="N187" s="20">
        <f t="shared" si="35"/>
        <v>3.179706485</v>
      </c>
      <c r="O187" s="20">
        <v>19.6496007142997</v>
      </c>
      <c r="P187" s="39" t="s">
        <v>1061</v>
      </c>
      <c r="Q187" s="39" t="s">
        <v>1062</v>
      </c>
      <c r="R187" s="6"/>
      <c r="S187" s="6"/>
      <c r="T187" s="6"/>
      <c r="U187" s="6"/>
      <c r="V187" s="6"/>
    </row>
    <row r="188">
      <c r="A188" s="39" t="s">
        <v>1063</v>
      </c>
      <c r="B188" s="39" t="s">
        <v>1064</v>
      </c>
      <c r="C188" s="39" t="s">
        <v>1065</v>
      </c>
      <c r="D188" s="14">
        <f t="shared" si="1"/>
        <v>0.04466877459</v>
      </c>
      <c r="E188" s="30" t="s">
        <v>1063</v>
      </c>
      <c r="F188" s="16">
        <f t="shared" si="2"/>
        <v>236.8048637</v>
      </c>
      <c r="G188" s="32">
        <f>(435433060000*7332.484292)/10000</f>
        <v>319280607267</v>
      </c>
      <c r="H188" s="43">
        <v>2015.0</v>
      </c>
      <c r="I188" s="22" t="s">
        <v>1020</v>
      </c>
      <c r="J188" s="32">
        <v>25.76</v>
      </c>
      <c r="K188" s="22">
        <v>23.15</v>
      </c>
      <c r="L188" s="20">
        <v>19.6496007142997</v>
      </c>
      <c r="M188" s="20">
        <f t="shared" si="34"/>
        <v>25.80333333</v>
      </c>
      <c r="N188" s="20">
        <f t="shared" si="35"/>
        <v>2.675263227</v>
      </c>
      <c r="O188" s="20">
        <v>28.846600976154</v>
      </c>
      <c r="P188" s="39" t="s">
        <v>1066</v>
      </c>
      <c r="Q188" s="39" t="s">
        <v>1067</v>
      </c>
      <c r="R188" s="6"/>
      <c r="S188" s="6"/>
      <c r="T188" s="6"/>
      <c r="U188" s="6"/>
      <c r="V188" s="6"/>
    </row>
    <row r="189">
      <c r="A189" s="39" t="s">
        <v>1068</v>
      </c>
      <c r="B189" s="39" t="s">
        <v>1069</v>
      </c>
      <c r="C189" s="39" t="s">
        <v>1070</v>
      </c>
      <c r="D189" s="14">
        <f t="shared" si="1"/>
        <v>2.564535984</v>
      </c>
      <c r="E189" s="30" t="s">
        <v>1068</v>
      </c>
      <c r="F189" s="16">
        <f t="shared" si="2"/>
        <v>224.8898666</v>
      </c>
      <c r="G189" s="32">
        <f>(435433060000*8129.9657)/10000</f>
        <v>354005584245</v>
      </c>
      <c r="H189" s="43">
        <v>2014.0</v>
      </c>
      <c r="I189" s="22" t="s">
        <v>1020</v>
      </c>
      <c r="J189" s="22">
        <v>23.15</v>
      </c>
      <c r="K189" s="20"/>
      <c r="L189" s="20">
        <v>28.846600976154</v>
      </c>
      <c r="M189" s="20"/>
      <c r="N189" s="20"/>
      <c r="O189" s="32"/>
      <c r="P189" s="39" t="s">
        <v>1071</v>
      </c>
      <c r="Q189" s="39" t="s">
        <v>1072</v>
      </c>
      <c r="R189" s="6"/>
      <c r="S189" s="6"/>
      <c r="T189" s="6"/>
      <c r="U189" s="6"/>
      <c r="V189" s="6"/>
    </row>
    <row r="190">
      <c r="A190" s="39" t="s">
        <v>1073</v>
      </c>
      <c r="B190" s="39" t="s">
        <v>1074</v>
      </c>
      <c r="C190" s="39" t="s">
        <v>1075</v>
      </c>
      <c r="D190" s="14">
        <f t="shared" si="1"/>
        <v>-0.05041857708</v>
      </c>
      <c r="E190" s="30" t="s">
        <v>1073</v>
      </c>
      <c r="F190" s="16">
        <f t="shared" si="2"/>
        <v>2263.256829</v>
      </c>
      <c r="G190" s="42">
        <f>(1012063520000*32301.11841)/10000</f>
        <v>3269078359796</v>
      </c>
      <c r="H190" s="43">
        <v>2024.0</v>
      </c>
      <c r="I190" s="22" t="s">
        <v>1076</v>
      </c>
      <c r="J190" s="32">
        <v>72.75</v>
      </c>
      <c r="K190" s="32">
        <v>69.45</v>
      </c>
      <c r="L190" s="20">
        <v>23.6602096848236</v>
      </c>
      <c r="M190" s="20"/>
      <c r="N190" s="20"/>
      <c r="O190" s="20">
        <v>21.6148974043115</v>
      </c>
      <c r="P190" s="39" t="s">
        <v>1077</v>
      </c>
      <c r="Q190" s="39" t="s">
        <v>1078</v>
      </c>
      <c r="R190" s="6"/>
      <c r="S190" s="6"/>
      <c r="T190" s="6"/>
      <c r="U190" s="6"/>
      <c r="V190" s="6"/>
    </row>
    <row r="191">
      <c r="A191" s="39" t="s">
        <v>1079</v>
      </c>
      <c r="B191" s="39" t="s">
        <v>1080</v>
      </c>
      <c r="C191" s="39" t="s">
        <v>1081</v>
      </c>
      <c r="D191" s="14">
        <f t="shared" si="1"/>
        <v>-0.1138167814</v>
      </c>
      <c r="E191" s="30" t="s">
        <v>1079</v>
      </c>
      <c r="F191" s="16">
        <f t="shared" si="2"/>
        <v>1746.70706</v>
      </c>
      <c r="G191" s="32">
        <f>(1012063520000*26676.89698)/10000</f>
        <v>2699871426026</v>
      </c>
      <c r="H191" s="43">
        <v>2023.0</v>
      </c>
      <c r="I191" s="22" t="s">
        <v>1076</v>
      </c>
      <c r="J191" s="32">
        <v>69.45</v>
      </c>
      <c r="K191" s="32">
        <v>65.35</v>
      </c>
      <c r="L191" s="20">
        <v>21.6148974043115</v>
      </c>
      <c r="M191" s="20">
        <f t="shared" ref="M191:M199" si="36">(J190+J191+J192)/3</f>
        <v>69.18333333</v>
      </c>
      <c r="N191" s="20">
        <f t="shared" ref="N191:N199" si="37">sqrt((((J190-M191)^2)+((J191-M191)^2)+((J192-M191)^2))/2)</f>
        <v>3.707200201</v>
      </c>
      <c r="O191" s="20">
        <v>18.1756591237636</v>
      </c>
      <c r="P191" s="39" t="s">
        <v>1082</v>
      </c>
      <c r="Q191" s="39" t="s">
        <v>1083</v>
      </c>
      <c r="R191" s="6"/>
      <c r="S191" s="6"/>
      <c r="T191" s="6"/>
      <c r="U191" s="6"/>
      <c r="V191" s="6"/>
    </row>
    <row r="192">
      <c r="A192" s="39" t="s">
        <v>1084</v>
      </c>
      <c r="B192" s="39" t="s">
        <v>1085</v>
      </c>
      <c r="C192" s="39" t="s">
        <v>1086</v>
      </c>
      <c r="D192" s="14">
        <f t="shared" si="1"/>
        <v>0.1342094381</v>
      </c>
      <c r="E192" s="30" t="s">
        <v>1084</v>
      </c>
      <c r="F192" s="16">
        <f t="shared" si="2"/>
        <v>1061.190326</v>
      </c>
      <c r="G192" s="32">
        <f>(937102000000*20028.91052)/10000</f>
        <v>1876913210611</v>
      </c>
      <c r="H192" s="43">
        <v>2022.0</v>
      </c>
      <c r="I192" s="22" t="s">
        <v>1076</v>
      </c>
      <c r="J192" s="32">
        <v>65.35</v>
      </c>
      <c r="K192" s="32">
        <v>60.9</v>
      </c>
      <c r="L192" s="20">
        <v>18.1756591237636</v>
      </c>
      <c r="M192" s="20">
        <f t="shared" si="36"/>
        <v>65.23333333</v>
      </c>
      <c r="N192" s="20">
        <f t="shared" si="37"/>
        <v>4.27619379</v>
      </c>
      <c r="O192" s="20">
        <v>12.1839371970674</v>
      </c>
      <c r="P192" s="39" t="s">
        <v>1087</v>
      </c>
      <c r="Q192" s="39" t="s">
        <v>1088</v>
      </c>
      <c r="R192" s="6"/>
      <c r="S192" s="6"/>
      <c r="T192" s="6"/>
      <c r="U192" s="6"/>
      <c r="V192" s="6"/>
    </row>
    <row r="193">
      <c r="A193" s="39" t="s">
        <v>1089</v>
      </c>
      <c r="B193" s="39" t="s">
        <v>1090</v>
      </c>
      <c r="C193" s="39" t="s">
        <v>1091</v>
      </c>
      <c r="D193" s="14">
        <f t="shared" si="1"/>
        <v>0.5319996638</v>
      </c>
      <c r="E193" s="30" t="s">
        <v>1089</v>
      </c>
      <c r="F193" s="16">
        <f t="shared" si="2"/>
        <v>867.4351168</v>
      </c>
      <c r="G193" s="32">
        <f>(16957.50014*937102000000)/10000</f>
        <v>1589090729619</v>
      </c>
      <c r="H193" s="43">
        <v>2021.0</v>
      </c>
      <c r="I193" s="22" t="s">
        <v>1076</v>
      </c>
      <c r="J193" s="32">
        <v>60.9</v>
      </c>
      <c r="K193" s="32">
        <v>56.7</v>
      </c>
      <c r="L193" s="20">
        <v>12.1839371970674</v>
      </c>
      <c r="M193" s="20">
        <f t="shared" si="36"/>
        <v>60.98333333</v>
      </c>
      <c r="N193" s="20">
        <f t="shared" si="37"/>
        <v>4.325602078</v>
      </c>
      <c r="O193" s="20">
        <v>12.2738906719289</v>
      </c>
      <c r="P193" s="39" t="s">
        <v>1092</v>
      </c>
      <c r="Q193" s="39" t="s">
        <v>1093</v>
      </c>
      <c r="R193" s="6"/>
      <c r="S193" s="6"/>
      <c r="T193" s="6"/>
      <c r="U193" s="6"/>
      <c r="V193" s="6"/>
    </row>
    <row r="194">
      <c r="A194" s="39" t="s">
        <v>1094</v>
      </c>
      <c r="B194" s="39" t="s">
        <v>1095</v>
      </c>
      <c r="C194" s="39" t="s">
        <v>1096</v>
      </c>
      <c r="D194" s="14">
        <f t="shared" si="1"/>
        <v>-0.3322455688</v>
      </c>
      <c r="E194" s="30" t="s">
        <v>1094</v>
      </c>
      <c r="F194" s="16">
        <f t="shared" si="2"/>
        <v>756.5039325</v>
      </c>
      <c r="G194" s="32">
        <f>(937102000000*14726.12466)/10000</f>
        <v>1379988087114</v>
      </c>
      <c r="H194" s="43">
        <v>2020.0</v>
      </c>
      <c r="I194" s="22" t="s">
        <v>1076</v>
      </c>
      <c r="J194" s="32">
        <v>56.7</v>
      </c>
      <c r="K194" s="32">
        <v>51.85</v>
      </c>
      <c r="L194" s="20">
        <v>12.2738906719289</v>
      </c>
      <c r="M194" s="20">
        <f t="shared" si="36"/>
        <v>56.48333333</v>
      </c>
      <c r="N194" s="20">
        <f t="shared" si="37"/>
        <v>4.528888753</v>
      </c>
      <c r="O194" s="20">
        <v>11.3076296512967</v>
      </c>
      <c r="P194" s="39" t="s">
        <v>1097</v>
      </c>
      <c r="Q194" s="39" t="s">
        <v>1098</v>
      </c>
      <c r="R194" s="6"/>
      <c r="S194" s="6"/>
      <c r="T194" s="6"/>
      <c r="U194" s="6"/>
      <c r="V194" s="6"/>
    </row>
    <row r="195">
      <c r="A195" s="39" t="s">
        <v>1099</v>
      </c>
      <c r="B195" s="39" t="s">
        <v>1100</v>
      </c>
      <c r="C195" s="39" t="s">
        <v>1101</v>
      </c>
      <c r="D195" s="14">
        <f t="shared" si="1"/>
        <v>0.03833416838</v>
      </c>
      <c r="E195" s="30" t="s">
        <v>1099</v>
      </c>
      <c r="F195" s="16">
        <f t="shared" si="2"/>
        <v>570.142985</v>
      </c>
      <c r="G195" s="32">
        <f>(937102000000*12677.53088)/10000</f>
        <v>1188013954271</v>
      </c>
      <c r="H195" s="43">
        <v>2019.0</v>
      </c>
      <c r="I195" s="22" t="s">
        <v>1076</v>
      </c>
      <c r="J195" s="32">
        <v>51.85</v>
      </c>
      <c r="K195" s="32">
        <v>48.65</v>
      </c>
      <c r="L195" s="20">
        <v>11.3076296512967</v>
      </c>
      <c r="M195" s="20">
        <f t="shared" si="36"/>
        <v>52.4</v>
      </c>
      <c r="N195" s="20">
        <f t="shared" si="37"/>
        <v>4.053085245</v>
      </c>
      <c r="O195" s="20">
        <v>11.3396223992414</v>
      </c>
      <c r="P195" s="39" t="s">
        <v>1102</v>
      </c>
      <c r="Q195" s="39" t="s">
        <v>1103</v>
      </c>
      <c r="R195" s="6"/>
      <c r="S195" s="6"/>
      <c r="T195" s="6"/>
      <c r="U195" s="6"/>
      <c r="V195" s="6"/>
    </row>
    <row r="196">
      <c r="A196" s="39" t="s">
        <v>1104</v>
      </c>
      <c r="B196" s="39" t="s">
        <v>1105</v>
      </c>
      <c r="C196" s="39" t="s">
        <v>1106</v>
      </c>
      <c r="D196" s="14">
        <f t="shared" si="1"/>
        <v>0.003765895594</v>
      </c>
      <c r="E196" s="30" t="s">
        <v>1104</v>
      </c>
      <c r="F196" s="16">
        <f t="shared" si="2"/>
        <v>480.4694906</v>
      </c>
      <c r="G196" s="32">
        <f>(937102000000*11843.96047)/10000</f>
        <v>1109899904436</v>
      </c>
      <c r="H196" s="43">
        <v>2018.0</v>
      </c>
      <c r="I196" s="22" t="s">
        <v>1076</v>
      </c>
      <c r="J196" s="32">
        <v>48.65</v>
      </c>
      <c r="K196" s="32">
        <v>44.4</v>
      </c>
      <c r="L196" s="20">
        <v>11.3396223992414</v>
      </c>
      <c r="M196" s="20">
        <f t="shared" si="36"/>
        <v>48.3</v>
      </c>
      <c r="N196" s="20">
        <f t="shared" si="37"/>
        <v>3.737311868</v>
      </c>
      <c r="O196" s="20">
        <v>12.4741307475021</v>
      </c>
      <c r="P196" s="39" t="s">
        <v>1107</v>
      </c>
      <c r="Q196" s="39" t="s">
        <v>1108</v>
      </c>
      <c r="R196" s="6"/>
      <c r="S196" s="6"/>
      <c r="T196" s="6"/>
      <c r="U196" s="6"/>
      <c r="V196" s="6"/>
    </row>
    <row r="197">
      <c r="A197" s="39" t="s">
        <v>1109</v>
      </c>
      <c r="B197" s="39" t="s">
        <v>1110</v>
      </c>
      <c r="C197" s="39" t="s">
        <v>1111</v>
      </c>
      <c r="D197" s="14">
        <f t="shared" si="1"/>
        <v>0.2027364569</v>
      </c>
      <c r="E197" s="30" t="s">
        <v>1109</v>
      </c>
      <c r="F197" s="16">
        <f t="shared" si="2"/>
        <v>424.64996</v>
      </c>
      <c r="G197" s="32">
        <f>(937102000000*11193.38672/10000)</f>
        <v>1048934508209</v>
      </c>
      <c r="H197" s="43">
        <v>2017.0</v>
      </c>
      <c r="I197" s="22" t="s">
        <v>1076</v>
      </c>
      <c r="J197" s="32">
        <v>44.4</v>
      </c>
      <c r="K197" s="32">
        <v>36.65</v>
      </c>
      <c r="L197" s="20">
        <v>12.4741307475021</v>
      </c>
      <c r="M197" s="20">
        <f t="shared" si="36"/>
        <v>43.23333333</v>
      </c>
      <c r="N197" s="20">
        <f t="shared" si="37"/>
        <v>6.084474779</v>
      </c>
      <c r="O197" s="20">
        <v>14.0523361024415</v>
      </c>
      <c r="P197" s="39" t="s">
        <v>1112</v>
      </c>
      <c r="Q197" s="39" t="s">
        <v>1113</v>
      </c>
      <c r="R197" s="6"/>
      <c r="S197" s="6"/>
      <c r="T197" s="6"/>
      <c r="U197" s="6"/>
      <c r="V197" s="6"/>
    </row>
    <row r="198">
      <c r="A198" s="39" t="s">
        <v>1114</v>
      </c>
      <c r="B198" s="39" t="s">
        <v>1115</v>
      </c>
      <c r="C198" s="39" t="s">
        <v>1116</v>
      </c>
      <c r="D198" s="14">
        <f t="shared" si="1"/>
        <v>-0.1374151497</v>
      </c>
      <c r="E198" s="30" t="s">
        <v>1114</v>
      </c>
      <c r="F198" s="16">
        <f t="shared" si="2"/>
        <v>328.9215969</v>
      </c>
      <c r="G198" s="32">
        <f>(937102000000*9270.699133)/10000</f>
        <v>868759069893</v>
      </c>
      <c r="H198" s="43">
        <v>2016.0</v>
      </c>
      <c r="I198" s="22" t="s">
        <v>1076</v>
      </c>
      <c r="J198" s="32">
        <v>36.65</v>
      </c>
      <c r="K198" s="32">
        <v>35.0</v>
      </c>
      <c r="L198" s="20">
        <v>14.0523361024415</v>
      </c>
      <c r="M198" s="20">
        <f t="shared" si="36"/>
        <v>38.68333333</v>
      </c>
      <c r="N198" s="20">
        <f t="shared" si="37"/>
        <v>5.019047054</v>
      </c>
      <c r="O198" s="20">
        <v>19.6496007142997</v>
      </c>
      <c r="P198" s="39" t="s">
        <v>1117</v>
      </c>
      <c r="Q198" s="39" t="s">
        <v>1118</v>
      </c>
      <c r="R198" s="6"/>
      <c r="S198" s="6"/>
      <c r="T198" s="6"/>
      <c r="U198" s="6"/>
      <c r="V198" s="6"/>
    </row>
    <row r="199">
      <c r="A199" s="39" t="s">
        <v>1119</v>
      </c>
      <c r="B199" s="39" t="s">
        <v>1120</v>
      </c>
      <c r="C199" s="39" t="s">
        <v>1121</v>
      </c>
      <c r="D199" s="14">
        <f t="shared" si="1"/>
        <v>-0.002947961041</v>
      </c>
      <c r="E199" s="30" t="s">
        <v>1119</v>
      </c>
      <c r="F199" s="16">
        <f t="shared" si="2"/>
        <v>262.6576803</v>
      </c>
      <c r="G199" s="32">
        <f>(937102000000*8146.830446)/10000</f>
        <v>763441110461</v>
      </c>
      <c r="H199" s="43">
        <v>2015.0</v>
      </c>
      <c r="I199" s="22" t="s">
        <v>1076</v>
      </c>
      <c r="J199" s="32">
        <v>35.0</v>
      </c>
      <c r="K199" s="21">
        <v>34.55</v>
      </c>
      <c r="L199" s="20">
        <v>19.6496007142997</v>
      </c>
      <c r="M199" s="20">
        <f t="shared" si="36"/>
        <v>35.4</v>
      </c>
      <c r="N199" s="20">
        <f t="shared" si="37"/>
        <v>1.105667219</v>
      </c>
      <c r="O199" s="20">
        <v>28.846600976154</v>
      </c>
      <c r="P199" s="39" t="s">
        <v>1122</v>
      </c>
      <c r="Q199" s="39" t="s">
        <v>1123</v>
      </c>
      <c r="R199" s="6"/>
      <c r="S199" s="6"/>
      <c r="T199" s="6"/>
      <c r="U199" s="6"/>
      <c r="V199" s="6"/>
    </row>
    <row r="200">
      <c r="A200" s="39" t="s">
        <v>1124</v>
      </c>
      <c r="B200" s="39" t="s">
        <v>1125</v>
      </c>
      <c r="C200" s="39" t="s">
        <v>1126</v>
      </c>
      <c r="D200" s="14">
        <f t="shared" si="1"/>
        <v>0.5650001547</v>
      </c>
      <c r="E200" s="30" t="s">
        <v>1124</v>
      </c>
      <c r="F200" s="16">
        <f t="shared" si="2"/>
        <v>238.108694</v>
      </c>
      <c r="G200" s="32">
        <f>(937102000000*8124.088354)/10000</f>
        <v>761309944471</v>
      </c>
      <c r="H200" s="43">
        <v>2014.0</v>
      </c>
      <c r="I200" s="22" t="s">
        <v>1076</v>
      </c>
      <c r="J200" s="45">
        <v>34.55</v>
      </c>
      <c r="K200" s="32"/>
      <c r="L200" s="20">
        <v>28.846600976154</v>
      </c>
      <c r="M200" s="20"/>
      <c r="N200" s="20"/>
      <c r="O200" s="32"/>
      <c r="P200" s="39" t="s">
        <v>1127</v>
      </c>
      <c r="Q200" s="39" t="s">
        <v>1128</v>
      </c>
      <c r="R200" s="6"/>
      <c r="S200" s="6"/>
      <c r="T200" s="6"/>
      <c r="U200" s="6"/>
      <c r="V200" s="6"/>
    </row>
    <row r="201">
      <c r="A201" s="39" t="s">
        <v>1129</v>
      </c>
      <c r="B201" s="39" t="s">
        <v>1130</v>
      </c>
      <c r="C201" s="39" t="s">
        <v>1131</v>
      </c>
      <c r="D201" s="14">
        <f t="shared" si="1"/>
        <v>-0.06911226218</v>
      </c>
      <c r="E201" s="30" t="s">
        <v>1129</v>
      </c>
      <c r="F201" s="16">
        <f t="shared" si="2"/>
        <v>766.6763794</v>
      </c>
      <c r="G201" s="42">
        <f>(633317350000*10879.4532)/10000</f>
        <v>689014647007</v>
      </c>
      <c r="H201" s="43">
        <v>2024.0</v>
      </c>
      <c r="I201" s="22" t="s">
        <v>1132</v>
      </c>
      <c r="J201" s="32">
        <v>57.25</v>
      </c>
      <c r="K201" s="32">
        <v>56.0</v>
      </c>
      <c r="L201" s="20">
        <v>23.6602096848236</v>
      </c>
      <c r="M201" s="20"/>
      <c r="N201" s="20"/>
      <c r="O201" s="20">
        <v>21.6148974043115</v>
      </c>
      <c r="P201" s="39" t="s">
        <v>1133</v>
      </c>
      <c r="Q201" s="39" t="s">
        <v>1134</v>
      </c>
      <c r="R201" s="6"/>
      <c r="S201" s="6"/>
      <c r="T201" s="6"/>
      <c r="U201" s="6"/>
      <c r="V201" s="6"/>
    </row>
    <row r="202">
      <c r="A202" s="39" t="s">
        <v>1135</v>
      </c>
      <c r="B202" s="39" t="s">
        <v>1136</v>
      </c>
      <c r="C202" s="39" t="s">
        <v>1137</v>
      </c>
      <c r="D202" s="14">
        <f t="shared" si="1"/>
        <v>-0.001074315751</v>
      </c>
      <c r="E202" s="30" t="s">
        <v>1135</v>
      </c>
      <c r="F202" s="16">
        <f t="shared" si="2"/>
        <v>918.9050227</v>
      </c>
      <c r="G202" s="32">
        <f>(633317350000*13020.48407)/10000</f>
        <v>824609846693</v>
      </c>
      <c r="H202" s="43">
        <v>2023.0</v>
      </c>
      <c r="I202" s="22" t="s">
        <v>1132</v>
      </c>
      <c r="J202" s="32">
        <v>56.0</v>
      </c>
      <c r="K202" s="32">
        <v>52.55</v>
      </c>
      <c r="L202" s="20">
        <v>21.6148974043115</v>
      </c>
      <c r="M202" s="20">
        <f t="shared" ref="M202:M210" si="38">(J201+J202+J203)/3</f>
        <v>55.26666667</v>
      </c>
      <c r="N202" s="20">
        <f t="shared" ref="N202:N210" si="39">sqrt((((J201-M202)^2)+((J202-M202)^2)+((J203-M202)^2))/2)</f>
        <v>2.43430346</v>
      </c>
      <c r="O202" s="20">
        <v>18.1756591237636</v>
      </c>
      <c r="P202" s="39" t="s">
        <v>1138</v>
      </c>
      <c r="Q202" s="39" t="s">
        <v>1139</v>
      </c>
      <c r="R202" s="6"/>
      <c r="S202" s="6"/>
      <c r="T202" s="6"/>
      <c r="U202" s="6"/>
      <c r="V202" s="6"/>
    </row>
    <row r="203">
      <c r="A203" s="39" t="s">
        <v>1140</v>
      </c>
      <c r="B203" s="39" t="s">
        <v>1141</v>
      </c>
      <c r="C203" s="39" t="s">
        <v>1142</v>
      </c>
      <c r="D203" s="14">
        <f t="shared" si="1"/>
        <v>1.451853886</v>
      </c>
      <c r="E203" s="30" t="s">
        <v>1140</v>
      </c>
      <c r="F203" s="16">
        <f t="shared" si="2"/>
        <v>911.671486</v>
      </c>
      <c r="G203" s="32">
        <f>(633317350000*12337.80249)/10000</f>
        <v>781374437779</v>
      </c>
      <c r="H203" s="43">
        <v>2022.0</v>
      </c>
      <c r="I203" s="22" t="s">
        <v>1132</v>
      </c>
      <c r="J203" s="32">
        <v>52.55</v>
      </c>
      <c r="K203" s="32">
        <v>49.1</v>
      </c>
      <c r="L203" s="20">
        <v>18.1756591237636</v>
      </c>
      <c r="M203" s="20">
        <f t="shared" si="38"/>
        <v>52.55</v>
      </c>
      <c r="N203" s="20">
        <f t="shared" si="39"/>
        <v>3.45</v>
      </c>
      <c r="O203" s="20">
        <v>12.1839371970674</v>
      </c>
      <c r="P203" s="39" t="s">
        <v>1143</v>
      </c>
      <c r="Q203" s="39" t="s">
        <v>1144</v>
      </c>
      <c r="R203" s="6"/>
      <c r="S203" s="6"/>
      <c r="T203" s="6"/>
      <c r="U203" s="6"/>
      <c r="V203" s="6"/>
    </row>
    <row r="204">
      <c r="A204" s="39" t="s">
        <v>1145</v>
      </c>
      <c r="B204" s="39" t="s">
        <v>1146</v>
      </c>
      <c r="C204" s="39" t="s">
        <v>1147</v>
      </c>
      <c r="D204" s="14">
        <f t="shared" si="1"/>
        <v>-0.4507478384</v>
      </c>
      <c r="E204" s="30" t="s">
        <v>1145</v>
      </c>
      <c r="F204" s="16">
        <f t="shared" si="2"/>
        <v>1166.785416</v>
      </c>
      <c r="G204" s="32">
        <f>(633317350000*14951.01761)/10000</f>
        <v>946873885257</v>
      </c>
      <c r="H204" s="43">
        <v>2021.0</v>
      </c>
      <c r="I204" s="22" t="s">
        <v>1132</v>
      </c>
      <c r="J204" s="32">
        <v>49.1</v>
      </c>
      <c r="K204" s="32">
        <v>48.1</v>
      </c>
      <c r="L204" s="20">
        <v>12.1839371970674</v>
      </c>
      <c r="M204" s="20">
        <f t="shared" si="38"/>
        <v>49.91666667</v>
      </c>
      <c r="N204" s="20">
        <f t="shared" si="39"/>
        <v>2.33470198</v>
      </c>
      <c r="O204" s="20">
        <v>12.2738906719289</v>
      </c>
      <c r="P204" s="39" t="s">
        <v>1148</v>
      </c>
      <c r="Q204" s="39" t="s">
        <v>1149</v>
      </c>
      <c r="R204" s="6"/>
      <c r="S204" s="6"/>
      <c r="T204" s="6"/>
      <c r="U204" s="6"/>
      <c r="V204" s="6"/>
    </row>
    <row r="205">
      <c r="A205" s="39" t="s">
        <v>1150</v>
      </c>
      <c r="B205" s="39" t="s">
        <v>1151</v>
      </c>
      <c r="C205" s="39" t="s">
        <v>1152</v>
      </c>
      <c r="D205" s="14">
        <f t="shared" si="1"/>
        <v>-0.3268956177</v>
      </c>
      <c r="E205" s="30" t="s">
        <v>1150</v>
      </c>
      <c r="F205" s="16">
        <f t="shared" si="2"/>
        <v>717.5402939</v>
      </c>
      <c r="G205" s="32">
        <f>(633317350000*10026.21649)/10000</f>
        <v>634977685797</v>
      </c>
      <c r="H205" s="43">
        <v>2020.0</v>
      </c>
      <c r="I205" s="22" t="s">
        <v>1132</v>
      </c>
      <c r="J205" s="32">
        <v>48.1</v>
      </c>
      <c r="K205" s="32">
        <v>43.6</v>
      </c>
      <c r="L205" s="20">
        <v>12.2738906719289</v>
      </c>
      <c r="M205" s="20">
        <f t="shared" si="38"/>
        <v>46.93333333</v>
      </c>
      <c r="N205" s="20">
        <f t="shared" si="39"/>
        <v>2.929732639</v>
      </c>
      <c r="O205" s="20">
        <v>11.3076296512967</v>
      </c>
      <c r="P205" s="39" t="s">
        <v>1153</v>
      </c>
      <c r="Q205" s="39" t="s">
        <v>1154</v>
      </c>
      <c r="R205" s="6"/>
      <c r="S205" s="6"/>
      <c r="T205" s="6"/>
      <c r="U205" s="6"/>
      <c r="V205" s="6"/>
    </row>
    <row r="206">
      <c r="A206" s="39" t="s">
        <v>1155</v>
      </c>
      <c r="B206" s="39" t="s">
        <v>1156</v>
      </c>
      <c r="C206" s="39" t="s">
        <v>1157</v>
      </c>
      <c r="D206" s="14">
        <f t="shared" si="1"/>
        <v>0.02186657936</v>
      </c>
      <c r="E206" s="30" t="s">
        <v>1155</v>
      </c>
      <c r="F206" s="16">
        <f t="shared" si="2"/>
        <v>590.2786026</v>
      </c>
      <c r="G206" s="32">
        <f>(575749560000*9531.577541)/10000</f>
        <v>548780157534</v>
      </c>
      <c r="H206" s="43">
        <v>2019.0</v>
      </c>
      <c r="I206" s="22" t="s">
        <v>1132</v>
      </c>
      <c r="J206" s="32">
        <v>43.6</v>
      </c>
      <c r="K206" s="32">
        <v>39.9</v>
      </c>
      <c r="L206" s="20">
        <v>11.3076296512967</v>
      </c>
      <c r="M206" s="20">
        <f t="shared" si="38"/>
        <v>43.86666667</v>
      </c>
      <c r="N206" s="20">
        <f t="shared" si="39"/>
        <v>4.106498914</v>
      </c>
      <c r="O206" s="20">
        <v>11.3396223992414</v>
      </c>
      <c r="P206" s="39" t="s">
        <v>1158</v>
      </c>
      <c r="Q206" s="39" t="s">
        <v>1159</v>
      </c>
      <c r="R206" s="6"/>
      <c r="S206" s="6"/>
      <c r="T206" s="6"/>
      <c r="U206" s="6"/>
      <c r="V206" s="6"/>
    </row>
    <row r="207">
      <c r="A207" s="39" t="s">
        <v>1160</v>
      </c>
      <c r="B207" s="39" t="s">
        <v>1161</v>
      </c>
      <c r="C207" s="39" t="s">
        <v>1162</v>
      </c>
      <c r="D207" s="14">
        <f t="shared" si="1"/>
        <v>0.1019579108</v>
      </c>
      <c r="E207" s="30" t="s">
        <v>1160</v>
      </c>
      <c r="F207" s="16">
        <f t="shared" si="2"/>
        <v>598.2161102</v>
      </c>
      <c r="G207" s="32">
        <f>(479794370000*11114.137)/10000</f>
        <v>533250036001</v>
      </c>
      <c r="H207" s="43">
        <v>2018.0</v>
      </c>
      <c r="I207" s="22" t="s">
        <v>1132</v>
      </c>
      <c r="J207" s="32">
        <v>39.9</v>
      </c>
      <c r="K207" s="32">
        <v>36.0</v>
      </c>
      <c r="L207" s="20">
        <v>11.3396223992414</v>
      </c>
      <c r="M207" s="20">
        <f t="shared" si="38"/>
        <v>39.83333333</v>
      </c>
      <c r="N207" s="20">
        <f t="shared" si="39"/>
        <v>3.800438571</v>
      </c>
      <c r="O207" s="20">
        <v>12.4741307475021</v>
      </c>
      <c r="P207" s="39" t="s">
        <v>1163</v>
      </c>
      <c r="Q207" s="39" t="s">
        <v>1164</v>
      </c>
      <c r="R207" s="6"/>
      <c r="S207" s="6"/>
      <c r="T207" s="6"/>
      <c r="U207" s="6"/>
      <c r="V207" s="6"/>
    </row>
    <row r="208">
      <c r="A208" s="39" t="s">
        <v>1165</v>
      </c>
      <c r="B208" s="39" t="s">
        <v>1166</v>
      </c>
      <c r="C208" s="39" t="s">
        <v>1167</v>
      </c>
      <c r="D208" s="14">
        <f t="shared" si="1"/>
        <v>0.1287975205</v>
      </c>
      <c r="E208" s="30" t="s">
        <v>1165</v>
      </c>
      <c r="F208" s="16">
        <f t="shared" si="2"/>
        <v>656.5771655</v>
      </c>
      <c r="G208" s="32">
        <f>(342712420000*15818.26466)/10000</f>
        <v>542111576183</v>
      </c>
      <c r="H208" s="43">
        <v>2017.0</v>
      </c>
      <c r="I208" s="22" t="s">
        <v>1132</v>
      </c>
      <c r="J208" s="32">
        <v>36.0</v>
      </c>
      <c r="K208" s="32">
        <v>32.4</v>
      </c>
      <c r="L208" s="20">
        <v>12.4741307475021</v>
      </c>
      <c r="M208" s="20">
        <f t="shared" si="38"/>
        <v>36.1</v>
      </c>
      <c r="N208" s="20">
        <f t="shared" si="39"/>
        <v>3.750999867</v>
      </c>
      <c r="O208" s="20">
        <v>14.0523361024415</v>
      </c>
      <c r="P208" s="39" t="s">
        <v>1168</v>
      </c>
      <c r="Q208" s="39" t="s">
        <v>1169</v>
      </c>
      <c r="R208" s="6"/>
      <c r="S208" s="6"/>
      <c r="T208" s="6"/>
      <c r="U208" s="6"/>
      <c r="V208" s="6"/>
    </row>
    <row r="209">
      <c r="A209" s="39" t="s">
        <v>1170</v>
      </c>
      <c r="B209" s="39" t="s">
        <v>1171</v>
      </c>
      <c r="C209" s="39" t="s">
        <v>1172</v>
      </c>
      <c r="D209" s="14">
        <f t="shared" si="1"/>
        <v>0.1663738144</v>
      </c>
      <c r="E209" s="30" t="s">
        <v>1170</v>
      </c>
      <c r="F209" s="16">
        <f t="shared" si="2"/>
        <v>894.4488845</v>
      </c>
      <c r="G209" s="32">
        <f>(244795850000*26115.63804)/10000</f>
        <v>639299981229</v>
      </c>
      <c r="H209" s="43">
        <v>2016.0</v>
      </c>
      <c r="I209" s="22" t="s">
        <v>1132</v>
      </c>
      <c r="J209" s="32">
        <v>32.4</v>
      </c>
      <c r="K209" s="32">
        <v>29.15</v>
      </c>
      <c r="L209" s="20">
        <v>14.0523361024415</v>
      </c>
      <c r="M209" s="20">
        <f t="shared" si="38"/>
        <v>32.51666667</v>
      </c>
      <c r="N209" s="20">
        <f t="shared" si="39"/>
        <v>3.426489944</v>
      </c>
      <c r="O209" s="20">
        <v>19.6496007142997</v>
      </c>
      <c r="P209" s="39" t="s">
        <v>1173</v>
      </c>
      <c r="Q209" s="39" t="s">
        <v>1174</v>
      </c>
      <c r="R209" s="6"/>
      <c r="S209" s="6"/>
      <c r="T209" s="6"/>
      <c r="U209" s="6"/>
      <c r="V209" s="6"/>
    </row>
    <row r="210">
      <c r="A210" s="39" t="s">
        <v>1175</v>
      </c>
      <c r="B210" s="39" t="s">
        <v>1176</v>
      </c>
      <c r="C210" s="39" t="s">
        <v>1177</v>
      </c>
      <c r="D210" s="14">
        <f t="shared" si="1"/>
        <v>0.3629611508</v>
      </c>
      <c r="E210" s="30" t="s">
        <v>1175</v>
      </c>
      <c r="F210" s="16">
        <f t="shared" si="2"/>
        <v>832.6147447</v>
      </c>
      <c r="G210" s="32">
        <f>(199997920000*21953.21032)/10000</f>
        <v>439059640132</v>
      </c>
      <c r="H210" s="43">
        <v>2015.0</v>
      </c>
      <c r="I210" s="22" t="s">
        <v>1132</v>
      </c>
      <c r="J210" s="32">
        <v>29.15</v>
      </c>
      <c r="K210" s="21">
        <v>28.45</v>
      </c>
      <c r="L210" s="20">
        <v>19.6496007142997</v>
      </c>
      <c r="M210" s="20">
        <f t="shared" si="38"/>
        <v>30</v>
      </c>
      <c r="N210" s="20">
        <f t="shared" si="39"/>
        <v>2.107723891</v>
      </c>
      <c r="O210" s="20">
        <v>28.846600976154</v>
      </c>
      <c r="P210" s="39" t="s">
        <v>1178</v>
      </c>
      <c r="Q210" s="39" t="s">
        <v>1179</v>
      </c>
      <c r="R210" s="6"/>
      <c r="S210" s="6"/>
      <c r="T210" s="6"/>
      <c r="U210" s="6"/>
      <c r="V210" s="6"/>
    </row>
    <row r="211">
      <c r="A211" s="39" t="s">
        <v>1180</v>
      </c>
      <c r="B211" s="39" t="s">
        <v>1181</v>
      </c>
      <c r="C211" s="39" t="s">
        <v>1182</v>
      </c>
      <c r="D211" s="14">
        <f t="shared" si="1"/>
        <v>0.5772966052</v>
      </c>
      <c r="E211" s="30" t="s">
        <v>1180</v>
      </c>
      <c r="F211" s="16">
        <f t="shared" si="2"/>
        <v>506.5762864</v>
      </c>
      <c r="G211" s="32">
        <f>(199997920000*8997.217796)/10000</f>
        <v>179942484499</v>
      </c>
      <c r="H211" s="43">
        <v>2014.0</v>
      </c>
      <c r="I211" s="22" t="s">
        <v>1132</v>
      </c>
      <c r="J211" s="22">
        <v>28.45</v>
      </c>
      <c r="K211" s="20"/>
      <c r="L211" s="20">
        <v>28.846600976154</v>
      </c>
      <c r="M211" s="20"/>
      <c r="N211" s="20"/>
      <c r="O211" s="32"/>
      <c r="P211" s="39" t="s">
        <v>1183</v>
      </c>
      <c r="Q211" s="39" t="s">
        <v>1184</v>
      </c>
      <c r="R211" s="6"/>
      <c r="S211" s="6"/>
      <c r="T211" s="6"/>
      <c r="U211" s="6"/>
      <c r="V211" s="6"/>
    </row>
    <row r="212">
      <c r="A212" s="46" t="s">
        <v>1185</v>
      </c>
      <c r="B212" s="47" t="s">
        <v>1186</v>
      </c>
      <c r="C212" s="47" t="s">
        <v>1187</v>
      </c>
      <c r="D212" s="14">
        <f t="shared" si="1"/>
        <v>0.4195226842</v>
      </c>
      <c r="E212" s="47">
        <v>6.34367598E8</v>
      </c>
      <c r="F212" s="48">
        <v>1183.365038778907</v>
      </c>
      <c r="G212" s="23">
        <v>7.187813136E14</v>
      </c>
      <c r="H212" s="23">
        <v>2024.0</v>
      </c>
      <c r="I212" s="23" t="s">
        <v>1188</v>
      </c>
      <c r="J212" s="49">
        <v>65.0</v>
      </c>
      <c r="K212" s="49">
        <v>61.3</v>
      </c>
      <c r="L212" s="20">
        <v>23.6602096848236</v>
      </c>
      <c r="M212" s="20"/>
      <c r="N212" s="20"/>
      <c r="O212" s="20">
        <v>21.6148974043115</v>
      </c>
      <c r="P212" s="47">
        <v>1497515.0</v>
      </c>
      <c r="Q212" s="50"/>
      <c r="R212" s="6"/>
      <c r="S212" s="6"/>
      <c r="T212" s="6"/>
      <c r="U212" s="6"/>
      <c r="V212" s="6"/>
    </row>
    <row r="213">
      <c r="A213" s="47" t="s">
        <v>1189</v>
      </c>
      <c r="B213" s="47" t="s">
        <v>1190</v>
      </c>
      <c r="C213" s="47" t="s">
        <v>1191</v>
      </c>
      <c r="D213" s="14">
        <f t="shared" si="1"/>
        <v>-0.2277668668</v>
      </c>
      <c r="E213" s="47">
        <v>7.08894621E8</v>
      </c>
      <c r="F213" s="48">
        <v>1688.9651639330598</v>
      </c>
      <c r="G213" s="23">
        <v>9.75230928E14</v>
      </c>
      <c r="H213" s="23">
        <v>2023.0</v>
      </c>
      <c r="I213" s="23" t="s">
        <v>1188</v>
      </c>
      <c r="J213" s="49">
        <v>61.3</v>
      </c>
      <c r="K213" s="49">
        <v>58.0</v>
      </c>
      <c r="L213" s="20">
        <v>21.6148974043115</v>
      </c>
      <c r="M213" s="20">
        <f t="shared" ref="M213:M221" si="40">(J212+J213+J214)/3</f>
        <v>61.43333333</v>
      </c>
      <c r="N213" s="20">
        <f t="shared" ref="N213:N221" si="41">sqrt((((J212-M213)^2)+((J213-M213)^2)+((J214-M213)^2))/2)</f>
        <v>3.501904244</v>
      </c>
      <c r="O213" s="20">
        <v>18.1756591237636</v>
      </c>
      <c r="P213" s="47">
        <v>1332721.0</v>
      </c>
      <c r="Q213" s="50"/>
      <c r="R213" s="6"/>
      <c r="S213" s="6"/>
      <c r="T213" s="6"/>
      <c r="U213" s="6"/>
      <c r="V213" s="6"/>
    </row>
    <row r="214">
      <c r="A214" s="47" t="s">
        <v>1192</v>
      </c>
      <c r="B214" s="47" t="s">
        <v>1193</v>
      </c>
      <c r="C214" s="47" t="s">
        <v>1194</v>
      </c>
      <c r="D214" s="14">
        <f t="shared" si="1"/>
        <v>0.189027733</v>
      </c>
      <c r="E214" s="47">
        <v>7.49012189E8</v>
      </c>
      <c r="F214" s="48">
        <v>1612.7519369296856</v>
      </c>
      <c r="G214" s="23">
        <v>8.993796336E14</v>
      </c>
      <c r="H214" s="23">
        <v>2022.0</v>
      </c>
      <c r="I214" s="23" t="s">
        <v>1188</v>
      </c>
      <c r="J214" s="49">
        <v>58.0</v>
      </c>
      <c r="K214" s="49">
        <v>55.0</v>
      </c>
      <c r="L214" s="20">
        <v>18.1756591237636</v>
      </c>
      <c r="M214" s="20">
        <f t="shared" si="40"/>
        <v>58.1</v>
      </c>
      <c r="N214" s="20">
        <f t="shared" si="41"/>
        <v>3.151190251</v>
      </c>
      <c r="O214" s="20">
        <v>12.1839371970674</v>
      </c>
      <c r="P214" s="47">
        <v>8064748.0</v>
      </c>
      <c r="Q214" s="50"/>
      <c r="R214" s="6"/>
      <c r="S214" s="6"/>
      <c r="T214" s="6"/>
      <c r="U214" s="6"/>
      <c r="V214" s="6"/>
    </row>
    <row r="215">
      <c r="A215" s="47" t="s">
        <v>1195</v>
      </c>
      <c r="B215" s="47" t="s">
        <v>1196</v>
      </c>
      <c r="C215" s="47" t="s">
        <v>1197</v>
      </c>
      <c r="D215" s="14">
        <f t="shared" si="1"/>
        <v>1.522502203</v>
      </c>
      <c r="E215" s="47">
        <v>6.6884331E8</v>
      </c>
      <c r="F215" s="48">
        <v>7707.8841599947455</v>
      </c>
      <c r="G215" s="23">
        <v>4.180851108E15</v>
      </c>
      <c r="H215" s="23">
        <v>2021.0</v>
      </c>
      <c r="I215" s="23" t="s">
        <v>1188</v>
      </c>
      <c r="J215" s="49">
        <v>55.0</v>
      </c>
      <c r="K215" s="49">
        <v>51.3</v>
      </c>
      <c r="L215" s="20">
        <v>12.1839371970674</v>
      </c>
      <c r="M215" s="20">
        <f t="shared" si="40"/>
        <v>54.76666667</v>
      </c>
      <c r="N215" s="20">
        <f t="shared" si="41"/>
        <v>3.356088994</v>
      </c>
      <c r="O215" s="20">
        <v>12.2738906719289</v>
      </c>
      <c r="P215" s="47">
        <v>9968272.0</v>
      </c>
      <c r="Q215" s="50"/>
      <c r="R215" s="6"/>
      <c r="S215" s="6"/>
      <c r="T215" s="6"/>
      <c r="U215" s="6"/>
      <c r="V215" s="6"/>
    </row>
    <row r="216">
      <c r="A216" s="47" t="s">
        <v>1198</v>
      </c>
      <c r="B216" s="47" t="s">
        <v>1199</v>
      </c>
      <c r="C216" s="47" t="s">
        <v>1200</v>
      </c>
      <c r="D216" s="14">
        <f t="shared" si="1"/>
        <v>-0.1868722572</v>
      </c>
      <c r="E216" s="47">
        <v>5.35021584E8</v>
      </c>
      <c r="F216" s="48">
        <v>1568.887433041632</v>
      </c>
      <c r="G216" s="23">
        <v>8.0324E14</v>
      </c>
      <c r="H216" s="23">
        <v>2020.0</v>
      </c>
      <c r="I216" s="23" t="s">
        <v>1188</v>
      </c>
      <c r="J216" s="49">
        <v>51.3</v>
      </c>
      <c r="K216" s="49">
        <v>46.7</v>
      </c>
      <c r="L216" s="20">
        <v>12.2738906719289</v>
      </c>
      <c r="M216" s="20">
        <f t="shared" si="40"/>
        <v>51</v>
      </c>
      <c r="N216" s="20">
        <f t="shared" si="41"/>
        <v>4.158124577</v>
      </c>
      <c r="O216" s="20">
        <v>11.3076296512967</v>
      </c>
      <c r="P216" s="47">
        <v>-3813479.0</v>
      </c>
      <c r="Q216" s="50"/>
      <c r="R216" s="6"/>
      <c r="S216" s="6"/>
      <c r="T216" s="6"/>
      <c r="U216" s="6"/>
      <c r="V216" s="6"/>
    </row>
    <row r="217">
      <c r="A217" s="47" t="s">
        <v>1201</v>
      </c>
      <c r="B217" s="47" t="s">
        <v>1202</v>
      </c>
      <c r="C217" s="47" t="s">
        <v>1203</v>
      </c>
      <c r="D217" s="14">
        <f t="shared" si="1"/>
        <v>0.716432482</v>
      </c>
      <c r="E217" s="47">
        <v>4.6389294E8</v>
      </c>
      <c r="F217" s="48">
        <v>2760.821397473164</v>
      </c>
      <c r="G217" s="23">
        <v>9.6492E14</v>
      </c>
      <c r="H217" s="23">
        <v>2019.0</v>
      </c>
      <c r="I217" s="23" t="s">
        <v>1188</v>
      </c>
      <c r="J217" s="49">
        <v>46.7</v>
      </c>
      <c r="K217" s="49">
        <v>44.3</v>
      </c>
      <c r="L217" s="20">
        <v>11.3076296512967</v>
      </c>
      <c r="M217" s="20">
        <f t="shared" si="40"/>
        <v>47.43333333</v>
      </c>
      <c r="N217" s="20">
        <f t="shared" si="41"/>
        <v>3.557152419</v>
      </c>
      <c r="O217" s="20">
        <v>11.3396223992414</v>
      </c>
      <c r="P217" s="47">
        <v>6286763.0</v>
      </c>
      <c r="Q217" s="50"/>
      <c r="R217" s="6"/>
      <c r="S217" s="6"/>
      <c r="T217" s="6"/>
      <c r="U217" s="6"/>
      <c r="V217" s="6"/>
    </row>
    <row r="218">
      <c r="A218" s="47" t="s">
        <v>1204</v>
      </c>
      <c r="B218" s="47" t="s">
        <v>1205</v>
      </c>
      <c r="C218" s="47" t="s">
        <v>1206</v>
      </c>
      <c r="D218" s="14">
        <f t="shared" si="1"/>
        <v>0.746326038</v>
      </c>
      <c r="E218" s="47">
        <v>3.94913942E8</v>
      </c>
      <c r="F218" s="48">
        <v>3059.66020454949</v>
      </c>
      <c r="G218" s="23">
        <v>1.0228568996166E15</v>
      </c>
      <c r="H218" s="23">
        <v>2018.0</v>
      </c>
      <c r="I218" s="23" t="s">
        <v>1188</v>
      </c>
      <c r="J218" s="49">
        <v>44.3</v>
      </c>
      <c r="K218" s="49">
        <v>42.7</v>
      </c>
      <c r="L218" s="20">
        <v>11.3396223992414</v>
      </c>
      <c r="M218" s="20">
        <f t="shared" si="40"/>
        <v>44.56666667</v>
      </c>
      <c r="N218" s="20">
        <f t="shared" si="41"/>
        <v>2.013289183</v>
      </c>
      <c r="O218" s="20">
        <v>12.4741307475021</v>
      </c>
      <c r="P218" s="47">
        <v>4118223.0</v>
      </c>
      <c r="Q218" s="50"/>
      <c r="R218" s="6"/>
      <c r="S218" s="6"/>
      <c r="T218" s="6"/>
      <c r="U218" s="6"/>
      <c r="V218" s="6"/>
    </row>
    <row r="219">
      <c r="A219" s="47" t="s">
        <v>1207</v>
      </c>
      <c r="B219" s="47" t="s">
        <v>1208</v>
      </c>
      <c r="C219" s="47" t="s">
        <v>1209</v>
      </c>
      <c r="D219" s="14">
        <f t="shared" si="1"/>
        <v>-0.2347617992</v>
      </c>
      <c r="E219" s="47">
        <v>3.17753893E8</v>
      </c>
      <c r="F219" s="48">
        <v>4778.1893112270545</v>
      </c>
      <c r="G219" s="23">
        <v>1.4428567997385E15</v>
      </c>
      <c r="H219" s="23">
        <v>2017.0</v>
      </c>
      <c r="I219" s="23" t="s">
        <v>1188</v>
      </c>
      <c r="J219" s="49">
        <v>42.7</v>
      </c>
      <c r="K219" s="49">
        <v>42.0</v>
      </c>
      <c r="L219" s="20">
        <v>12.4741307475021</v>
      </c>
      <c r="M219" s="20">
        <f t="shared" si="40"/>
        <v>43</v>
      </c>
      <c r="N219" s="20">
        <f t="shared" si="41"/>
        <v>1.178982612</v>
      </c>
      <c r="O219" s="20">
        <v>14.0523361024415</v>
      </c>
      <c r="P219" s="47">
        <v>3746406.0</v>
      </c>
      <c r="Q219" s="50"/>
      <c r="R219" s="6"/>
      <c r="S219" s="6"/>
      <c r="T219" s="6"/>
      <c r="U219" s="6"/>
      <c r="V219" s="6"/>
    </row>
    <row r="220">
      <c r="A220" s="47" t="s">
        <v>1210</v>
      </c>
      <c r="B220" s="47" t="s">
        <v>1211</v>
      </c>
      <c r="C220" s="47" t="s">
        <v>1212</v>
      </c>
      <c r="D220" s="14">
        <f t="shared" si="1"/>
        <v>-0.3554887514</v>
      </c>
      <c r="E220" s="47">
        <v>2.89390789E8</v>
      </c>
      <c r="F220" s="48">
        <v>876.8172509086423</v>
      </c>
      <c r="G220" s="23">
        <v>2.504761309117E14</v>
      </c>
      <c r="H220" s="23">
        <v>2016.0</v>
      </c>
      <c r="I220" s="23" t="s">
        <v>1188</v>
      </c>
      <c r="J220" s="49">
        <v>42.0</v>
      </c>
      <c r="K220" s="49">
        <v>39.0</v>
      </c>
      <c r="L220" s="20">
        <v>14.0523361024415</v>
      </c>
      <c r="M220" s="20">
        <f t="shared" si="40"/>
        <v>41.23333333</v>
      </c>
      <c r="N220" s="20">
        <f t="shared" si="41"/>
        <v>1.965536398</v>
      </c>
      <c r="O220" s="20">
        <v>19.6496007142997</v>
      </c>
      <c r="P220" s="47">
        <v>196405.0</v>
      </c>
      <c r="Q220" s="50"/>
      <c r="R220" s="6"/>
      <c r="S220" s="6"/>
      <c r="T220" s="6"/>
      <c r="U220" s="6"/>
      <c r="V220" s="6"/>
    </row>
    <row r="221">
      <c r="A221" s="47" t="s">
        <v>1213</v>
      </c>
      <c r="B221" s="47" t="s">
        <v>1214</v>
      </c>
      <c r="C221" s="47" t="s">
        <v>1215</v>
      </c>
      <c r="D221" s="14">
        <f t="shared" si="1"/>
        <v>0.2791044846</v>
      </c>
      <c r="E221" s="47">
        <v>2.32177548E8</v>
      </c>
      <c r="F221" s="48">
        <v>1661.0656487522842</v>
      </c>
      <c r="G221" s="23">
        <v>3.8095229036E14</v>
      </c>
      <c r="H221" s="23">
        <v>2015.0</v>
      </c>
      <c r="I221" s="23" t="s">
        <v>1188</v>
      </c>
      <c r="J221" s="49">
        <v>39.0</v>
      </c>
      <c r="K221" s="49">
        <v>36.7</v>
      </c>
      <c r="L221" s="20">
        <v>19.6496007142997</v>
      </c>
      <c r="M221" s="20">
        <f t="shared" si="40"/>
        <v>39.23333333</v>
      </c>
      <c r="N221" s="20">
        <f t="shared" si="41"/>
        <v>2.657693235</v>
      </c>
      <c r="O221" s="20">
        <v>28.846600976154</v>
      </c>
      <c r="P221" s="47">
        <v>76197.0</v>
      </c>
      <c r="Q221" s="50"/>
      <c r="R221" s="6"/>
      <c r="S221" s="6"/>
      <c r="T221" s="6"/>
      <c r="U221" s="6"/>
      <c r="V221" s="6"/>
    </row>
    <row r="222">
      <c r="A222" s="47" t="s">
        <v>1216</v>
      </c>
      <c r="B222" s="47" t="s">
        <v>1217</v>
      </c>
      <c r="C222" s="47" t="s">
        <v>1218</v>
      </c>
      <c r="D222" s="14">
        <f t="shared" si="1"/>
        <v>-0.991441033</v>
      </c>
      <c r="E222" s="47">
        <v>2.27239497E8</v>
      </c>
      <c r="F222" s="48">
        <v>2473.2919119441194</v>
      </c>
      <c r="G222" s="23">
        <v>5.61904628281E14</v>
      </c>
      <c r="H222" s="23">
        <v>2014.0</v>
      </c>
      <c r="I222" s="23" t="s">
        <v>1188</v>
      </c>
      <c r="J222" s="49">
        <v>36.7</v>
      </c>
      <c r="K222" s="17"/>
      <c r="L222" s="20">
        <v>28.846600976154</v>
      </c>
      <c r="M222" s="20"/>
      <c r="N222" s="20"/>
      <c r="O222" s="17"/>
      <c r="P222" s="47">
        <v>604046.0</v>
      </c>
      <c r="Q222" s="50"/>
      <c r="R222" s="6"/>
      <c r="S222" s="6"/>
      <c r="T222" s="6"/>
      <c r="U222" s="6"/>
      <c r="V222" s="6"/>
    </row>
    <row r="223">
      <c r="A223" s="51">
        <v>3.075771991E10</v>
      </c>
      <c r="B223" s="47">
        <v>1.1304286326E10</v>
      </c>
      <c r="C223" s="47">
        <v>3.278584206E9</v>
      </c>
      <c r="D223" s="14">
        <f t="shared" si="1"/>
        <v>0.5703756366</v>
      </c>
      <c r="E223" s="47">
        <v>3.075771991E10</v>
      </c>
      <c r="F223" s="48">
        <v>6441.782926500157</v>
      </c>
      <c r="G223" s="23">
        <v>2.0508641687159923E17</v>
      </c>
      <c r="H223" s="23">
        <v>2024.0</v>
      </c>
      <c r="I223" s="23" t="s">
        <v>1219</v>
      </c>
      <c r="J223" s="49">
        <v>85.3</v>
      </c>
      <c r="K223" s="49">
        <v>82.7</v>
      </c>
      <c r="L223" s="20">
        <v>23.6602096848236</v>
      </c>
      <c r="M223" s="20"/>
      <c r="N223" s="20"/>
      <c r="O223" s="20">
        <v>21.6148974043115</v>
      </c>
      <c r="P223" s="47">
        <v>8.03639057E8</v>
      </c>
      <c r="Q223" s="50"/>
      <c r="R223" s="6"/>
      <c r="S223" s="6"/>
      <c r="T223" s="6"/>
      <c r="U223" s="6"/>
      <c r="V223" s="6"/>
    </row>
    <row r="224">
      <c r="A224" s="47">
        <v>2.6480719916E10</v>
      </c>
      <c r="B224" s="47">
        <v>1.0957815586E10</v>
      </c>
      <c r="C224" s="47">
        <v>2.087770677E9</v>
      </c>
      <c r="D224" s="14">
        <f t="shared" si="1"/>
        <v>-0.2830367242</v>
      </c>
      <c r="E224" s="47">
        <v>2.6480719916E10</v>
      </c>
      <c r="F224" s="48">
        <v>5497.497888901574</v>
      </c>
      <c r="G224" s="23">
        <v>1.4556936819305117E17</v>
      </c>
      <c r="H224" s="23">
        <v>2023.0</v>
      </c>
      <c r="I224" s="23" t="s">
        <v>1219</v>
      </c>
      <c r="J224" s="49">
        <v>82.7</v>
      </c>
      <c r="K224" s="49">
        <v>80.3</v>
      </c>
      <c r="L224" s="20">
        <v>21.6148974043115</v>
      </c>
      <c r="M224" s="20">
        <f t="shared" ref="M224:M232" si="42">(J223+J224+J225)/3</f>
        <v>82.76666667</v>
      </c>
      <c r="N224" s="20">
        <f t="shared" ref="N224:N232" si="43">sqrt((((J223-M224)^2)+((J224-M224)^2)+((J225-M224)^2))/2)</f>
        <v>2.500666578</v>
      </c>
      <c r="O224" s="20">
        <v>18.1756591237636</v>
      </c>
      <c r="P224" s="47">
        <v>7.29500026E8</v>
      </c>
      <c r="Q224" s="50"/>
      <c r="R224" s="6"/>
      <c r="S224" s="6"/>
      <c r="T224" s="6"/>
      <c r="U224" s="6"/>
      <c r="V224" s="6"/>
    </row>
    <row r="225">
      <c r="A225" s="47">
        <v>2.1539250652E10</v>
      </c>
      <c r="B225" s="47">
        <v>9.744717268E9</v>
      </c>
      <c r="C225" s="47">
        <v>2.911963203E9</v>
      </c>
      <c r="D225" s="14">
        <f t="shared" si="1"/>
        <v>-0.2210602165</v>
      </c>
      <c r="E225" s="47">
        <v>2.1539250652E10</v>
      </c>
      <c r="F225" s="48">
        <v>5843.695745284396</v>
      </c>
      <c r="G225" s="23">
        <v>1.2639589947220805E17</v>
      </c>
      <c r="H225" s="23">
        <v>2022.0</v>
      </c>
      <c r="I225" s="23" t="s">
        <v>1219</v>
      </c>
      <c r="J225" s="49">
        <v>80.3</v>
      </c>
      <c r="K225" s="49">
        <v>76.7</v>
      </c>
      <c r="L225" s="20">
        <v>18.1756591237636</v>
      </c>
      <c r="M225" s="20">
        <f t="shared" si="42"/>
        <v>79.9</v>
      </c>
      <c r="N225" s="20">
        <f t="shared" si="43"/>
        <v>3.019933774</v>
      </c>
      <c r="O225" s="20">
        <v>12.1839371970674</v>
      </c>
      <c r="P225" s="47">
        <v>1.082246744E9</v>
      </c>
      <c r="Q225" s="50"/>
      <c r="R225" s="6"/>
      <c r="S225" s="6"/>
      <c r="T225" s="6"/>
      <c r="U225" s="6"/>
      <c r="V225" s="6"/>
    </row>
    <row r="226">
      <c r="A226" s="47">
        <v>1.4372699213E10</v>
      </c>
      <c r="B226" s="47">
        <v>4.151494323E9</v>
      </c>
      <c r="C226" s="47">
        <v>3.738367541E9</v>
      </c>
      <c r="D226" s="14">
        <f t="shared" si="1"/>
        <v>-0.1751299599</v>
      </c>
      <c r="E226" s="47">
        <v>1.4372699213E10</v>
      </c>
      <c r="F226" s="48">
        <v>6535.71650922101</v>
      </c>
      <c r="G226" s="23">
        <v>9.39307892424738E16</v>
      </c>
      <c r="H226" s="23">
        <v>2021.0</v>
      </c>
      <c r="I226" s="23" t="s">
        <v>1219</v>
      </c>
      <c r="J226" s="49">
        <v>76.7</v>
      </c>
      <c r="K226" s="49">
        <v>73.7</v>
      </c>
      <c r="L226" s="20">
        <v>12.1839371970674</v>
      </c>
      <c r="M226" s="20">
        <f t="shared" si="42"/>
        <v>76.9</v>
      </c>
      <c r="N226" s="20">
        <f t="shared" si="43"/>
        <v>3.304542328</v>
      </c>
      <c r="O226" s="20">
        <v>12.2738906719289</v>
      </c>
      <c r="P226" s="47">
        <v>1.20454886E9</v>
      </c>
      <c r="Q226" s="50"/>
      <c r="R226" s="6"/>
      <c r="S226" s="6"/>
      <c r="T226" s="6"/>
      <c r="U226" s="6"/>
      <c r="V226" s="6"/>
    </row>
    <row r="227">
      <c r="A227" s="47">
        <v>1.393447224E10</v>
      </c>
      <c r="B227" s="47">
        <v>5.776372073E9</v>
      </c>
      <c r="C227" s="47">
        <v>4.532068519E9</v>
      </c>
      <c r="D227" s="14">
        <f t="shared" si="1"/>
        <v>0.6109133228</v>
      </c>
      <c r="E227" s="47">
        <v>1.393447224E10</v>
      </c>
      <c r="F227" s="48">
        <v>7705.917840590461</v>
      </c>
      <c r="G227" s="23">
        <v>1.0736781931764896E17</v>
      </c>
      <c r="H227" s="23">
        <v>2020.0</v>
      </c>
      <c r="I227" s="23" t="s">
        <v>1219</v>
      </c>
      <c r="J227" s="49">
        <v>73.7</v>
      </c>
      <c r="K227" s="49">
        <v>68.3</v>
      </c>
      <c r="L227" s="20">
        <v>12.2738906719289</v>
      </c>
      <c r="M227" s="20">
        <f t="shared" si="42"/>
        <v>72.9</v>
      </c>
      <c r="N227" s="20">
        <f t="shared" si="43"/>
        <v>4.256759331</v>
      </c>
      <c r="O227" s="20">
        <v>11.3076296512967</v>
      </c>
      <c r="P227" s="47">
        <v>1.154467461E9</v>
      </c>
      <c r="Q227" s="50"/>
      <c r="R227" s="6"/>
      <c r="S227" s="6"/>
      <c r="T227" s="6"/>
      <c r="U227" s="6"/>
      <c r="V227" s="6"/>
    </row>
    <row r="228">
      <c r="A228" s="47">
        <v>1.3237325073E10</v>
      </c>
      <c r="B228" s="47">
        <v>5.572964711E9</v>
      </c>
      <c r="C228" s="47">
        <v>2.813353428E9</v>
      </c>
      <c r="D228" s="14">
        <f t="shared" si="1"/>
        <v>-0.03539812008</v>
      </c>
      <c r="E228" s="47">
        <v>1.3237325073E10</v>
      </c>
      <c r="F228" s="48">
        <v>6401.856002339796</v>
      </c>
      <c r="G228" s="23">
        <v>8.473955545889706E16</v>
      </c>
      <c r="H228" s="23">
        <v>2019.0</v>
      </c>
      <c r="I228" s="23" t="s">
        <v>1219</v>
      </c>
      <c r="J228" s="49">
        <v>68.3</v>
      </c>
      <c r="K228" s="49">
        <v>63.3</v>
      </c>
      <c r="L228" s="20">
        <v>11.3076296512967</v>
      </c>
      <c r="M228" s="20">
        <f t="shared" si="42"/>
        <v>68.43333333</v>
      </c>
      <c r="N228" s="20">
        <f t="shared" si="43"/>
        <v>5.201281893</v>
      </c>
      <c r="O228" s="20">
        <v>11.3396223992414</v>
      </c>
      <c r="P228" s="47">
        <v>9.16876662E8</v>
      </c>
      <c r="Q228" s="50"/>
      <c r="R228" s="6"/>
      <c r="S228" s="6"/>
      <c r="T228" s="6"/>
      <c r="U228" s="6"/>
      <c r="V228" s="6"/>
    </row>
    <row r="229">
      <c r="A229" s="47">
        <v>1.0227894681E10</v>
      </c>
      <c r="B229" s="47">
        <v>3.328395397E9</v>
      </c>
      <c r="C229" s="47">
        <v>2.916595423E9</v>
      </c>
      <c r="D229" s="14">
        <f t="shared" si="1"/>
        <v>-0.04524550671</v>
      </c>
      <c r="E229" s="47">
        <v>1.0227894681E10</v>
      </c>
      <c r="F229" s="48">
        <v>3935.7605819419036</v>
      </c>
      <c r="G229" s="23">
        <v>4.009421718880032E16</v>
      </c>
      <c r="H229" s="23">
        <v>2018.0</v>
      </c>
      <c r="I229" s="23" t="s">
        <v>1219</v>
      </c>
      <c r="J229" s="49">
        <v>63.3</v>
      </c>
      <c r="K229" s="49">
        <v>61.0</v>
      </c>
      <c r="L229" s="20">
        <v>11.3396223992414</v>
      </c>
      <c r="M229" s="20">
        <f t="shared" si="42"/>
        <v>64.2</v>
      </c>
      <c r="N229" s="20">
        <f t="shared" si="43"/>
        <v>3.732291521</v>
      </c>
      <c r="O229" s="20">
        <v>12.4741307475021</v>
      </c>
      <c r="P229" s="47">
        <v>8.0959324E8</v>
      </c>
      <c r="Q229" s="50"/>
      <c r="R229" s="6"/>
      <c r="S229" s="6"/>
      <c r="T229" s="6"/>
      <c r="U229" s="6"/>
      <c r="V229" s="6"/>
    </row>
    <row r="230">
      <c r="A230" s="47">
        <v>9.716622302E9</v>
      </c>
      <c r="B230" s="47">
        <v>3.525725132E9</v>
      </c>
      <c r="C230" s="47">
        <v>3.054811937E9</v>
      </c>
      <c r="D230" s="14">
        <f t="shared" si="1"/>
        <v>-0.2230189919</v>
      </c>
      <c r="E230" s="47">
        <v>9.716622302E9</v>
      </c>
      <c r="F230" s="48">
        <v>2288.2357795579946</v>
      </c>
      <c r="G230" s="23">
        <v>2.247793030072074E16</v>
      </c>
      <c r="H230" s="23">
        <v>2017.0</v>
      </c>
      <c r="I230" s="23" t="s">
        <v>1219</v>
      </c>
      <c r="J230" s="49">
        <v>61.0</v>
      </c>
      <c r="K230" s="49">
        <v>55.7</v>
      </c>
      <c r="L230" s="20">
        <v>12.4741307475021</v>
      </c>
      <c r="M230" s="20">
        <f t="shared" si="42"/>
        <v>60</v>
      </c>
      <c r="N230" s="20">
        <f t="shared" si="43"/>
        <v>3.897435054</v>
      </c>
      <c r="O230" s="20">
        <v>14.0523361024415</v>
      </c>
      <c r="P230" s="47">
        <v>5.58889933E8</v>
      </c>
      <c r="Q230" s="50"/>
      <c r="R230" s="6"/>
      <c r="S230" s="6"/>
      <c r="T230" s="6"/>
      <c r="U230" s="6"/>
      <c r="V230" s="6"/>
    </row>
    <row r="231">
      <c r="A231" s="47">
        <v>7.936911538E9</v>
      </c>
      <c r="B231" s="47">
        <v>3.5390992E9</v>
      </c>
      <c r="C231" s="47">
        <v>3.931642994E9</v>
      </c>
      <c r="D231" s="14">
        <f t="shared" si="1"/>
        <v>2.744634423</v>
      </c>
      <c r="E231" s="47">
        <v>7.936911538E9</v>
      </c>
      <c r="F231" s="48">
        <v>5863.692885007902</v>
      </c>
      <c r="G231" s="23">
        <v>4.653724194E16</v>
      </c>
      <c r="H231" s="23">
        <v>2016.0</v>
      </c>
      <c r="I231" s="23" t="s">
        <v>1219</v>
      </c>
      <c r="J231" s="49">
        <v>55.7</v>
      </c>
      <c r="K231" s="49">
        <v>48.3</v>
      </c>
      <c r="L231" s="20">
        <v>14.0523361024415</v>
      </c>
      <c r="M231" s="20">
        <f t="shared" si="42"/>
        <v>55</v>
      </c>
      <c r="N231" s="20">
        <f t="shared" si="43"/>
        <v>6.378871374</v>
      </c>
      <c r="O231" s="20">
        <v>19.6496007142997</v>
      </c>
      <c r="P231" s="47">
        <v>4.05356052E8</v>
      </c>
      <c r="Q231" s="50"/>
      <c r="R231" s="6"/>
      <c r="S231" s="6"/>
      <c r="T231" s="6"/>
      <c r="U231" s="6"/>
      <c r="V231" s="6"/>
    </row>
    <row r="232">
      <c r="A232" s="47">
        <v>8.542937795E9</v>
      </c>
      <c r="B232" s="47">
        <v>4.369914071E9</v>
      </c>
      <c r="C232" s="47">
        <v>1.049940408E9</v>
      </c>
      <c r="D232" s="14">
        <f t="shared" si="1"/>
        <v>0.6905110353</v>
      </c>
      <c r="E232" s="47">
        <v>8.542937795E9</v>
      </c>
      <c r="F232" s="48">
        <v>2127.2591542747027</v>
      </c>
      <c r="G232" s="23">
        <v>1.3983463588346248E16</v>
      </c>
      <c r="H232" s="23">
        <v>2015.0</v>
      </c>
      <c r="I232" s="23" t="s">
        <v>1219</v>
      </c>
      <c r="J232" s="49">
        <v>48.3</v>
      </c>
      <c r="K232" s="49">
        <v>43.3</v>
      </c>
      <c r="L232" s="20">
        <v>19.6496007142997</v>
      </c>
      <c r="M232" s="20">
        <f t="shared" si="42"/>
        <v>49.1</v>
      </c>
      <c r="N232" s="20">
        <f t="shared" si="43"/>
        <v>6.238589584</v>
      </c>
      <c r="O232" s="20">
        <v>28.846600976154</v>
      </c>
      <c r="P232" s="47">
        <v>2.68443413E8</v>
      </c>
      <c r="Q232" s="50"/>
      <c r="R232" s="6"/>
      <c r="S232" s="6"/>
      <c r="T232" s="6"/>
      <c r="U232" s="6"/>
      <c r="V232" s="6"/>
    </row>
    <row r="233">
      <c r="A233" s="47">
        <v>3.120585694E9</v>
      </c>
      <c r="B233" s="47">
        <v>1.584343502E9</v>
      </c>
      <c r="C233" s="47">
        <v>6.21078707E8</v>
      </c>
      <c r="D233" s="14">
        <f t="shared" si="1"/>
        <v>2.873180268</v>
      </c>
      <c r="E233" s="47">
        <v>3.120585694E9</v>
      </c>
      <c r="F233" s="48">
        <v>3468.10614598636</v>
      </c>
      <c r="G233" s="23">
        <v>1.1542466451545134E16</v>
      </c>
      <c r="H233" s="23">
        <v>2014.0</v>
      </c>
      <c r="I233" s="23" t="s">
        <v>1219</v>
      </c>
      <c r="J233" s="49">
        <v>43.3</v>
      </c>
      <c r="K233" s="17"/>
      <c r="L233" s="20">
        <v>28.846600976154</v>
      </c>
      <c r="M233" s="20"/>
      <c r="N233" s="20"/>
      <c r="O233" s="17"/>
      <c r="P233" s="47">
        <v>6.281153E7</v>
      </c>
      <c r="Q233" s="50"/>
      <c r="R233" s="6"/>
      <c r="S233" s="6"/>
      <c r="T233" s="6"/>
      <c r="U233" s="6"/>
      <c r="V233" s="6"/>
    </row>
    <row r="234">
      <c r="A234" s="51">
        <v>8.006710144E8</v>
      </c>
      <c r="B234" s="47">
        <v>2.8465795458E8</v>
      </c>
      <c r="C234" s="47">
        <v>1.6035367943E8</v>
      </c>
      <c r="D234" s="14">
        <f t="shared" si="1"/>
        <v>1.192614582</v>
      </c>
      <c r="E234" s="47">
        <v>8.006710144E8</v>
      </c>
      <c r="F234" s="48">
        <v>13264.694292230599</v>
      </c>
      <c r="G234" s="23">
        <v>1.062031200748564E16</v>
      </c>
      <c r="H234" s="23">
        <v>2024.0</v>
      </c>
      <c r="I234" s="23" t="s">
        <v>1220</v>
      </c>
      <c r="J234" s="49">
        <v>59.3</v>
      </c>
      <c r="K234" s="49">
        <v>56.3</v>
      </c>
      <c r="L234" s="20">
        <v>23.6602096848236</v>
      </c>
      <c r="M234" s="20"/>
      <c r="N234" s="20"/>
      <c r="O234" s="20">
        <v>21.6148974043115</v>
      </c>
      <c r="P234" s="47">
        <v>6.300368333E7</v>
      </c>
      <c r="Q234" s="50"/>
      <c r="R234" s="6"/>
      <c r="S234" s="6"/>
      <c r="T234" s="6"/>
      <c r="U234" s="6"/>
      <c r="V234" s="6"/>
    </row>
    <row r="235">
      <c r="A235" s="47">
        <v>6.8468408611E8</v>
      </c>
      <c r="B235" s="47">
        <v>2.5167470962E8</v>
      </c>
      <c r="C235" s="47">
        <v>7.313354602E7</v>
      </c>
      <c r="D235" s="14">
        <f t="shared" si="1"/>
        <v>-0.3245638605</v>
      </c>
      <c r="E235" s="47">
        <v>6.8468408611E8</v>
      </c>
      <c r="F235" s="48">
        <v>9191.490124480812</v>
      </c>
      <c r="G235" s="23">
        <v>6.53705125370506E15</v>
      </c>
      <c r="H235" s="23">
        <v>2023.0</v>
      </c>
      <c r="I235" s="23" t="s">
        <v>1220</v>
      </c>
      <c r="J235" s="49">
        <v>56.3</v>
      </c>
      <c r="K235" s="49">
        <v>54.0</v>
      </c>
      <c r="L235" s="20">
        <v>21.6148974043115</v>
      </c>
      <c r="M235" s="20">
        <f t="shared" ref="M235:M243" si="44">(J234+J235+J236)/3</f>
        <v>56.53333333</v>
      </c>
      <c r="N235" s="20">
        <f t="shared" ref="N235:N243" si="45">sqrt((((J234-M235)^2)+((J235-M235)^2)+((J236-M235)^2))/2)</f>
        <v>2.657693235</v>
      </c>
      <c r="O235" s="20">
        <v>18.1756591237636</v>
      </c>
      <c r="P235" s="47">
        <v>5893045.62</v>
      </c>
      <c r="Q235" s="50"/>
      <c r="R235" s="6"/>
      <c r="S235" s="6"/>
      <c r="T235" s="6"/>
      <c r="U235" s="6"/>
      <c r="V235" s="6"/>
    </row>
    <row r="236">
      <c r="A236" s="47">
        <v>6.9708486747E8</v>
      </c>
      <c r="B236" s="47">
        <v>2.699685366E8</v>
      </c>
      <c r="C236" s="47">
        <v>1.0827603343E8</v>
      </c>
      <c r="D236" s="14">
        <f t="shared" si="1"/>
        <v>-0.1159525923</v>
      </c>
      <c r="E236" s="47">
        <v>6.9708486747E8</v>
      </c>
      <c r="F236" s="48">
        <v>4233.242143177083</v>
      </c>
      <c r="G236" s="23">
        <v>2.88833678883365E15</v>
      </c>
      <c r="H236" s="23">
        <v>2022.0</v>
      </c>
      <c r="I236" s="23" t="s">
        <v>1220</v>
      </c>
      <c r="J236" s="49">
        <v>54.0</v>
      </c>
      <c r="K236" s="49">
        <v>50.3</v>
      </c>
      <c r="L236" s="20">
        <v>18.1756591237636</v>
      </c>
      <c r="M236" s="20">
        <f t="shared" si="44"/>
        <v>53.53333333</v>
      </c>
      <c r="N236" s="20">
        <f t="shared" si="45"/>
        <v>3.027099822</v>
      </c>
      <c r="O236" s="20">
        <v>12.1839371970674</v>
      </c>
      <c r="P236" s="47">
        <v>1872404.16</v>
      </c>
      <c r="Q236" s="50"/>
      <c r="R236" s="6"/>
      <c r="S236" s="6"/>
      <c r="T236" s="6"/>
      <c r="U236" s="6"/>
      <c r="V236" s="6"/>
    </row>
    <row r="237">
      <c r="A237" s="47">
        <v>5.0618567085E8</v>
      </c>
      <c r="B237" s="47">
        <v>2.2172756014E8</v>
      </c>
      <c r="C237" s="47">
        <v>1.2247763241E8</v>
      </c>
      <c r="D237" s="14">
        <f t="shared" si="1"/>
        <v>-0.2419385599</v>
      </c>
      <c r="E237" s="47">
        <v>5.0618567085E8</v>
      </c>
      <c r="F237" s="48">
        <v>18614.99620776487</v>
      </c>
      <c r="G237" s="23">
        <v>1.1778425441602654E16</v>
      </c>
      <c r="H237" s="23">
        <v>2021.0</v>
      </c>
      <c r="I237" s="23" t="s">
        <v>1220</v>
      </c>
      <c r="J237" s="49">
        <v>50.3</v>
      </c>
      <c r="K237" s="49">
        <v>45.7</v>
      </c>
      <c r="L237" s="20">
        <v>12.1839371970674</v>
      </c>
      <c r="M237" s="20">
        <f t="shared" si="44"/>
        <v>50</v>
      </c>
      <c r="N237" s="20">
        <f t="shared" si="45"/>
        <v>4.158124577</v>
      </c>
      <c r="O237" s="20">
        <v>12.2738906719289</v>
      </c>
      <c r="P237" s="47">
        <v>2384611.81</v>
      </c>
      <c r="Q237" s="50"/>
      <c r="R237" s="6"/>
      <c r="S237" s="6"/>
      <c r="T237" s="6"/>
      <c r="U237" s="6"/>
      <c r="V237" s="6"/>
    </row>
    <row r="238">
      <c r="A238" s="47">
        <v>3.175237827E8</v>
      </c>
      <c r="B238" s="47">
        <v>3.52842838E7</v>
      </c>
      <c r="C238" s="47">
        <v>1.6156689409E8</v>
      </c>
      <c r="D238" s="14">
        <f t="shared" si="1"/>
        <v>-0.04967380432</v>
      </c>
      <c r="E238" s="47">
        <v>3.175237827E8</v>
      </c>
      <c r="F238" s="48">
        <v>3734.484364972577</v>
      </c>
      <c r="G238" s="23">
        <v>2.0638742822787288E15</v>
      </c>
      <c r="H238" s="23">
        <v>2020.0</v>
      </c>
      <c r="I238" s="23" t="s">
        <v>1220</v>
      </c>
      <c r="J238" s="49">
        <v>45.7</v>
      </c>
      <c r="K238" s="49">
        <v>43.3</v>
      </c>
      <c r="L238" s="20">
        <v>12.2738906719289</v>
      </c>
      <c r="M238" s="20">
        <f t="shared" si="44"/>
        <v>46.43333333</v>
      </c>
      <c r="N238" s="20">
        <f t="shared" si="45"/>
        <v>3.557152419</v>
      </c>
      <c r="O238" s="20">
        <v>11.3076296512967</v>
      </c>
      <c r="P238" s="47">
        <v>3.602073275E7</v>
      </c>
      <c r="Q238" s="50"/>
      <c r="R238" s="6"/>
      <c r="S238" s="6"/>
      <c r="T238" s="6"/>
      <c r="U238" s="6"/>
      <c r="V238" s="6"/>
    </row>
    <row r="239">
      <c r="A239" s="47">
        <v>2.6912124782E8</v>
      </c>
      <c r="B239" s="47">
        <v>2.256648167E7</v>
      </c>
      <c r="C239" s="47">
        <v>1.7001203884E8</v>
      </c>
      <c r="D239" s="14">
        <f t="shared" si="1"/>
        <v>0.6241921898</v>
      </c>
      <c r="E239" s="47">
        <v>2.6912124782E8</v>
      </c>
      <c r="F239" s="48">
        <v>801.9929174754045</v>
      </c>
      <c r="G239" s="23">
        <v>4.256492610635525E14</v>
      </c>
      <c r="H239" s="23">
        <v>2019.0</v>
      </c>
      <c r="I239" s="23" t="s">
        <v>1220</v>
      </c>
      <c r="J239" s="49">
        <v>43.3</v>
      </c>
      <c r="K239" s="49">
        <v>40.7</v>
      </c>
      <c r="L239" s="20">
        <v>11.3076296512967</v>
      </c>
      <c r="M239" s="20">
        <f t="shared" si="44"/>
        <v>43.23333333</v>
      </c>
      <c r="N239" s="20">
        <f t="shared" si="45"/>
        <v>2.500666578</v>
      </c>
      <c r="O239" s="20">
        <v>11.3396223992414</v>
      </c>
      <c r="P239" s="47">
        <v>6.831591955E7</v>
      </c>
      <c r="Q239" s="50"/>
      <c r="R239" s="6"/>
      <c r="S239" s="6"/>
      <c r="T239" s="6"/>
      <c r="U239" s="6"/>
      <c r="V239" s="6"/>
    </row>
    <row r="240">
      <c r="A240" s="47">
        <v>1.8764174852E8</v>
      </c>
      <c r="B240" s="47">
        <v>9402901.91</v>
      </c>
      <c r="C240" s="47">
        <v>1.0467482845E8</v>
      </c>
      <c r="D240" s="14">
        <f t="shared" si="1"/>
        <v>0.1329555493</v>
      </c>
      <c r="E240" s="47">
        <v>1.8764174852E8</v>
      </c>
      <c r="F240" s="48">
        <v>787.9103016557744</v>
      </c>
      <c r="G240" s="23">
        <v>3.110741906994896E14</v>
      </c>
      <c r="H240" s="23">
        <v>2018.0</v>
      </c>
      <c r="I240" s="23" t="s">
        <v>1220</v>
      </c>
      <c r="J240" s="49">
        <v>40.7</v>
      </c>
      <c r="K240" s="49">
        <v>39.0</v>
      </c>
      <c r="L240" s="20">
        <v>11.3396223992414</v>
      </c>
      <c r="M240" s="20">
        <f t="shared" si="44"/>
        <v>41</v>
      </c>
      <c r="N240" s="20">
        <f t="shared" si="45"/>
        <v>2.165640783</v>
      </c>
      <c r="O240" s="20">
        <v>12.4741307475021</v>
      </c>
      <c r="P240" s="47">
        <v>2.737653139E7</v>
      </c>
      <c r="Q240" s="50"/>
      <c r="R240" s="6"/>
      <c r="S240" s="6"/>
      <c r="T240" s="6"/>
      <c r="U240" s="6"/>
      <c r="V240" s="6"/>
    </row>
    <row r="241">
      <c r="A241" s="47">
        <v>1.5822233786E8</v>
      </c>
      <c r="B241" s="47">
        <v>7194022.64</v>
      </c>
      <c r="C241" s="47">
        <v>9.239094024E7</v>
      </c>
      <c r="D241" s="14">
        <f t="shared" si="1"/>
        <v>-0.3827744244</v>
      </c>
      <c r="E241" s="47">
        <v>1.5822233786E8</v>
      </c>
      <c r="F241" s="48">
        <v>1044.1339304135493</v>
      </c>
      <c r="G241" s="23">
        <v>4.12289574175712E14</v>
      </c>
      <c r="H241" s="23">
        <v>2017.0</v>
      </c>
      <c r="I241" s="23" t="s">
        <v>1220</v>
      </c>
      <c r="J241" s="49">
        <v>39.0</v>
      </c>
      <c r="K241" s="49">
        <v>37.7</v>
      </c>
      <c r="L241" s="20">
        <v>12.4741307475021</v>
      </c>
      <c r="M241" s="20">
        <f t="shared" si="44"/>
        <v>39.13333333</v>
      </c>
      <c r="N241" s="20">
        <f t="shared" si="45"/>
        <v>1.50443788</v>
      </c>
      <c r="O241" s="20">
        <v>14.0523361024415</v>
      </c>
      <c r="P241" s="47">
        <v>2.32552258E7</v>
      </c>
      <c r="Q241" s="50"/>
      <c r="R241" s="6"/>
      <c r="S241" s="6"/>
      <c r="T241" s="6"/>
      <c r="U241" s="6"/>
      <c r="V241" s="6"/>
    </row>
    <row r="242">
      <c r="A242" s="47">
        <v>1.4370564892E8</v>
      </c>
      <c r="B242" s="47">
        <v>1.054455951E7</v>
      </c>
      <c r="C242" s="47">
        <v>1.4968747876E8</v>
      </c>
      <c r="D242" s="14">
        <f t="shared" si="1"/>
        <v>0.006909667676</v>
      </c>
      <c r="E242" s="47">
        <v>1.4370564892E8</v>
      </c>
      <c r="F242" s="48">
        <v>1347.6809607760606</v>
      </c>
      <c r="G242" s="23">
        <v>3.84169605886452E14</v>
      </c>
      <c r="H242" s="23">
        <v>2016.0</v>
      </c>
      <c r="I242" s="23" t="s">
        <v>1220</v>
      </c>
      <c r="J242" s="49">
        <v>37.7</v>
      </c>
      <c r="K242" s="49">
        <v>36.6</v>
      </c>
      <c r="L242" s="20">
        <v>14.0523361024415</v>
      </c>
      <c r="M242" s="20">
        <f t="shared" si="44"/>
        <v>37.76666667</v>
      </c>
      <c r="N242" s="20">
        <f t="shared" si="45"/>
        <v>1.201388086</v>
      </c>
      <c r="O242" s="20">
        <v>19.6496007142997</v>
      </c>
      <c r="P242" s="47">
        <v>1.63491906E7</v>
      </c>
      <c r="Q242" s="50"/>
      <c r="R242" s="6"/>
      <c r="S242" s="6"/>
      <c r="T242" s="6"/>
      <c r="U242" s="6"/>
      <c r="V242" s="6"/>
    </row>
    <row r="243">
      <c r="A243" s="47">
        <v>1.8905350993E8</v>
      </c>
      <c r="B243" s="47">
        <v>6.064161112E7</v>
      </c>
      <c r="C243" s="47">
        <v>1.4866028559E8</v>
      </c>
      <c r="D243" s="14">
        <f t="shared" si="1"/>
        <v>1.582871742</v>
      </c>
      <c r="E243" s="47">
        <v>1.8905350993E8</v>
      </c>
      <c r="F243" s="48">
        <v>933.0702328892025</v>
      </c>
      <c r="G243" s="23">
        <v>1.849966990699266E14</v>
      </c>
      <c r="H243" s="23">
        <v>2015.0</v>
      </c>
      <c r="I243" s="23" t="s">
        <v>1220</v>
      </c>
      <c r="J243" s="49">
        <v>36.6</v>
      </c>
      <c r="K243" s="49">
        <v>31.7</v>
      </c>
      <c r="L243" s="20">
        <v>19.6496007142997</v>
      </c>
      <c r="M243" s="20">
        <f t="shared" si="44"/>
        <v>35.33333333</v>
      </c>
      <c r="N243" s="20">
        <f t="shared" si="45"/>
        <v>3.194265695</v>
      </c>
      <c r="O243" s="20">
        <v>28.846600976154</v>
      </c>
      <c r="P243" s="47">
        <v>1.782902124E7</v>
      </c>
      <c r="Q243" s="50"/>
      <c r="R243" s="6"/>
      <c r="S243" s="6"/>
      <c r="T243" s="6"/>
      <c r="U243" s="6"/>
      <c r="V243" s="6"/>
    </row>
    <row r="244">
      <c r="A244" s="47">
        <v>1.221179122E8</v>
      </c>
      <c r="B244" s="47">
        <v>2.480194154E7</v>
      </c>
      <c r="C244" s="47">
        <v>5.755620118E7</v>
      </c>
      <c r="D244" s="14">
        <f t="shared" si="1"/>
        <v>-0.9539501799</v>
      </c>
      <c r="E244" s="47">
        <v>1.221179122E8</v>
      </c>
      <c r="F244" s="48">
        <v>783.0645731490041</v>
      </c>
      <c r="G244" s="23">
        <v>1.4235988666183997E14</v>
      </c>
      <c r="H244" s="23">
        <v>2014.0</v>
      </c>
      <c r="I244" s="23" t="s">
        <v>1220</v>
      </c>
      <c r="J244" s="49">
        <v>31.7</v>
      </c>
      <c r="K244" s="17"/>
      <c r="L244" s="20">
        <v>28.846600976154</v>
      </c>
      <c r="M244" s="20"/>
      <c r="N244" s="20"/>
      <c r="O244" s="17"/>
      <c r="P244" s="47">
        <v>5504169.59</v>
      </c>
      <c r="Q244" s="50"/>
      <c r="R244" s="6"/>
      <c r="S244" s="6"/>
      <c r="T244" s="6"/>
      <c r="U244" s="6"/>
      <c r="V244" s="6"/>
    </row>
    <row r="245">
      <c r="A245" s="52" t="s">
        <v>1221</v>
      </c>
      <c r="B245" s="52" t="s">
        <v>1222</v>
      </c>
      <c r="C245" s="52" t="s">
        <v>1223</v>
      </c>
      <c r="D245" s="14">
        <f t="shared" si="1"/>
        <v>-0.6473263845</v>
      </c>
      <c r="E245" s="53" t="s">
        <v>1221</v>
      </c>
      <c r="F245" s="54">
        <f t="shared" ref="F245:F288" si="46">(G245+B245)/A245</f>
        <v>213.4069838</v>
      </c>
      <c r="G245" s="23">
        <v>2.54764422E11</v>
      </c>
      <c r="H245" s="4">
        <v>2024.0</v>
      </c>
      <c r="I245" s="23" t="s">
        <v>1224</v>
      </c>
      <c r="J245" s="55">
        <v>71.3</v>
      </c>
      <c r="K245" s="55">
        <v>68.6</v>
      </c>
      <c r="L245" s="56">
        <v>23.6602096848236</v>
      </c>
      <c r="M245" s="56"/>
      <c r="N245" s="20"/>
      <c r="O245" s="56">
        <v>21.6148974043115</v>
      </c>
      <c r="P245" s="52" t="s">
        <v>1225</v>
      </c>
      <c r="Q245" s="52" t="s">
        <v>1226</v>
      </c>
      <c r="R245" s="6"/>
      <c r="S245" s="6"/>
      <c r="T245" s="6"/>
      <c r="U245" s="6"/>
      <c r="V245" s="6"/>
    </row>
    <row r="246">
      <c r="A246" s="52" t="s">
        <v>1227</v>
      </c>
      <c r="B246" s="52" t="s">
        <v>1228</v>
      </c>
      <c r="C246" s="52" t="s">
        <v>1229</v>
      </c>
      <c r="D246" s="14">
        <f t="shared" si="1"/>
        <v>-0.4989778416</v>
      </c>
      <c r="E246" s="53" t="s">
        <v>1227</v>
      </c>
      <c r="F246" s="54">
        <f t="shared" si="46"/>
        <v>127.6677668</v>
      </c>
      <c r="G246" s="23">
        <v>2.35493794076E11</v>
      </c>
      <c r="H246" s="57">
        <v>2023.0</v>
      </c>
      <c r="I246" s="23" t="s">
        <v>1224</v>
      </c>
      <c r="J246" s="55">
        <v>68.6</v>
      </c>
      <c r="K246" s="55">
        <v>64.3</v>
      </c>
      <c r="L246" s="56">
        <v>21.6148974043115</v>
      </c>
      <c r="M246" s="56">
        <f t="shared" ref="M246:M254" si="47">(J245+J246+J247)/3</f>
        <v>68.06666667</v>
      </c>
      <c r="N246" s="20">
        <f t="shared" ref="N246:N254" si="48">sqrt((((J245-M246)^2)+((J246-M246)^2)+((J247-M246)^2))/2)</f>
        <v>3.530344648</v>
      </c>
      <c r="O246" s="56">
        <v>18.1756591237636</v>
      </c>
      <c r="P246" s="52" t="s">
        <v>1230</v>
      </c>
      <c r="Q246" s="52" t="s">
        <v>1231</v>
      </c>
      <c r="R246" s="6"/>
      <c r="S246" s="6"/>
      <c r="T246" s="6"/>
      <c r="U246" s="6"/>
      <c r="V246" s="6"/>
    </row>
    <row r="247">
      <c r="A247" s="52" t="s">
        <v>1232</v>
      </c>
      <c r="B247" s="52" t="s">
        <v>1233</v>
      </c>
      <c r="C247" s="52" t="s">
        <v>1234</v>
      </c>
      <c r="D247" s="14">
        <f t="shared" si="1"/>
        <v>-0.4254729159</v>
      </c>
      <c r="E247" s="53" t="s">
        <v>1232</v>
      </c>
      <c r="F247" s="54">
        <f t="shared" si="46"/>
        <v>86.9790249</v>
      </c>
      <c r="G247" s="23">
        <v>2.62957513926E11</v>
      </c>
      <c r="H247" s="57">
        <v>2022.0</v>
      </c>
      <c r="I247" s="23" t="s">
        <v>1224</v>
      </c>
      <c r="J247" s="55">
        <v>64.3</v>
      </c>
      <c r="K247" s="55">
        <v>60.0</v>
      </c>
      <c r="L247" s="56">
        <v>18.1756591237636</v>
      </c>
      <c r="M247" s="56">
        <f t="shared" si="47"/>
        <v>64.3</v>
      </c>
      <c r="N247" s="20">
        <f t="shared" si="48"/>
        <v>4.3</v>
      </c>
      <c r="O247" s="56">
        <v>12.1839371970674</v>
      </c>
      <c r="P247" s="52" t="s">
        <v>1235</v>
      </c>
      <c r="Q247" s="52" t="s">
        <v>1236</v>
      </c>
      <c r="R247" s="6"/>
      <c r="S247" s="6"/>
      <c r="T247" s="6"/>
      <c r="U247" s="6"/>
      <c r="V247" s="6"/>
    </row>
    <row r="248">
      <c r="A248" s="52" t="s">
        <v>1237</v>
      </c>
      <c r="B248" s="52" t="s">
        <v>1238</v>
      </c>
      <c r="C248" s="52" t="s">
        <v>1239</v>
      </c>
      <c r="D248" s="14">
        <f t="shared" si="1"/>
        <v>-0.321379705</v>
      </c>
      <c r="E248" s="53" t="s">
        <v>1237</v>
      </c>
      <c r="F248" s="54">
        <f t="shared" si="46"/>
        <v>77.23448566</v>
      </c>
      <c r="G248" s="23">
        <v>4.2176743322E11</v>
      </c>
      <c r="H248" s="57">
        <v>2021.0</v>
      </c>
      <c r="I248" s="23" t="s">
        <v>1224</v>
      </c>
      <c r="J248" s="55">
        <v>60.0</v>
      </c>
      <c r="K248" s="55">
        <v>60.3</v>
      </c>
      <c r="L248" s="56">
        <v>12.1839371970674</v>
      </c>
      <c r="M248" s="56">
        <f t="shared" si="47"/>
        <v>61.53333333</v>
      </c>
      <c r="N248" s="20">
        <f t="shared" si="48"/>
        <v>2.400694344</v>
      </c>
      <c r="O248" s="56">
        <v>12.2738906719289</v>
      </c>
      <c r="P248" s="52" t="s">
        <v>1240</v>
      </c>
      <c r="Q248" s="52" t="s">
        <v>1241</v>
      </c>
      <c r="R248" s="6"/>
      <c r="S248" s="6"/>
      <c r="T248" s="6"/>
      <c r="U248" s="6"/>
      <c r="V248" s="6"/>
    </row>
    <row r="249">
      <c r="A249" s="52" t="s">
        <v>1242</v>
      </c>
      <c r="B249" s="52" t="s">
        <v>1243</v>
      </c>
      <c r="C249" s="52" t="s">
        <v>1244</v>
      </c>
      <c r="D249" s="14">
        <f t="shared" si="1"/>
        <v>-0.00529994741</v>
      </c>
      <c r="E249" s="53" t="s">
        <v>1242</v>
      </c>
      <c r="F249" s="54">
        <f t="shared" si="46"/>
        <v>29.87402993</v>
      </c>
      <c r="G249" s="23">
        <v>2.40186793164E11</v>
      </c>
      <c r="H249" s="57">
        <v>2020.0</v>
      </c>
      <c r="I249" s="23" t="s">
        <v>1224</v>
      </c>
      <c r="J249" s="55">
        <v>60.3</v>
      </c>
      <c r="K249" s="55">
        <v>58.0</v>
      </c>
      <c r="L249" s="56">
        <v>12.2738906719289</v>
      </c>
      <c r="M249" s="56">
        <f t="shared" si="47"/>
        <v>59.43333333</v>
      </c>
      <c r="N249" s="20">
        <f t="shared" si="48"/>
        <v>1.250333289</v>
      </c>
      <c r="O249" s="56">
        <v>11.3076296512967</v>
      </c>
      <c r="P249" s="52" t="s">
        <v>1245</v>
      </c>
      <c r="Q249" s="52" t="s">
        <v>1246</v>
      </c>
      <c r="R249" s="6"/>
      <c r="S249" s="6"/>
      <c r="T249" s="6"/>
      <c r="U249" s="6"/>
      <c r="V249" s="6"/>
    </row>
    <row r="250">
      <c r="A250" s="52" t="s">
        <v>1247</v>
      </c>
      <c r="B250" s="52" t="s">
        <v>1248</v>
      </c>
      <c r="C250" s="52" t="s">
        <v>1249</v>
      </c>
      <c r="D250" s="14">
        <f t="shared" si="1"/>
        <v>0.2015313611</v>
      </c>
      <c r="E250" s="53" t="s">
        <v>1247</v>
      </c>
      <c r="F250" s="54">
        <f t="shared" si="46"/>
        <v>29.22923877</v>
      </c>
      <c r="G250" s="23">
        <v>2.54528013674E11</v>
      </c>
      <c r="H250" s="57">
        <v>2019.0</v>
      </c>
      <c r="I250" s="23" t="s">
        <v>1224</v>
      </c>
      <c r="J250" s="55">
        <v>58.0</v>
      </c>
      <c r="K250" s="55">
        <v>54.3</v>
      </c>
      <c r="L250" s="56">
        <v>11.3076296512967</v>
      </c>
      <c r="M250" s="56">
        <f t="shared" si="47"/>
        <v>57.53333333</v>
      </c>
      <c r="N250" s="20">
        <f t="shared" si="48"/>
        <v>3.027099822</v>
      </c>
      <c r="O250" s="56">
        <v>11.3396223992414</v>
      </c>
      <c r="P250" s="52" t="s">
        <v>1250</v>
      </c>
      <c r="Q250" s="52" t="s">
        <v>1251</v>
      </c>
      <c r="R250" s="6"/>
      <c r="S250" s="6"/>
      <c r="T250" s="6"/>
      <c r="U250" s="6"/>
      <c r="V250" s="6"/>
    </row>
    <row r="251">
      <c r="A251" s="52" t="s">
        <v>1252</v>
      </c>
      <c r="B251" s="52" t="s">
        <v>1253</v>
      </c>
      <c r="C251" s="52" t="s">
        <v>1254</v>
      </c>
      <c r="D251" s="14">
        <f t="shared" si="1"/>
        <v>0.03914710533</v>
      </c>
      <c r="E251" s="53" t="s">
        <v>1252</v>
      </c>
      <c r="F251" s="54">
        <f t="shared" si="46"/>
        <v>21.82488199</v>
      </c>
      <c r="G251" s="23">
        <v>2.03333636592E11</v>
      </c>
      <c r="H251" s="57">
        <v>2018.0</v>
      </c>
      <c r="I251" s="23" t="s">
        <v>1224</v>
      </c>
      <c r="J251" s="55">
        <v>54.3</v>
      </c>
      <c r="K251" s="55">
        <v>52.3</v>
      </c>
      <c r="L251" s="56">
        <v>11.3396223992414</v>
      </c>
      <c r="M251" s="56">
        <f t="shared" si="47"/>
        <v>54.86666667</v>
      </c>
      <c r="N251" s="20">
        <f t="shared" si="48"/>
        <v>2.89194283</v>
      </c>
      <c r="O251" s="56">
        <v>12.4741307475021</v>
      </c>
      <c r="P251" s="52" t="s">
        <v>1255</v>
      </c>
      <c r="Q251" s="52" t="s">
        <v>1256</v>
      </c>
      <c r="R251" s="6"/>
      <c r="S251" s="6"/>
      <c r="T251" s="6"/>
      <c r="U251" s="6"/>
      <c r="V251" s="6"/>
    </row>
    <row r="252">
      <c r="A252" s="52" t="s">
        <v>1257</v>
      </c>
      <c r="B252" s="52" t="s">
        <v>1258</v>
      </c>
      <c r="C252" s="52" t="s">
        <v>1259</v>
      </c>
      <c r="D252" s="14">
        <f t="shared" si="1"/>
        <v>0.1243699259</v>
      </c>
      <c r="E252" s="53" t="s">
        <v>1257</v>
      </c>
      <c r="F252" s="54">
        <f t="shared" si="46"/>
        <v>19.47042182</v>
      </c>
      <c r="G252" s="23">
        <v>1.75509765818E11</v>
      </c>
      <c r="H252" s="57">
        <v>2017.0</v>
      </c>
      <c r="I252" s="23" t="s">
        <v>1224</v>
      </c>
      <c r="J252" s="55">
        <v>52.3</v>
      </c>
      <c r="K252" s="55">
        <v>49.7</v>
      </c>
      <c r="L252" s="56">
        <v>12.4741307475021</v>
      </c>
      <c r="M252" s="56">
        <f t="shared" si="47"/>
        <v>52.1</v>
      </c>
      <c r="N252" s="20">
        <f t="shared" si="48"/>
        <v>2.306512519</v>
      </c>
      <c r="O252" s="56">
        <v>14.0523361024415</v>
      </c>
      <c r="P252" s="52" t="s">
        <v>1260</v>
      </c>
      <c r="Q252" s="52" t="s">
        <v>1261</v>
      </c>
      <c r="R252" s="6"/>
      <c r="S252" s="6"/>
      <c r="T252" s="6"/>
      <c r="U252" s="6"/>
      <c r="V252" s="6"/>
    </row>
    <row r="253">
      <c r="A253" s="52" t="s">
        <v>1262</v>
      </c>
      <c r="B253" s="52" t="s">
        <v>1263</v>
      </c>
      <c r="C253" s="52" t="s">
        <v>1264</v>
      </c>
      <c r="D253" s="14">
        <f t="shared" si="1"/>
        <v>0.1059501677</v>
      </c>
      <c r="E253" s="53" t="s">
        <v>1262</v>
      </c>
      <c r="F253" s="54">
        <f t="shared" si="46"/>
        <v>19.90026506</v>
      </c>
      <c r="G253" s="23">
        <v>1.45604065445E11</v>
      </c>
      <c r="H253" s="57">
        <v>2016.0</v>
      </c>
      <c r="I253" s="23" t="s">
        <v>1224</v>
      </c>
      <c r="J253" s="55">
        <v>49.7</v>
      </c>
      <c r="K253" s="55">
        <v>48.3</v>
      </c>
      <c r="L253" s="56">
        <v>14.0523361024415</v>
      </c>
      <c r="M253" s="56">
        <f t="shared" si="47"/>
        <v>50.1</v>
      </c>
      <c r="N253" s="20">
        <f t="shared" si="48"/>
        <v>2.029778313</v>
      </c>
      <c r="O253" s="56">
        <v>19.6496007142997</v>
      </c>
      <c r="P253" s="52" t="s">
        <v>1265</v>
      </c>
      <c r="Q253" s="52" t="s">
        <v>1266</v>
      </c>
      <c r="R253" s="6"/>
      <c r="S253" s="6"/>
      <c r="T253" s="6"/>
      <c r="U253" s="6"/>
      <c r="V253" s="6"/>
    </row>
    <row r="254">
      <c r="A254" s="52" t="s">
        <v>1267</v>
      </c>
      <c r="B254" s="52" t="s">
        <v>1268</v>
      </c>
      <c r="C254" s="52" t="s">
        <v>1269</v>
      </c>
      <c r="D254" s="14">
        <f t="shared" si="1"/>
        <v>0.03344605268</v>
      </c>
      <c r="E254" s="53" t="s">
        <v>1267</v>
      </c>
      <c r="F254" s="54">
        <f t="shared" si="46"/>
        <v>20.77515602</v>
      </c>
      <c r="G254" s="23">
        <v>1.25781514214E11</v>
      </c>
      <c r="H254" s="57">
        <v>2015.0</v>
      </c>
      <c r="I254" s="23" t="s">
        <v>1224</v>
      </c>
      <c r="J254" s="55">
        <v>48.3</v>
      </c>
      <c r="K254" s="55">
        <v>42.3</v>
      </c>
      <c r="L254" s="56">
        <v>19.6496007142997</v>
      </c>
      <c r="M254" s="56">
        <f t="shared" si="47"/>
        <v>46.76666667</v>
      </c>
      <c r="N254" s="20">
        <f t="shared" si="48"/>
        <v>3.931072797</v>
      </c>
      <c r="O254" s="56">
        <v>28.846600976154</v>
      </c>
      <c r="P254" s="52" t="s">
        <v>1270</v>
      </c>
      <c r="Q254" s="52" t="s">
        <v>1271</v>
      </c>
      <c r="R254" s="6"/>
      <c r="S254" s="6"/>
      <c r="T254" s="6"/>
      <c r="U254" s="6"/>
      <c r="V254" s="6"/>
    </row>
    <row r="255">
      <c r="A255" s="52" t="s">
        <v>1272</v>
      </c>
      <c r="B255" s="52" t="s">
        <v>1273</v>
      </c>
      <c r="C255" s="52" t="s">
        <v>1274</v>
      </c>
      <c r="D255" s="14">
        <f t="shared" si="1"/>
        <v>1.038579788</v>
      </c>
      <c r="E255" s="53" t="s">
        <v>1272</v>
      </c>
      <c r="F255" s="54">
        <f t="shared" si="46"/>
        <v>13.95459308</v>
      </c>
      <c r="G255" s="23">
        <v>7.5534830578E10</v>
      </c>
      <c r="H255" s="57">
        <v>2014.0</v>
      </c>
      <c r="I255" s="23" t="s">
        <v>1224</v>
      </c>
      <c r="J255" s="55">
        <v>42.3</v>
      </c>
      <c r="K255" s="56"/>
      <c r="L255" s="56">
        <v>28.846600976154</v>
      </c>
      <c r="M255" s="56"/>
      <c r="N255" s="20"/>
      <c r="O255" s="58"/>
      <c r="P255" s="52" t="s">
        <v>1275</v>
      </c>
      <c r="Q255" s="52" t="s">
        <v>1276</v>
      </c>
      <c r="R255" s="6"/>
      <c r="S255" s="6"/>
      <c r="T255" s="6"/>
      <c r="U255" s="6"/>
      <c r="V255" s="6"/>
    </row>
    <row r="256">
      <c r="A256" s="59" t="s">
        <v>1277</v>
      </c>
      <c r="B256" s="59" t="s">
        <v>1278</v>
      </c>
      <c r="C256" s="59" t="s">
        <v>1279</v>
      </c>
      <c r="D256" s="14">
        <f t="shared" si="1"/>
        <v>0.7493869564</v>
      </c>
      <c r="E256" s="60" t="s">
        <v>1277</v>
      </c>
      <c r="F256" s="61">
        <f t="shared" si="46"/>
        <v>766.5521034</v>
      </c>
      <c r="G256" s="62">
        <v>2.21534684E12</v>
      </c>
      <c r="H256" s="63">
        <v>2024.0</v>
      </c>
      <c r="I256" s="62" t="s">
        <v>1280</v>
      </c>
      <c r="J256" s="64">
        <v>64.12</v>
      </c>
      <c r="K256" s="64">
        <v>60.0</v>
      </c>
      <c r="L256" s="65">
        <v>23.6602096848236</v>
      </c>
      <c r="M256" s="65"/>
      <c r="N256" s="20"/>
      <c r="O256" s="65">
        <v>21.6148974043115</v>
      </c>
      <c r="P256" s="59" t="s">
        <v>1281</v>
      </c>
      <c r="Q256" s="59" t="s">
        <v>1282</v>
      </c>
      <c r="R256" s="66"/>
      <c r="S256" s="66"/>
      <c r="T256" s="66"/>
      <c r="U256" s="66"/>
      <c r="V256" s="66"/>
    </row>
    <row r="257">
      <c r="A257" s="59" t="s">
        <v>1283</v>
      </c>
      <c r="B257" s="59" t="s">
        <v>1284</v>
      </c>
      <c r="C257" s="59" t="s">
        <v>1285</v>
      </c>
      <c r="D257" s="14">
        <f t="shared" si="1"/>
        <v>0.3169055585</v>
      </c>
      <c r="E257" s="60" t="s">
        <v>1283</v>
      </c>
      <c r="F257" s="61">
        <f t="shared" si="46"/>
        <v>547.5317435</v>
      </c>
      <c r="G257" s="62">
        <v>1.485585528E12</v>
      </c>
      <c r="H257" s="63">
        <v>2023.0</v>
      </c>
      <c r="I257" s="62" t="s">
        <v>1280</v>
      </c>
      <c r="J257" s="64">
        <v>60.0</v>
      </c>
      <c r="K257" s="64">
        <v>55.9</v>
      </c>
      <c r="L257" s="65">
        <v>21.6148974043115</v>
      </c>
      <c r="M257" s="65">
        <f t="shared" ref="M257:M265" si="49">(J256+J257+J258)/3</f>
        <v>60.00666667</v>
      </c>
      <c r="N257" s="20">
        <f t="shared" ref="N257:N265" si="50">sqrt((((J256-M257)^2)+((J257-M257)^2)+((J258-M257)^2))/2)</f>
        <v>4.110004055</v>
      </c>
      <c r="O257" s="65">
        <v>18.1756591237636</v>
      </c>
      <c r="P257" s="59" t="s">
        <v>1286</v>
      </c>
      <c r="Q257" s="59" t="s">
        <v>1287</v>
      </c>
      <c r="R257" s="66"/>
      <c r="S257" s="66"/>
      <c r="T257" s="66"/>
      <c r="U257" s="66"/>
      <c r="V257" s="66"/>
    </row>
    <row r="258">
      <c r="A258" s="59" t="s">
        <v>1288</v>
      </c>
      <c r="B258" s="59" t="s">
        <v>1289</v>
      </c>
      <c r="C258" s="59" t="s">
        <v>1290</v>
      </c>
      <c r="D258" s="14">
        <f t="shared" si="1"/>
        <v>0.6999144719</v>
      </c>
      <c r="E258" s="60" t="s">
        <v>1288</v>
      </c>
      <c r="F258" s="61">
        <f t="shared" si="46"/>
        <v>569.7441767</v>
      </c>
      <c r="G258" s="62">
        <v>1.524679884E12</v>
      </c>
      <c r="H258" s="63">
        <v>2022.0</v>
      </c>
      <c r="I258" s="62" t="s">
        <v>1280</v>
      </c>
      <c r="J258" s="64">
        <v>55.9</v>
      </c>
      <c r="K258" s="64">
        <v>52.3</v>
      </c>
      <c r="L258" s="65">
        <v>18.1756591237636</v>
      </c>
      <c r="M258" s="65">
        <f t="shared" si="49"/>
        <v>56.06666667</v>
      </c>
      <c r="N258" s="20">
        <f t="shared" si="50"/>
        <v>3.852704678</v>
      </c>
      <c r="O258" s="65">
        <v>12.1839371970674</v>
      </c>
      <c r="P258" s="59" t="s">
        <v>1291</v>
      </c>
      <c r="Q258" s="59" t="s">
        <v>1292</v>
      </c>
      <c r="R258" s="66"/>
      <c r="S258" s="66"/>
      <c r="T258" s="66"/>
      <c r="U258" s="66"/>
      <c r="V258" s="66"/>
    </row>
    <row r="259">
      <c r="A259" s="59" t="s">
        <v>1293</v>
      </c>
      <c r="B259" s="59" t="s">
        <v>1294</v>
      </c>
      <c r="C259" s="59" t="s">
        <v>1295</v>
      </c>
      <c r="D259" s="14">
        <f t="shared" si="1"/>
        <v>0.114761754</v>
      </c>
      <c r="E259" s="60" t="s">
        <v>1293</v>
      </c>
      <c r="F259" s="61">
        <f t="shared" si="46"/>
        <v>902.0961811</v>
      </c>
      <c r="G259" s="62">
        <v>2.47597588E12</v>
      </c>
      <c r="H259" s="63">
        <v>2021.0</v>
      </c>
      <c r="I259" s="62" t="s">
        <v>1280</v>
      </c>
      <c r="J259" s="64">
        <v>52.3</v>
      </c>
      <c r="K259" s="64">
        <v>46.2</v>
      </c>
      <c r="L259" s="65">
        <v>12.1839371970674</v>
      </c>
      <c r="M259" s="65">
        <f t="shared" si="49"/>
        <v>51.46666667</v>
      </c>
      <c r="N259" s="20">
        <f t="shared" si="50"/>
        <v>4.903400181</v>
      </c>
      <c r="O259" s="65">
        <v>12.2738906719289</v>
      </c>
      <c r="P259" s="59" t="s">
        <v>1296</v>
      </c>
      <c r="Q259" s="59" t="s">
        <v>1297</v>
      </c>
      <c r="R259" s="66"/>
      <c r="S259" s="66"/>
      <c r="T259" s="66"/>
      <c r="U259" s="66"/>
      <c r="V259" s="66"/>
    </row>
    <row r="260">
      <c r="A260" s="59" t="s">
        <v>1298</v>
      </c>
      <c r="B260" s="59" t="s">
        <v>1299</v>
      </c>
      <c r="C260" s="59" t="s">
        <v>1300</v>
      </c>
      <c r="D260" s="14">
        <f t="shared" si="1"/>
        <v>-0.1697368538</v>
      </c>
      <c r="E260" s="60" t="s">
        <v>1298</v>
      </c>
      <c r="F260" s="61">
        <f t="shared" si="46"/>
        <v>108.0170191</v>
      </c>
      <c r="G260" s="62">
        <v>2.99723396E11</v>
      </c>
      <c r="H260" s="63">
        <v>2020.0</v>
      </c>
      <c r="I260" s="62" t="s">
        <v>1280</v>
      </c>
      <c r="J260" s="64">
        <v>46.2</v>
      </c>
      <c r="K260" s="64">
        <v>43.8</v>
      </c>
      <c r="L260" s="65">
        <v>12.2738906719289</v>
      </c>
      <c r="M260" s="65">
        <f t="shared" si="49"/>
        <v>47.43333333</v>
      </c>
      <c r="N260" s="20">
        <f t="shared" si="50"/>
        <v>4.382160806</v>
      </c>
      <c r="O260" s="65">
        <v>11.3076296512967</v>
      </c>
      <c r="P260" s="59" t="s">
        <v>1301</v>
      </c>
      <c r="Q260" s="59" t="s">
        <v>1302</v>
      </c>
      <c r="R260" s="66"/>
      <c r="S260" s="66"/>
      <c r="T260" s="66"/>
      <c r="U260" s="66"/>
      <c r="V260" s="66"/>
    </row>
    <row r="261">
      <c r="A261" s="59" t="s">
        <v>1303</v>
      </c>
      <c r="B261" s="59" t="s">
        <v>1304</v>
      </c>
      <c r="C261" s="59" t="s">
        <v>1305</v>
      </c>
      <c r="D261" s="14">
        <f t="shared" si="1"/>
        <v>-0.08588828906</v>
      </c>
      <c r="E261" s="60" t="s">
        <v>1303</v>
      </c>
      <c r="F261" s="61">
        <f t="shared" si="46"/>
        <v>69.68333502</v>
      </c>
      <c r="G261" s="62">
        <v>2.15018958E11</v>
      </c>
      <c r="H261" s="63">
        <v>2019.0</v>
      </c>
      <c r="I261" s="62" t="s">
        <v>1280</v>
      </c>
      <c r="J261" s="64">
        <v>43.8</v>
      </c>
      <c r="K261" s="64">
        <v>41.2</v>
      </c>
      <c r="L261" s="65">
        <v>11.3076296512967</v>
      </c>
      <c r="M261" s="65">
        <f t="shared" si="49"/>
        <v>43.73333333</v>
      </c>
      <c r="N261" s="20">
        <f t="shared" si="50"/>
        <v>2.500666578</v>
      </c>
      <c r="O261" s="65">
        <v>11.3396223992414</v>
      </c>
      <c r="P261" s="59" t="s">
        <v>1306</v>
      </c>
      <c r="Q261" s="59" t="s">
        <v>1307</v>
      </c>
      <c r="R261" s="66"/>
      <c r="S261" s="66"/>
      <c r="T261" s="66"/>
      <c r="U261" s="66"/>
      <c r="V261" s="66"/>
    </row>
    <row r="262">
      <c r="A262" s="59" t="s">
        <v>1308</v>
      </c>
      <c r="B262" s="59" t="s">
        <v>1309</v>
      </c>
      <c r="C262" s="59" t="s">
        <v>1310</v>
      </c>
      <c r="D262" s="14">
        <f t="shared" si="1"/>
        <v>0.04404117715</v>
      </c>
      <c r="E262" s="60" t="s">
        <v>1308</v>
      </c>
      <c r="F262" s="61">
        <f t="shared" si="46"/>
        <v>59.09106162</v>
      </c>
      <c r="G262" s="62">
        <v>2.124126676E11</v>
      </c>
      <c r="H262" s="63">
        <v>2018.0</v>
      </c>
      <c r="I262" s="62" t="s">
        <v>1280</v>
      </c>
      <c r="J262" s="64">
        <v>41.2</v>
      </c>
      <c r="K262" s="64">
        <v>38.5</v>
      </c>
      <c r="L262" s="65">
        <v>11.3396223992414</v>
      </c>
      <c r="M262" s="65">
        <f t="shared" si="49"/>
        <v>41.16666667</v>
      </c>
      <c r="N262" s="20">
        <f t="shared" si="50"/>
        <v>2.650157228</v>
      </c>
      <c r="O262" s="65">
        <v>12.4741307475021</v>
      </c>
      <c r="P262" s="59" t="s">
        <v>1311</v>
      </c>
      <c r="Q262" s="59" t="s">
        <v>1312</v>
      </c>
      <c r="R262" s="66"/>
      <c r="S262" s="66"/>
      <c r="T262" s="66"/>
      <c r="U262" s="66"/>
      <c r="V262" s="66"/>
    </row>
    <row r="263">
      <c r="A263" s="59" t="s">
        <v>1313</v>
      </c>
      <c r="B263" s="59" t="s">
        <v>1314</v>
      </c>
      <c r="C263" s="59" t="s">
        <v>1315</v>
      </c>
      <c r="D263" s="14">
        <f t="shared" si="1"/>
        <v>0.2812312645</v>
      </c>
      <c r="E263" s="60" t="s">
        <v>1313</v>
      </c>
      <c r="F263" s="61">
        <f t="shared" si="46"/>
        <v>114.1484859</v>
      </c>
      <c r="G263" s="62">
        <v>4.378567872E11</v>
      </c>
      <c r="H263" s="63">
        <v>2017.0</v>
      </c>
      <c r="I263" s="62" t="s">
        <v>1280</v>
      </c>
      <c r="J263" s="64">
        <v>38.5</v>
      </c>
      <c r="K263" s="64">
        <v>35.7</v>
      </c>
      <c r="L263" s="65">
        <v>12.4741307475021</v>
      </c>
      <c r="M263" s="65">
        <f t="shared" si="49"/>
        <v>38.46666667</v>
      </c>
      <c r="N263" s="20">
        <f t="shared" si="50"/>
        <v>2.750151511</v>
      </c>
      <c r="O263" s="65">
        <v>14.0523361024415</v>
      </c>
      <c r="P263" s="59" t="s">
        <v>1316</v>
      </c>
      <c r="Q263" s="59" t="s">
        <v>1317</v>
      </c>
      <c r="R263" s="66"/>
      <c r="S263" s="66"/>
      <c r="T263" s="66"/>
      <c r="U263" s="66"/>
      <c r="V263" s="66"/>
    </row>
    <row r="264">
      <c r="A264" s="59" t="s">
        <v>1318</v>
      </c>
      <c r="B264" s="59" t="s">
        <v>1319</v>
      </c>
      <c r="C264" s="59" t="s">
        <v>1320</v>
      </c>
      <c r="D264" s="14">
        <f t="shared" si="1"/>
        <v>-0.2488381978</v>
      </c>
      <c r="E264" s="60" t="s">
        <v>1318</v>
      </c>
      <c r="F264" s="61">
        <f t="shared" si="46"/>
        <v>32.21044526</v>
      </c>
      <c r="G264" s="62">
        <v>1.329208104E11</v>
      </c>
      <c r="H264" s="63">
        <v>2016.0</v>
      </c>
      <c r="I264" s="62" t="s">
        <v>1280</v>
      </c>
      <c r="J264" s="64">
        <v>35.7</v>
      </c>
      <c r="K264" s="64">
        <v>33.4</v>
      </c>
      <c r="L264" s="65">
        <v>14.0523361024415</v>
      </c>
      <c r="M264" s="65">
        <f t="shared" si="49"/>
        <v>35.86666667</v>
      </c>
      <c r="N264" s="20">
        <f t="shared" si="50"/>
        <v>2.554081701</v>
      </c>
      <c r="O264" s="65">
        <v>19.6496007142997</v>
      </c>
      <c r="P264" s="59" t="s">
        <v>1321</v>
      </c>
      <c r="Q264" s="59" t="s">
        <v>1322</v>
      </c>
      <c r="R264" s="66"/>
      <c r="S264" s="66"/>
      <c r="T264" s="66"/>
      <c r="U264" s="66"/>
      <c r="V264" s="66"/>
    </row>
    <row r="265">
      <c r="A265" s="59" t="s">
        <v>1323</v>
      </c>
      <c r="B265" s="59" t="s">
        <v>1324</v>
      </c>
      <c r="C265" s="59" t="s">
        <v>1325</v>
      </c>
      <c r="D265" s="14">
        <f t="shared" si="1"/>
        <v>-0.1777716038</v>
      </c>
      <c r="E265" s="60" t="s">
        <v>1323</v>
      </c>
      <c r="F265" s="61">
        <f t="shared" si="46"/>
        <v>76.63283321</v>
      </c>
      <c r="G265" s="62">
        <v>3.51849204E11</v>
      </c>
      <c r="H265" s="63">
        <v>2015.0</v>
      </c>
      <c r="I265" s="62" t="s">
        <v>1280</v>
      </c>
      <c r="J265" s="64">
        <v>33.4</v>
      </c>
      <c r="K265" s="64">
        <v>32.3</v>
      </c>
      <c r="L265" s="65">
        <v>19.6496007142997</v>
      </c>
      <c r="M265" s="65">
        <f t="shared" si="49"/>
        <v>33.8</v>
      </c>
      <c r="N265" s="20">
        <f t="shared" si="50"/>
        <v>1.734935157</v>
      </c>
      <c r="O265" s="65">
        <v>28.846600976154</v>
      </c>
      <c r="P265" s="59" t="s">
        <v>1326</v>
      </c>
      <c r="Q265" s="59" t="s">
        <v>1327</v>
      </c>
      <c r="R265" s="66"/>
      <c r="S265" s="66"/>
      <c r="T265" s="66"/>
      <c r="U265" s="66"/>
      <c r="V265" s="66"/>
    </row>
    <row r="266">
      <c r="A266" s="59" t="s">
        <v>1328</v>
      </c>
      <c r="B266" s="59" t="s">
        <v>1329</v>
      </c>
      <c r="C266" s="59" t="s">
        <v>1330</v>
      </c>
      <c r="D266" s="14">
        <f t="shared" si="1"/>
        <v>133.8416417</v>
      </c>
      <c r="E266" s="60" t="s">
        <v>1328</v>
      </c>
      <c r="F266" s="61">
        <f t="shared" si="46"/>
        <v>157.0567172</v>
      </c>
      <c r="G266" s="62">
        <v>8.07950024E11</v>
      </c>
      <c r="H266" s="63">
        <v>2014.0</v>
      </c>
      <c r="I266" s="62" t="s">
        <v>1280</v>
      </c>
      <c r="J266" s="64">
        <v>32.3</v>
      </c>
      <c r="K266" s="65"/>
      <c r="L266" s="65">
        <v>28.846600976154</v>
      </c>
      <c r="M266" s="65"/>
      <c r="N266" s="20"/>
      <c r="O266" s="67"/>
      <c r="P266" s="59" t="s">
        <v>1331</v>
      </c>
      <c r="Q266" s="59" t="s">
        <v>1332</v>
      </c>
      <c r="R266" s="66"/>
      <c r="S266" s="66"/>
      <c r="T266" s="66"/>
      <c r="U266" s="66"/>
      <c r="V266" s="66"/>
    </row>
    <row r="267">
      <c r="A267" s="59" t="s">
        <v>1333</v>
      </c>
      <c r="B267" s="59" t="s">
        <v>1334</v>
      </c>
      <c r="C267" s="59" t="s">
        <v>1335</v>
      </c>
      <c r="D267" s="14">
        <f t="shared" si="1"/>
        <v>2.861900534</v>
      </c>
      <c r="E267" s="60" t="s">
        <v>1333</v>
      </c>
      <c r="F267" s="61">
        <f t="shared" si="46"/>
        <v>333.7009191</v>
      </c>
      <c r="G267" s="62">
        <v>5.8E11</v>
      </c>
      <c r="H267" s="63">
        <v>2024.0</v>
      </c>
      <c r="I267" s="62" t="s">
        <v>1336</v>
      </c>
      <c r="J267" s="64">
        <v>54.87</v>
      </c>
      <c r="K267" s="64">
        <v>51.62</v>
      </c>
      <c r="L267" s="65">
        <v>23.6602096848236</v>
      </c>
      <c r="M267" s="65"/>
      <c r="N267" s="20"/>
      <c r="O267" s="65">
        <v>21.6148974043115</v>
      </c>
      <c r="P267" s="59" t="s">
        <v>1337</v>
      </c>
      <c r="Q267" s="59" t="s">
        <v>1338</v>
      </c>
      <c r="R267" s="66"/>
      <c r="S267" s="66"/>
      <c r="T267" s="66"/>
      <c r="U267" s="66"/>
      <c r="V267" s="66"/>
    </row>
    <row r="268">
      <c r="A268" s="59" t="s">
        <v>1339</v>
      </c>
      <c r="B268" s="59" t="s">
        <v>1340</v>
      </c>
      <c r="C268" s="59" t="s">
        <v>1341</v>
      </c>
      <c r="D268" s="14">
        <f t="shared" si="1"/>
        <v>0.07217021832</v>
      </c>
      <c r="E268" s="60" t="s">
        <v>1339</v>
      </c>
      <c r="F268" s="61">
        <f t="shared" si="46"/>
        <v>234.3934981</v>
      </c>
      <c r="G268" s="62">
        <v>4.025E11</v>
      </c>
      <c r="H268" s="63">
        <v>2023.0</v>
      </c>
      <c r="I268" s="62" t="s">
        <v>1336</v>
      </c>
      <c r="J268" s="64">
        <v>51.62</v>
      </c>
      <c r="K268" s="64">
        <v>48.87</v>
      </c>
      <c r="L268" s="65">
        <v>21.6148974043115</v>
      </c>
      <c r="M268" s="65">
        <f t="shared" ref="M268:M276" si="51">(J267+J268+J269)/3</f>
        <v>51.78666667</v>
      </c>
      <c r="N268" s="20">
        <f t="shared" ref="N268:N276" si="52">sqrt((((J267-M268)^2)+((J268-M268)^2)+((J269-M268)^2))/2)</f>
        <v>3.003470215</v>
      </c>
      <c r="O268" s="65">
        <v>18.1756591237636</v>
      </c>
      <c r="P268" s="59" t="s">
        <v>1342</v>
      </c>
      <c r="Q268" s="59" t="s">
        <v>1343</v>
      </c>
      <c r="R268" s="66"/>
      <c r="S268" s="66"/>
      <c r="T268" s="66"/>
      <c r="U268" s="66"/>
      <c r="V268" s="66"/>
    </row>
    <row r="269">
      <c r="A269" s="59" t="s">
        <v>1344</v>
      </c>
      <c r="B269" s="59" t="s">
        <v>1345</v>
      </c>
      <c r="C269" s="59" t="s">
        <v>1346</v>
      </c>
      <c r="D269" s="14">
        <f t="shared" si="1"/>
        <v>0.05017486392</v>
      </c>
      <c r="E269" s="60" t="s">
        <v>1344</v>
      </c>
      <c r="F269" s="61">
        <f t="shared" si="46"/>
        <v>259.2023974</v>
      </c>
      <c r="G269" s="62">
        <v>4.15E11</v>
      </c>
      <c r="H269" s="63">
        <v>2022.0</v>
      </c>
      <c r="I269" s="62" t="s">
        <v>1336</v>
      </c>
      <c r="J269" s="64">
        <v>48.87</v>
      </c>
      <c r="K269" s="64">
        <v>47.12</v>
      </c>
      <c r="L269" s="65">
        <v>18.1756591237636</v>
      </c>
      <c r="M269" s="65">
        <f t="shared" si="51"/>
        <v>49.20333333</v>
      </c>
      <c r="N269" s="20">
        <f t="shared" si="52"/>
        <v>2.268442931</v>
      </c>
      <c r="O269" s="65">
        <v>12.1839371970674</v>
      </c>
      <c r="P269" s="59" t="s">
        <v>1347</v>
      </c>
      <c r="Q269" s="59" t="s">
        <v>1348</v>
      </c>
      <c r="R269" s="66"/>
      <c r="S269" s="66"/>
      <c r="T269" s="66"/>
      <c r="U269" s="66"/>
      <c r="V269" s="66"/>
    </row>
    <row r="270">
      <c r="A270" s="59" t="s">
        <v>1349</v>
      </c>
      <c r="B270" s="59" t="s">
        <v>1350</v>
      </c>
      <c r="C270" s="59" t="s">
        <v>1351</v>
      </c>
      <c r="D270" s="14">
        <f t="shared" si="1"/>
        <v>-0.6324106452</v>
      </c>
      <c r="E270" s="60" t="s">
        <v>1349</v>
      </c>
      <c r="F270" s="61">
        <f t="shared" si="46"/>
        <v>834.5205679</v>
      </c>
      <c r="G270" s="62">
        <v>1.55E12</v>
      </c>
      <c r="H270" s="63">
        <v>2021.0</v>
      </c>
      <c r="I270" s="62" t="s">
        <v>1336</v>
      </c>
      <c r="J270" s="64">
        <v>47.12</v>
      </c>
      <c r="K270" s="64">
        <v>45.62</v>
      </c>
      <c r="L270" s="65">
        <v>12.1839371970674</v>
      </c>
      <c r="M270" s="65">
        <f t="shared" si="51"/>
        <v>47.20333333</v>
      </c>
      <c r="N270" s="20">
        <f t="shared" si="52"/>
        <v>1.626601775</v>
      </c>
      <c r="O270" s="65">
        <v>12.2738906719289</v>
      </c>
      <c r="P270" s="59" t="s">
        <v>1352</v>
      </c>
      <c r="Q270" s="59" t="s">
        <v>1353</v>
      </c>
      <c r="R270" s="66"/>
      <c r="S270" s="66"/>
      <c r="T270" s="66"/>
      <c r="U270" s="66"/>
      <c r="V270" s="66"/>
    </row>
    <row r="271">
      <c r="A271" s="59" t="s">
        <v>1354</v>
      </c>
      <c r="B271" s="59" t="s">
        <v>1355</v>
      </c>
      <c r="C271" s="59" t="s">
        <v>1356</v>
      </c>
      <c r="D271" s="14">
        <f t="shared" si="1"/>
        <v>-0.1108989123</v>
      </c>
      <c r="E271" s="60" t="s">
        <v>1354</v>
      </c>
      <c r="F271" s="61">
        <f t="shared" si="46"/>
        <v>283.9906869</v>
      </c>
      <c r="G271" s="62">
        <v>4.78E11</v>
      </c>
      <c r="H271" s="63">
        <v>2020.0</v>
      </c>
      <c r="I271" s="62" t="s">
        <v>1336</v>
      </c>
      <c r="J271" s="64">
        <v>45.62</v>
      </c>
      <c r="K271" s="64">
        <v>43.12</v>
      </c>
      <c r="L271" s="65">
        <v>12.2738906719289</v>
      </c>
      <c r="M271" s="65">
        <f t="shared" si="51"/>
        <v>45.28666667</v>
      </c>
      <c r="N271" s="20">
        <f t="shared" si="52"/>
        <v>2.020725942</v>
      </c>
      <c r="O271" s="65">
        <v>11.3076296512967</v>
      </c>
      <c r="P271" s="59" t="s">
        <v>1357</v>
      </c>
      <c r="Q271" s="59" t="s">
        <v>1358</v>
      </c>
      <c r="R271" s="66"/>
      <c r="S271" s="66"/>
      <c r="T271" s="66"/>
      <c r="U271" s="66"/>
      <c r="V271" s="66"/>
    </row>
    <row r="272">
      <c r="A272" s="59" t="s">
        <v>1359</v>
      </c>
      <c r="B272" s="59" t="s">
        <v>1360</v>
      </c>
      <c r="C272" s="59" t="s">
        <v>1361</v>
      </c>
      <c r="D272" s="14">
        <f t="shared" si="1"/>
        <v>-0.7124249191</v>
      </c>
      <c r="E272" s="60" t="s">
        <v>1359</v>
      </c>
      <c r="F272" s="61">
        <f t="shared" si="46"/>
        <v>500.205302</v>
      </c>
      <c r="G272" s="62">
        <v>8.375E11</v>
      </c>
      <c r="H272" s="63">
        <v>2019.0</v>
      </c>
      <c r="I272" s="62" t="s">
        <v>1336</v>
      </c>
      <c r="J272" s="64">
        <v>43.12</v>
      </c>
      <c r="K272" s="64">
        <v>41.0</v>
      </c>
      <c r="L272" s="65">
        <v>11.3076296512967</v>
      </c>
      <c r="M272" s="65">
        <f t="shared" si="51"/>
        <v>43.24666667</v>
      </c>
      <c r="N272" s="20">
        <f t="shared" si="52"/>
        <v>2.312603151</v>
      </c>
      <c r="O272" s="65">
        <v>11.3396223992414</v>
      </c>
      <c r="P272" s="59" t="s">
        <v>1362</v>
      </c>
      <c r="Q272" s="59" t="s">
        <v>1363</v>
      </c>
      <c r="R272" s="66"/>
      <c r="S272" s="66"/>
      <c r="T272" s="66"/>
      <c r="U272" s="66"/>
      <c r="V272" s="66"/>
    </row>
    <row r="273">
      <c r="A273" s="59" t="s">
        <v>1364</v>
      </c>
      <c r="B273" s="59" t="s">
        <v>1365</v>
      </c>
      <c r="C273" s="59" t="s">
        <v>1366</v>
      </c>
      <c r="D273" s="14">
        <f t="shared" si="1"/>
        <v>-0.5436921827</v>
      </c>
      <c r="E273" s="60" t="s">
        <v>1364</v>
      </c>
      <c r="F273" s="61">
        <f t="shared" si="46"/>
        <v>641.543974</v>
      </c>
      <c r="G273" s="62">
        <v>9.1E11</v>
      </c>
      <c r="H273" s="63">
        <v>2018.0</v>
      </c>
      <c r="I273" s="62" t="s">
        <v>1336</v>
      </c>
      <c r="J273" s="64">
        <v>41.0</v>
      </c>
      <c r="K273" s="64">
        <v>37.87</v>
      </c>
      <c r="L273" s="65">
        <v>11.3396223992414</v>
      </c>
      <c r="M273" s="65">
        <f t="shared" si="51"/>
        <v>40.66333333</v>
      </c>
      <c r="N273" s="20">
        <f t="shared" si="52"/>
        <v>2.64114243</v>
      </c>
      <c r="O273" s="65">
        <v>12.4741307475021</v>
      </c>
      <c r="P273" s="59" t="s">
        <v>1367</v>
      </c>
      <c r="Q273" s="59" t="s">
        <v>1368</v>
      </c>
      <c r="R273" s="66"/>
      <c r="S273" s="66"/>
      <c r="T273" s="66"/>
      <c r="U273" s="66"/>
      <c r="V273" s="66"/>
    </row>
    <row r="274">
      <c r="A274" s="59" t="s">
        <v>1369</v>
      </c>
      <c r="B274" s="59" t="s">
        <v>1370</v>
      </c>
      <c r="C274" s="59" t="s">
        <v>1371</v>
      </c>
      <c r="D274" s="14">
        <f t="shared" si="1"/>
        <v>0.7008994812</v>
      </c>
      <c r="E274" s="60" t="s">
        <v>1369</v>
      </c>
      <c r="F274" s="61">
        <f t="shared" si="46"/>
        <v>241.2015645</v>
      </c>
      <c r="G274" s="62">
        <v>2.451304778E11</v>
      </c>
      <c r="H274" s="63">
        <v>2017.0</v>
      </c>
      <c r="I274" s="62" t="s">
        <v>1336</v>
      </c>
      <c r="J274" s="64">
        <v>37.87</v>
      </c>
      <c r="K274" s="64">
        <v>34.37</v>
      </c>
      <c r="L274" s="65">
        <v>12.4741307475021</v>
      </c>
      <c r="M274" s="65">
        <f t="shared" si="51"/>
        <v>37.74666667</v>
      </c>
      <c r="N274" s="20">
        <f t="shared" si="52"/>
        <v>3.316720268</v>
      </c>
      <c r="O274" s="65">
        <v>14.0523361024415</v>
      </c>
      <c r="P274" s="59" t="s">
        <v>1372</v>
      </c>
      <c r="Q274" s="59" t="s">
        <v>1373</v>
      </c>
      <c r="R274" s="66"/>
      <c r="S274" s="66"/>
      <c r="T274" s="66"/>
      <c r="U274" s="66"/>
      <c r="V274" s="66"/>
    </row>
    <row r="275">
      <c r="A275" s="59" t="s">
        <v>1374</v>
      </c>
      <c r="B275" s="59" t="s">
        <v>1375</v>
      </c>
      <c r="C275" s="59" t="s">
        <v>1376</v>
      </c>
      <c r="D275" s="14">
        <f t="shared" si="1"/>
        <v>-0.6426448749</v>
      </c>
      <c r="E275" s="60" t="s">
        <v>1374</v>
      </c>
      <c r="F275" s="61">
        <f t="shared" si="46"/>
        <v>773.4911387</v>
      </c>
      <c r="G275" s="62">
        <v>1.97705330841E11</v>
      </c>
      <c r="H275" s="63">
        <v>2016.0</v>
      </c>
      <c r="I275" s="62" t="s">
        <v>1336</v>
      </c>
      <c r="J275" s="64">
        <v>34.37</v>
      </c>
      <c r="K275" s="64">
        <v>32.0</v>
      </c>
      <c r="L275" s="65">
        <v>14.0523361024415</v>
      </c>
      <c r="M275" s="65">
        <f t="shared" si="51"/>
        <v>34.74666667</v>
      </c>
      <c r="N275" s="20">
        <f t="shared" si="52"/>
        <v>2.953071847</v>
      </c>
      <c r="O275" s="65">
        <v>19.6496007142997</v>
      </c>
      <c r="P275" s="59" t="s">
        <v>1377</v>
      </c>
      <c r="Q275" s="59" t="s">
        <v>1378</v>
      </c>
      <c r="R275" s="66"/>
      <c r="S275" s="66"/>
      <c r="T275" s="66"/>
      <c r="U275" s="66"/>
      <c r="V275" s="66"/>
    </row>
    <row r="276">
      <c r="A276" s="59" t="s">
        <v>1379</v>
      </c>
      <c r="B276" s="59" t="s">
        <v>1380</v>
      </c>
      <c r="C276" s="59" t="s">
        <v>1381</v>
      </c>
      <c r="D276" s="14">
        <f t="shared" si="1"/>
        <v>1.995806165</v>
      </c>
      <c r="E276" s="60" t="s">
        <v>1379</v>
      </c>
      <c r="F276" s="61">
        <f t="shared" si="46"/>
        <v>315.3860176</v>
      </c>
      <c r="G276" s="62">
        <v>7.2491954642E10</v>
      </c>
      <c r="H276" s="63">
        <v>2015.0</v>
      </c>
      <c r="I276" s="62" t="s">
        <v>1336</v>
      </c>
      <c r="J276" s="64">
        <v>32.0</v>
      </c>
      <c r="K276" s="64">
        <v>27.25</v>
      </c>
      <c r="L276" s="65">
        <v>19.6496007142997</v>
      </c>
      <c r="M276" s="65">
        <f t="shared" si="51"/>
        <v>31.20666667</v>
      </c>
      <c r="N276" s="20">
        <f t="shared" si="52"/>
        <v>3.625690739</v>
      </c>
      <c r="O276" s="65">
        <v>28.846600976154</v>
      </c>
      <c r="P276" s="59" t="s">
        <v>1382</v>
      </c>
      <c r="Q276" s="59" t="s">
        <v>1383</v>
      </c>
      <c r="R276" s="66"/>
      <c r="S276" s="66"/>
      <c r="T276" s="66"/>
      <c r="U276" s="66"/>
      <c r="V276" s="66"/>
    </row>
    <row r="277">
      <c r="A277" s="59" t="s">
        <v>1384</v>
      </c>
      <c r="B277" s="59" t="s">
        <v>1385</v>
      </c>
      <c r="C277" s="59" t="s">
        <v>1386</v>
      </c>
      <c r="D277" s="14">
        <f t="shared" si="1"/>
        <v>-0.9877616558</v>
      </c>
      <c r="E277" s="60" t="s">
        <v>1384</v>
      </c>
      <c r="F277" s="61">
        <f t="shared" si="46"/>
        <v>215.0248391</v>
      </c>
      <c r="G277" s="62">
        <v>7.3590317591E10</v>
      </c>
      <c r="H277" s="63">
        <v>2014.0</v>
      </c>
      <c r="I277" s="62" t="s">
        <v>1336</v>
      </c>
      <c r="J277" s="64">
        <v>27.25</v>
      </c>
      <c r="K277" s="65"/>
      <c r="L277" s="65">
        <v>28.846600976154</v>
      </c>
      <c r="M277" s="65"/>
      <c r="N277" s="20"/>
      <c r="O277" s="67"/>
      <c r="P277" s="59" t="s">
        <v>1387</v>
      </c>
      <c r="Q277" s="59" t="s">
        <v>1388</v>
      </c>
      <c r="R277" s="66"/>
      <c r="S277" s="66"/>
      <c r="T277" s="66"/>
      <c r="U277" s="66"/>
      <c r="V277" s="66"/>
    </row>
    <row r="278">
      <c r="A278" s="52" t="s">
        <v>1389</v>
      </c>
      <c r="B278" s="52" t="s">
        <v>1390</v>
      </c>
      <c r="C278" s="52" t="s">
        <v>1391</v>
      </c>
      <c r="D278" s="14">
        <f t="shared" si="1"/>
        <v>-0.1283212909</v>
      </c>
      <c r="E278" s="53" t="s">
        <v>1389</v>
      </c>
      <c r="F278" s="54">
        <f t="shared" si="46"/>
        <v>336.3862504</v>
      </c>
      <c r="G278" s="23">
        <v>1.4875574129146E13</v>
      </c>
      <c r="H278" s="57">
        <v>2024.0</v>
      </c>
      <c r="I278" s="23" t="s">
        <v>1392</v>
      </c>
      <c r="J278" s="55">
        <v>82.3</v>
      </c>
      <c r="K278" s="55">
        <v>79.0</v>
      </c>
      <c r="L278" s="56">
        <v>23.6602096848236</v>
      </c>
      <c r="M278" s="56"/>
      <c r="N278" s="20"/>
      <c r="O278" s="56">
        <v>21.6148974043115</v>
      </c>
      <c r="P278" s="52" t="s">
        <v>1393</v>
      </c>
      <c r="Q278" s="52" t="s">
        <v>1394</v>
      </c>
      <c r="R278" s="6"/>
      <c r="S278" s="6"/>
      <c r="T278" s="6"/>
      <c r="U278" s="6"/>
      <c r="V278" s="6"/>
    </row>
    <row r="279">
      <c r="A279" s="52" t="s">
        <v>1395</v>
      </c>
      <c r="B279" s="52" t="s">
        <v>1396</v>
      </c>
      <c r="C279" s="52" t="s">
        <v>1397</v>
      </c>
      <c r="D279" s="14">
        <f t="shared" si="1"/>
        <v>0.02416967613</v>
      </c>
      <c r="E279" s="53" t="s">
        <v>1395</v>
      </c>
      <c r="F279" s="54">
        <f t="shared" si="46"/>
        <v>509.7607086</v>
      </c>
      <c r="G279" s="23">
        <v>2.1253243191521E13</v>
      </c>
      <c r="H279" s="57">
        <v>2023.0</v>
      </c>
      <c r="I279" s="23" t="s">
        <v>1392</v>
      </c>
      <c r="J279" s="55">
        <v>79.0</v>
      </c>
      <c r="K279" s="55">
        <v>77.3</v>
      </c>
      <c r="L279" s="56">
        <v>21.6148974043115</v>
      </c>
      <c r="M279" s="56">
        <f t="shared" ref="M279:M287" si="53">(J278+J279+J280)/3</f>
        <v>79.53333333</v>
      </c>
      <c r="N279" s="20">
        <f t="shared" ref="N279:N287" si="54">sqrt((((J278-M279)^2)+((J279-M279)^2)+((J280-M279)^2))/2)</f>
        <v>2.542308662</v>
      </c>
      <c r="O279" s="56">
        <v>18.1756591237636</v>
      </c>
      <c r="P279" s="52" t="s">
        <v>1398</v>
      </c>
      <c r="Q279" s="52" t="s">
        <v>1399</v>
      </c>
      <c r="R279" s="6"/>
      <c r="S279" s="6"/>
      <c r="T279" s="6"/>
      <c r="U279" s="6"/>
      <c r="V279" s="6"/>
    </row>
    <row r="280">
      <c r="A280" s="52" t="s">
        <v>1400</v>
      </c>
      <c r="B280" s="52" t="s">
        <v>1401</v>
      </c>
      <c r="C280" s="52" t="s">
        <v>1402</v>
      </c>
      <c r="D280" s="14">
        <f t="shared" si="1"/>
        <v>0.254716472</v>
      </c>
      <c r="E280" s="53" t="s">
        <v>1400</v>
      </c>
      <c r="F280" s="54">
        <f t="shared" si="46"/>
        <v>119.1079516</v>
      </c>
      <c r="G280" s="23">
        <v>4.605442145754E12</v>
      </c>
      <c r="H280" s="57">
        <v>2022.0</v>
      </c>
      <c r="I280" s="23" t="s">
        <v>1392</v>
      </c>
      <c r="J280" s="55">
        <v>77.3</v>
      </c>
      <c r="K280" s="55">
        <v>73.5</v>
      </c>
      <c r="L280" s="56">
        <v>18.1756591237636</v>
      </c>
      <c r="M280" s="56">
        <f t="shared" si="53"/>
        <v>76.6</v>
      </c>
      <c r="N280" s="20">
        <f t="shared" si="54"/>
        <v>2.816025568</v>
      </c>
      <c r="O280" s="56">
        <v>12.1839371970674</v>
      </c>
      <c r="P280" s="52" t="s">
        <v>1403</v>
      </c>
      <c r="Q280" s="52" t="s">
        <v>1404</v>
      </c>
      <c r="R280" s="6"/>
      <c r="S280" s="6"/>
      <c r="T280" s="6"/>
      <c r="U280" s="6"/>
      <c r="V280" s="6"/>
    </row>
    <row r="281">
      <c r="A281" s="52" t="s">
        <v>1405</v>
      </c>
      <c r="B281" s="52" t="s">
        <v>1406</v>
      </c>
      <c r="C281" s="52" t="s">
        <v>1407</v>
      </c>
      <c r="D281" s="14">
        <f t="shared" si="1"/>
        <v>1.25470589</v>
      </c>
      <c r="E281" s="53" t="s">
        <v>1405</v>
      </c>
      <c r="F281" s="54">
        <f t="shared" si="46"/>
        <v>152.6751756</v>
      </c>
      <c r="G281" s="23">
        <v>5.63617891448E12</v>
      </c>
      <c r="H281" s="57">
        <v>2021.0</v>
      </c>
      <c r="I281" s="23" t="s">
        <v>1392</v>
      </c>
      <c r="J281" s="55">
        <v>73.5</v>
      </c>
      <c r="K281" s="55">
        <v>69.8</v>
      </c>
      <c r="L281" s="56">
        <v>12.1839371970674</v>
      </c>
      <c r="M281" s="56">
        <f t="shared" si="53"/>
        <v>73.53333333</v>
      </c>
      <c r="N281" s="20">
        <f t="shared" si="54"/>
        <v>3.750111109</v>
      </c>
      <c r="O281" s="56">
        <v>12.2738906719289</v>
      </c>
      <c r="P281" s="52" t="s">
        <v>1408</v>
      </c>
      <c r="Q281" s="52" t="s">
        <v>1409</v>
      </c>
      <c r="R281" s="6"/>
      <c r="S281" s="6"/>
      <c r="T281" s="6"/>
      <c r="U281" s="6"/>
      <c r="V281" s="6"/>
    </row>
    <row r="282">
      <c r="A282" s="52" t="s">
        <v>1410</v>
      </c>
      <c r="B282" s="52" t="s">
        <v>1411</v>
      </c>
      <c r="C282" s="52" t="s">
        <v>1412</v>
      </c>
      <c r="D282" s="14">
        <f t="shared" si="1"/>
        <v>0.152608308</v>
      </c>
      <c r="E282" s="53" t="s">
        <v>1410</v>
      </c>
      <c r="F282" s="54">
        <f t="shared" si="46"/>
        <v>85.71210065</v>
      </c>
      <c r="G282" s="23">
        <v>1.27247480615E12</v>
      </c>
      <c r="H282" s="57">
        <v>2020.0</v>
      </c>
      <c r="I282" s="23" t="s">
        <v>1392</v>
      </c>
      <c r="J282" s="55">
        <v>69.8</v>
      </c>
      <c r="K282" s="55">
        <v>66.2</v>
      </c>
      <c r="L282" s="56">
        <v>12.2738906719289</v>
      </c>
      <c r="M282" s="56">
        <f t="shared" si="53"/>
        <v>69.83333333</v>
      </c>
      <c r="N282" s="20">
        <f t="shared" si="54"/>
        <v>3.650114153</v>
      </c>
      <c r="O282" s="56">
        <v>11.3076296512967</v>
      </c>
      <c r="P282" s="52" t="s">
        <v>1413</v>
      </c>
      <c r="Q282" s="52" t="s">
        <v>1414</v>
      </c>
      <c r="R282" s="6"/>
      <c r="S282" s="6"/>
      <c r="T282" s="6"/>
      <c r="U282" s="6"/>
      <c r="V282" s="6"/>
    </row>
    <row r="283">
      <c r="A283" s="52" t="s">
        <v>1415</v>
      </c>
      <c r="B283" s="52" t="s">
        <v>1416</v>
      </c>
      <c r="C283" s="52" t="s">
        <v>1417</v>
      </c>
      <c r="D283" s="14">
        <f t="shared" si="1"/>
        <v>0.02948915306</v>
      </c>
      <c r="E283" s="53" t="s">
        <v>1415</v>
      </c>
      <c r="F283" s="54">
        <f t="shared" si="46"/>
        <v>51.03463703</v>
      </c>
      <c r="G283" s="23">
        <v>5.87739214495E11</v>
      </c>
      <c r="H283" s="57">
        <v>2019.0</v>
      </c>
      <c r="I283" s="23" t="s">
        <v>1392</v>
      </c>
      <c r="J283" s="55">
        <v>66.2</v>
      </c>
      <c r="K283" s="55">
        <v>61.1</v>
      </c>
      <c r="L283" s="56">
        <v>11.3076296512967</v>
      </c>
      <c r="M283" s="56">
        <f t="shared" si="53"/>
        <v>65.7</v>
      </c>
      <c r="N283" s="20">
        <f t="shared" si="54"/>
        <v>4.371498599</v>
      </c>
      <c r="O283" s="56">
        <v>11.3396223992414</v>
      </c>
      <c r="P283" s="52" t="s">
        <v>1418</v>
      </c>
      <c r="Q283" s="52" t="s">
        <v>1419</v>
      </c>
      <c r="R283" s="6"/>
      <c r="S283" s="6"/>
      <c r="T283" s="6"/>
      <c r="U283" s="6"/>
      <c r="V283" s="6"/>
    </row>
    <row r="284">
      <c r="A284" s="52" t="s">
        <v>1420</v>
      </c>
      <c r="B284" s="52" t="s">
        <v>1421</v>
      </c>
      <c r="C284" s="52" t="s">
        <v>1422</v>
      </c>
      <c r="D284" s="14">
        <f t="shared" si="1"/>
        <v>0.2949768036</v>
      </c>
      <c r="E284" s="53" t="s">
        <v>1420</v>
      </c>
      <c r="F284" s="54">
        <f t="shared" si="46"/>
        <v>43.99946237</v>
      </c>
      <c r="G284" s="23">
        <v>4.5596684292E11</v>
      </c>
      <c r="H284" s="57">
        <v>2018.0</v>
      </c>
      <c r="I284" s="23" t="s">
        <v>1392</v>
      </c>
      <c r="J284" s="55">
        <v>61.1</v>
      </c>
      <c r="K284" s="55">
        <v>56.8</v>
      </c>
      <c r="L284" s="56">
        <v>11.3396223992414</v>
      </c>
      <c r="M284" s="56">
        <f t="shared" si="53"/>
        <v>61.36666667</v>
      </c>
      <c r="N284" s="20">
        <f t="shared" si="54"/>
        <v>4.705670338</v>
      </c>
      <c r="O284" s="56">
        <v>12.4741307475021</v>
      </c>
      <c r="P284" s="52" t="s">
        <v>1423</v>
      </c>
      <c r="Q284" s="52" t="s">
        <v>1424</v>
      </c>
      <c r="R284" s="6"/>
      <c r="S284" s="6"/>
      <c r="T284" s="6"/>
      <c r="U284" s="6"/>
      <c r="V284" s="6"/>
    </row>
    <row r="285">
      <c r="A285" s="52" t="s">
        <v>1425</v>
      </c>
      <c r="B285" s="52" t="s">
        <v>1426</v>
      </c>
      <c r="C285" s="52" t="s">
        <v>1427</v>
      </c>
      <c r="D285" s="14">
        <f t="shared" si="1"/>
        <v>0.9223353398</v>
      </c>
      <c r="E285" s="53" t="s">
        <v>1425</v>
      </c>
      <c r="F285" s="54">
        <f t="shared" si="46"/>
        <v>68.39055508</v>
      </c>
      <c r="G285" s="23">
        <v>5.46269461009E11</v>
      </c>
      <c r="H285" s="57">
        <v>2017.0</v>
      </c>
      <c r="I285" s="23" t="s">
        <v>1392</v>
      </c>
      <c r="J285" s="55">
        <v>56.8</v>
      </c>
      <c r="K285" s="55">
        <v>54.2</v>
      </c>
      <c r="L285" s="56">
        <v>12.4741307475021</v>
      </c>
      <c r="M285" s="56">
        <f t="shared" si="53"/>
        <v>57.36666667</v>
      </c>
      <c r="N285" s="20">
        <f t="shared" si="54"/>
        <v>3.484728588</v>
      </c>
      <c r="O285" s="56">
        <v>14.0523361024415</v>
      </c>
      <c r="P285" s="52" t="s">
        <v>1428</v>
      </c>
      <c r="Q285" s="52" t="s">
        <v>1429</v>
      </c>
      <c r="R285" s="6"/>
      <c r="S285" s="6"/>
      <c r="T285" s="6"/>
      <c r="U285" s="6"/>
      <c r="V285" s="6"/>
    </row>
    <row r="286">
      <c r="A286" s="52" t="s">
        <v>1430</v>
      </c>
      <c r="B286" s="52" t="s">
        <v>1431</v>
      </c>
      <c r="C286" s="52" t="s">
        <v>1432</v>
      </c>
      <c r="D286" s="14">
        <f t="shared" si="1"/>
        <v>-0.001993325493</v>
      </c>
      <c r="E286" s="53" t="s">
        <v>1430</v>
      </c>
      <c r="F286" s="54">
        <f t="shared" si="46"/>
        <v>53.01245371</v>
      </c>
      <c r="G286" s="23">
        <v>2.71065528001E11</v>
      </c>
      <c r="H286" s="57">
        <v>2016.0</v>
      </c>
      <c r="I286" s="23" t="s">
        <v>1392</v>
      </c>
      <c r="J286" s="55">
        <v>54.2</v>
      </c>
      <c r="K286" s="55">
        <v>51.0</v>
      </c>
      <c r="L286" s="56">
        <v>14.0523361024415</v>
      </c>
      <c r="M286" s="56">
        <f t="shared" si="53"/>
        <v>54</v>
      </c>
      <c r="N286" s="20">
        <f t="shared" si="54"/>
        <v>2.905167809</v>
      </c>
      <c r="O286" s="56">
        <v>19.6496007142997</v>
      </c>
      <c r="P286" s="52" t="s">
        <v>1433</v>
      </c>
      <c r="Q286" s="52" t="s">
        <v>1434</v>
      </c>
      <c r="R286" s="6"/>
      <c r="S286" s="6"/>
      <c r="T286" s="6"/>
      <c r="U286" s="6"/>
      <c r="V286" s="6"/>
    </row>
    <row r="287">
      <c r="A287" s="52" t="s">
        <v>1435</v>
      </c>
      <c r="B287" s="52" t="s">
        <v>1436</v>
      </c>
      <c r="C287" s="52" t="s">
        <v>1437</v>
      </c>
      <c r="D287" s="14">
        <f t="shared" si="1"/>
        <v>0.2525036942</v>
      </c>
      <c r="E287" s="53" t="s">
        <v>1435</v>
      </c>
      <c r="F287" s="54">
        <f t="shared" si="46"/>
        <v>52.18874592</v>
      </c>
      <c r="G287" s="23">
        <v>2.40669025988E11</v>
      </c>
      <c r="H287" s="57">
        <v>2015.0</v>
      </c>
      <c r="I287" s="23" t="s">
        <v>1392</v>
      </c>
      <c r="J287" s="55">
        <v>51.0</v>
      </c>
      <c r="K287" s="55">
        <v>46.0</v>
      </c>
      <c r="L287" s="56">
        <v>19.6496007142997</v>
      </c>
      <c r="M287" s="56">
        <f t="shared" si="53"/>
        <v>50.4</v>
      </c>
      <c r="N287" s="20">
        <f t="shared" si="54"/>
        <v>4.132795664</v>
      </c>
      <c r="O287" s="56">
        <v>28.846600976154</v>
      </c>
      <c r="P287" s="52" t="s">
        <v>1438</v>
      </c>
      <c r="Q287" s="52" t="s">
        <v>1439</v>
      </c>
      <c r="R287" s="6"/>
      <c r="S287" s="6"/>
      <c r="T287" s="6"/>
      <c r="U287" s="6"/>
      <c r="V287" s="6"/>
    </row>
    <row r="288">
      <c r="A288" s="52" t="s">
        <v>1440</v>
      </c>
      <c r="B288" s="52" t="s">
        <v>1441</v>
      </c>
      <c r="C288" s="52" t="s">
        <v>1442</v>
      </c>
      <c r="D288" s="68">
        <v>0.0</v>
      </c>
      <c r="E288" s="53" t="s">
        <v>1440</v>
      </c>
      <c r="F288" s="54">
        <f t="shared" si="46"/>
        <v>53.0684627</v>
      </c>
      <c r="G288" s="23">
        <v>1.5500554581E11</v>
      </c>
      <c r="H288" s="57">
        <v>2014.0</v>
      </c>
      <c r="I288" s="23" t="s">
        <v>1392</v>
      </c>
      <c r="J288" s="55">
        <v>46.0</v>
      </c>
      <c r="K288" s="56"/>
      <c r="L288" s="56">
        <v>28.846600976154</v>
      </c>
      <c r="M288" s="56"/>
      <c r="N288" s="20"/>
      <c r="O288" s="58"/>
      <c r="P288" s="52" t="s">
        <v>1443</v>
      </c>
      <c r="Q288" s="52" t="s">
        <v>1444</v>
      </c>
      <c r="R288" s="6"/>
      <c r="S288" s="6"/>
      <c r="T288" s="6"/>
      <c r="U288" s="6"/>
      <c r="V288" s="6"/>
    </row>
    <row r="289">
      <c r="A289" s="69"/>
      <c r="B289" s="70"/>
      <c r="C289" s="69"/>
      <c r="D289" s="71"/>
      <c r="E289" s="70"/>
      <c r="F289" s="6"/>
      <c r="G289" s="6"/>
      <c r="H289" s="6"/>
      <c r="I289" s="23"/>
      <c r="J289" s="6"/>
      <c r="K289" s="6"/>
      <c r="L289" s="6"/>
      <c r="M289" s="6"/>
      <c r="N289" s="6">
        <f>count(N3:N288)</f>
        <v>236</v>
      </c>
      <c r="O289" s="6"/>
      <c r="P289" s="69"/>
      <c r="Q289" s="72"/>
      <c r="R289" s="6"/>
      <c r="S289" s="6"/>
      <c r="T289" s="6"/>
      <c r="U289" s="6"/>
      <c r="V289" s="6"/>
    </row>
    <row r="290">
      <c r="A290" s="69"/>
      <c r="B290" s="70"/>
      <c r="C290" s="69"/>
      <c r="D290" s="71"/>
      <c r="E290" s="70"/>
      <c r="F290" s="6"/>
      <c r="G290" s="6"/>
      <c r="H290" s="6"/>
      <c r="I290" s="23"/>
      <c r="J290" s="6"/>
      <c r="K290" s="6"/>
      <c r="L290" s="6"/>
      <c r="M290" s="6"/>
      <c r="N290" s="6"/>
      <c r="O290" s="6"/>
      <c r="P290" s="69"/>
      <c r="Q290" s="72"/>
      <c r="R290" s="6"/>
      <c r="S290" s="6"/>
      <c r="T290" s="6"/>
      <c r="U290" s="6"/>
      <c r="V290" s="6"/>
    </row>
    <row r="291">
      <c r="A291" s="69"/>
      <c r="B291" s="70"/>
      <c r="C291" s="69"/>
      <c r="D291" s="71"/>
      <c r="E291" s="70"/>
      <c r="F291" s="6"/>
      <c r="G291" s="6"/>
      <c r="H291" s="6"/>
      <c r="I291" s="23"/>
      <c r="J291" s="6"/>
      <c r="K291" s="6"/>
      <c r="L291" s="6"/>
      <c r="M291" s="6"/>
      <c r="N291" s="6"/>
      <c r="O291" s="6"/>
      <c r="P291" s="69"/>
      <c r="Q291" s="72"/>
      <c r="R291" s="6"/>
      <c r="S291" s="6"/>
      <c r="T291" s="6"/>
      <c r="U291" s="6"/>
      <c r="V291" s="6"/>
    </row>
    <row r="292">
      <c r="A292" s="69"/>
      <c r="B292" s="70"/>
      <c r="C292" s="69"/>
      <c r="D292" s="71"/>
      <c r="E292" s="70"/>
      <c r="F292" s="6"/>
      <c r="G292" s="6"/>
      <c r="H292" s="6"/>
      <c r="I292" s="23"/>
      <c r="J292" s="6"/>
      <c r="K292" s="6"/>
      <c r="L292" s="6"/>
      <c r="M292" s="6"/>
      <c r="N292" s="6"/>
      <c r="O292" s="6"/>
      <c r="P292" s="69"/>
      <c r="Q292" s="72"/>
      <c r="R292" s="6"/>
      <c r="S292" s="6"/>
      <c r="T292" s="6"/>
      <c r="U292" s="6"/>
      <c r="V292" s="6"/>
    </row>
    <row r="293">
      <c r="A293" s="69"/>
      <c r="B293" s="70"/>
      <c r="C293" s="69"/>
      <c r="D293" s="71"/>
      <c r="E293" s="70"/>
      <c r="F293" s="6"/>
      <c r="G293" s="6"/>
      <c r="H293" s="6"/>
      <c r="I293" s="23"/>
      <c r="J293" s="6"/>
      <c r="K293" s="6"/>
      <c r="L293" s="6"/>
      <c r="M293" s="6"/>
      <c r="N293" s="6"/>
      <c r="O293" s="6"/>
      <c r="P293" s="69"/>
      <c r="Q293" s="72"/>
      <c r="R293" s="6"/>
      <c r="S293" s="6"/>
      <c r="T293" s="6"/>
      <c r="U293" s="6"/>
      <c r="V293" s="6"/>
    </row>
    <row r="294">
      <c r="A294" s="69"/>
      <c r="B294" s="70"/>
      <c r="C294" s="69"/>
      <c r="D294" s="71"/>
      <c r="E294" s="70"/>
      <c r="F294" s="6"/>
      <c r="G294" s="6"/>
      <c r="H294" s="6"/>
      <c r="I294" s="23"/>
      <c r="J294" s="6"/>
      <c r="K294" s="6"/>
      <c r="L294" s="6"/>
      <c r="M294" s="6"/>
      <c r="N294" s="6"/>
      <c r="O294" s="6"/>
      <c r="P294" s="69"/>
      <c r="Q294" s="72"/>
      <c r="R294" s="6"/>
      <c r="S294" s="6"/>
      <c r="T294" s="6"/>
      <c r="U294" s="6"/>
      <c r="V294" s="6"/>
    </row>
    <row r="295">
      <c r="A295" s="69"/>
      <c r="B295" s="70"/>
      <c r="C295" s="69"/>
      <c r="D295" s="71"/>
      <c r="E295" s="7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73"/>
      <c r="Q295" s="72"/>
      <c r="R295" s="6"/>
      <c r="S295" s="6"/>
      <c r="T295" s="6"/>
      <c r="U295" s="6"/>
      <c r="V295" s="6"/>
    </row>
    <row r="296">
      <c r="A296" s="69"/>
      <c r="B296" s="70"/>
      <c r="C296" s="69"/>
      <c r="D296" s="71"/>
      <c r="E296" s="7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9"/>
      <c r="Q296" s="72"/>
      <c r="R296" s="6"/>
      <c r="S296" s="6"/>
      <c r="T296" s="6"/>
      <c r="U296" s="6"/>
      <c r="V296" s="6"/>
    </row>
    <row r="297">
      <c r="A297" s="69"/>
      <c r="B297" s="70"/>
      <c r="C297" s="69"/>
      <c r="D297" s="71"/>
      <c r="E297" s="7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9"/>
      <c r="Q297" s="72"/>
      <c r="R297" s="6"/>
      <c r="S297" s="6"/>
      <c r="T297" s="6"/>
      <c r="U297" s="6"/>
      <c r="V297" s="6"/>
    </row>
    <row r="298">
      <c r="A298" s="69"/>
      <c r="B298" s="70"/>
      <c r="C298" s="69"/>
      <c r="D298" s="71"/>
      <c r="E298" s="7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9"/>
      <c r="Q298" s="72"/>
      <c r="R298" s="6"/>
      <c r="S298" s="6"/>
      <c r="T298" s="6"/>
      <c r="U298" s="6"/>
      <c r="V298" s="6"/>
    </row>
    <row r="299">
      <c r="A299" s="69"/>
      <c r="B299" s="70"/>
      <c r="C299" s="69"/>
      <c r="D299" s="71"/>
      <c r="E299" s="7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9"/>
      <c r="Q299" s="72"/>
      <c r="R299" s="6"/>
      <c r="S299" s="6"/>
      <c r="T299" s="6"/>
      <c r="U299" s="6"/>
      <c r="V299" s="6"/>
    </row>
    <row r="300">
      <c r="A300" s="6"/>
      <c r="B300" s="6"/>
      <c r="C300" s="74"/>
      <c r="D300" s="71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72"/>
      <c r="R300" s="6"/>
      <c r="S300" s="6"/>
      <c r="T300" s="6"/>
      <c r="U300" s="6"/>
      <c r="V300" s="6"/>
    </row>
    <row r="301">
      <c r="A301" s="75"/>
      <c r="B301" s="76"/>
      <c r="C301" s="76"/>
      <c r="D301" s="71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75"/>
      <c r="Q301" s="72"/>
      <c r="R301" s="6"/>
      <c r="S301" s="6"/>
      <c r="T301" s="6"/>
      <c r="U301" s="6"/>
      <c r="V301" s="6"/>
    </row>
    <row r="302">
      <c r="A302" s="75"/>
      <c r="B302" s="76"/>
      <c r="C302" s="76"/>
      <c r="D302" s="71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75"/>
      <c r="Q302" s="72"/>
      <c r="R302" s="6"/>
      <c r="S302" s="6"/>
      <c r="T302" s="6"/>
      <c r="U302" s="6"/>
      <c r="V302" s="6"/>
    </row>
    <row r="303">
      <c r="A303" s="75"/>
      <c r="B303" s="76"/>
      <c r="C303" s="76"/>
      <c r="D303" s="71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75"/>
      <c r="Q303" s="72"/>
      <c r="R303" s="6"/>
      <c r="S303" s="6"/>
      <c r="T303" s="6"/>
      <c r="U303" s="6"/>
      <c r="V303" s="6"/>
    </row>
    <row r="304">
      <c r="A304" s="75"/>
      <c r="B304" s="76"/>
      <c r="C304" s="76"/>
      <c r="D304" s="71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75"/>
      <c r="Q304" s="72"/>
      <c r="R304" s="6"/>
      <c r="S304" s="6"/>
      <c r="T304" s="6"/>
      <c r="U304" s="6"/>
      <c r="V304" s="6"/>
    </row>
    <row r="305">
      <c r="A305" s="75"/>
      <c r="B305" s="76"/>
      <c r="C305" s="76"/>
      <c r="D305" s="71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75"/>
      <c r="Q305" s="72"/>
      <c r="R305" s="6"/>
      <c r="S305" s="6"/>
      <c r="T305" s="6"/>
      <c r="U305" s="6"/>
      <c r="V305" s="6"/>
    </row>
    <row r="306">
      <c r="A306" s="75"/>
      <c r="B306" s="76"/>
      <c r="C306" s="76"/>
      <c r="D306" s="7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75"/>
      <c r="Q306" s="72"/>
      <c r="R306" s="6"/>
      <c r="S306" s="6"/>
      <c r="T306" s="6"/>
      <c r="U306" s="6"/>
      <c r="V306" s="6"/>
    </row>
    <row r="307">
      <c r="A307" s="75"/>
      <c r="B307" s="76"/>
      <c r="C307" s="76"/>
      <c r="D307" s="71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75"/>
      <c r="Q307" s="72"/>
      <c r="R307" s="6"/>
      <c r="S307" s="6"/>
      <c r="T307" s="6"/>
      <c r="U307" s="6"/>
      <c r="V307" s="6"/>
    </row>
    <row r="308">
      <c r="A308" s="75"/>
      <c r="B308" s="76"/>
      <c r="C308" s="76"/>
      <c r="D308" s="7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75"/>
      <c r="Q308" s="72"/>
      <c r="R308" s="6"/>
      <c r="S308" s="6"/>
      <c r="T308" s="6"/>
      <c r="U308" s="6"/>
      <c r="V308" s="6"/>
    </row>
    <row r="309">
      <c r="A309" s="75"/>
      <c r="B309" s="76"/>
      <c r="C309" s="76"/>
      <c r="D309" s="71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75"/>
      <c r="Q309" s="72"/>
      <c r="R309" s="6"/>
      <c r="S309" s="6"/>
      <c r="T309" s="6"/>
      <c r="U309" s="6"/>
      <c r="V309" s="6"/>
    </row>
    <row r="310">
      <c r="A310" s="75"/>
      <c r="B310" s="76"/>
      <c r="C310" s="76"/>
      <c r="D310" s="71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75"/>
      <c r="Q310" s="72"/>
      <c r="R310" s="6"/>
      <c r="S310" s="6"/>
      <c r="T310" s="6"/>
      <c r="U310" s="6"/>
      <c r="V310" s="6"/>
    </row>
    <row r="311">
      <c r="A311" s="6"/>
      <c r="B311" s="6"/>
      <c r="C311" s="74"/>
      <c r="D311" s="7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72"/>
      <c r="R311" s="6"/>
      <c r="S311" s="6"/>
      <c r="T311" s="6"/>
      <c r="U311" s="6"/>
      <c r="V311" s="6"/>
    </row>
    <row r="312">
      <c r="A312" s="75"/>
      <c r="B312" s="76"/>
      <c r="C312" s="76"/>
      <c r="D312" s="7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75"/>
      <c r="Q312" s="72"/>
      <c r="R312" s="6"/>
      <c r="S312" s="6"/>
      <c r="T312" s="6"/>
      <c r="U312" s="6"/>
      <c r="V312" s="6"/>
    </row>
    <row r="313">
      <c r="A313" s="75"/>
      <c r="B313" s="76"/>
      <c r="C313" s="76"/>
      <c r="D313" s="7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75"/>
      <c r="Q313" s="72"/>
      <c r="R313" s="6"/>
      <c r="S313" s="6"/>
      <c r="T313" s="6"/>
      <c r="U313" s="6"/>
      <c r="V313" s="6"/>
    </row>
    <row r="314">
      <c r="A314" s="75"/>
      <c r="B314" s="76"/>
      <c r="C314" s="76"/>
      <c r="D314" s="71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75"/>
      <c r="Q314" s="72"/>
      <c r="R314" s="6"/>
      <c r="S314" s="6"/>
      <c r="T314" s="6"/>
      <c r="U314" s="6"/>
      <c r="V314" s="6"/>
    </row>
    <row r="315">
      <c r="A315" s="75"/>
      <c r="B315" s="76"/>
      <c r="C315" s="76"/>
      <c r="D315" s="7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75"/>
      <c r="Q315" s="72"/>
      <c r="R315" s="6"/>
      <c r="S315" s="6"/>
      <c r="T315" s="6"/>
      <c r="U315" s="6"/>
      <c r="V315" s="6"/>
    </row>
    <row r="316">
      <c r="A316" s="75"/>
      <c r="B316" s="76"/>
      <c r="C316" s="76"/>
      <c r="D316" s="7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75"/>
      <c r="Q316" s="72"/>
      <c r="R316" s="6"/>
      <c r="S316" s="6"/>
      <c r="T316" s="6"/>
      <c r="U316" s="6"/>
      <c r="V316" s="6"/>
    </row>
    <row r="317">
      <c r="A317" s="75"/>
      <c r="B317" s="76"/>
      <c r="C317" s="76"/>
      <c r="D317" s="7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75"/>
      <c r="Q317" s="72"/>
      <c r="R317" s="6"/>
      <c r="S317" s="6"/>
      <c r="T317" s="6"/>
      <c r="U317" s="6"/>
      <c r="V317" s="6"/>
    </row>
    <row r="318">
      <c r="A318" s="75"/>
      <c r="B318" s="76"/>
      <c r="C318" s="76"/>
      <c r="D318" s="7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75"/>
      <c r="Q318" s="72"/>
      <c r="R318" s="6"/>
      <c r="S318" s="6"/>
      <c r="T318" s="6"/>
      <c r="U318" s="6"/>
      <c r="V318" s="6"/>
    </row>
    <row r="319">
      <c r="A319" s="75"/>
      <c r="B319" s="76"/>
      <c r="C319" s="76"/>
      <c r="D319" s="7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75"/>
      <c r="Q319" s="72"/>
      <c r="R319" s="6"/>
      <c r="S319" s="6"/>
      <c r="T319" s="6"/>
      <c r="U319" s="6"/>
      <c r="V319" s="6"/>
    </row>
    <row r="320">
      <c r="A320" s="75"/>
      <c r="B320" s="76"/>
      <c r="C320" s="76"/>
      <c r="D320" s="7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75"/>
      <c r="Q320" s="72"/>
      <c r="R320" s="6"/>
      <c r="S320" s="6"/>
      <c r="T320" s="6"/>
      <c r="U320" s="6"/>
      <c r="V320" s="6"/>
    </row>
    <row r="321">
      <c r="A321" s="75"/>
      <c r="B321" s="76"/>
      <c r="C321" s="76"/>
      <c r="D321" s="7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75"/>
      <c r="Q321" s="72"/>
      <c r="R321" s="6"/>
      <c r="S321" s="6"/>
      <c r="T321" s="6"/>
      <c r="U321" s="6"/>
      <c r="V321" s="6"/>
    </row>
    <row r="322">
      <c r="A322" s="6"/>
      <c r="B322" s="6"/>
      <c r="C322" s="74"/>
      <c r="D322" s="7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72"/>
      <c r="R322" s="6"/>
      <c r="S322" s="6"/>
      <c r="T322" s="6"/>
      <c r="U322" s="6"/>
      <c r="V322" s="6"/>
    </row>
    <row r="323">
      <c r="A323" s="75"/>
      <c r="B323" s="76"/>
      <c r="C323" s="76"/>
      <c r="D323" s="7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75"/>
      <c r="Q323" s="72"/>
      <c r="R323" s="6"/>
      <c r="S323" s="6"/>
      <c r="T323" s="6"/>
      <c r="U323" s="6"/>
      <c r="V323" s="6"/>
    </row>
    <row r="324">
      <c r="A324" s="77"/>
      <c r="B324" s="78"/>
      <c r="C324" s="78"/>
      <c r="D324" s="7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77"/>
      <c r="Q324" s="72"/>
      <c r="R324" s="6"/>
      <c r="S324" s="6"/>
      <c r="T324" s="6"/>
      <c r="U324" s="6"/>
      <c r="V324" s="6"/>
    </row>
    <row r="325">
      <c r="A325" s="77"/>
      <c r="B325" s="78"/>
      <c r="C325" s="78"/>
      <c r="D325" s="7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77"/>
      <c r="Q325" s="72"/>
      <c r="R325" s="6"/>
      <c r="S325" s="6"/>
      <c r="T325" s="6"/>
      <c r="U325" s="6"/>
      <c r="V325" s="6"/>
    </row>
    <row r="326">
      <c r="A326" s="77"/>
      <c r="B326" s="78"/>
      <c r="C326" s="78"/>
      <c r="D326" s="71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77"/>
      <c r="Q326" s="72"/>
      <c r="R326" s="6"/>
      <c r="S326" s="6"/>
      <c r="T326" s="6"/>
      <c r="U326" s="6"/>
      <c r="V326" s="6"/>
    </row>
    <row r="327">
      <c r="A327" s="77"/>
      <c r="B327" s="78"/>
      <c r="C327" s="78"/>
      <c r="D327" s="71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77"/>
      <c r="Q327" s="72"/>
      <c r="R327" s="6"/>
      <c r="S327" s="6"/>
      <c r="T327" s="6"/>
      <c r="U327" s="6"/>
      <c r="V327" s="6"/>
    </row>
    <row r="328">
      <c r="A328" s="77"/>
      <c r="B328" s="78"/>
      <c r="C328" s="78"/>
      <c r="D328" s="71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77"/>
      <c r="Q328" s="72"/>
      <c r="R328" s="6"/>
      <c r="S328" s="6"/>
      <c r="T328" s="6"/>
      <c r="U328" s="6"/>
      <c r="V328" s="6"/>
    </row>
    <row r="329">
      <c r="A329" s="75"/>
      <c r="B329" s="76"/>
      <c r="C329" s="76"/>
      <c r="D329" s="71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75"/>
      <c r="Q329" s="72"/>
      <c r="R329" s="6"/>
      <c r="S329" s="6"/>
      <c r="T329" s="6"/>
      <c r="U329" s="6"/>
      <c r="V329" s="6"/>
    </row>
    <row r="330">
      <c r="A330" s="75"/>
      <c r="B330" s="76"/>
      <c r="C330" s="76"/>
      <c r="D330" s="71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75"/>
      <c r="Q330" s="72"/>
      <c r="R330" s="6"/>
      <c r="S330" s="6"/>
      <c r="T330" s="6"/>
      <c r="U330" s="6"/>
      <c r="V330" s="6"/>
    </row>
    <row r="331">
      <c r="A331" s="75"/>
      <c r="B331" s="76"/>
      <c r="C331" s="76"/>
      <c r="D331" s="71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75"/>
      <c r="Q331" s="72"/>
      <c r="R331" s="6"/>
      <c r="S331" s="6"/>
      <c r="T331" s="6"/>
      <c r="U331" s="6"/>
      <c r="V331" s="6"/>
    </row>
    <row r="332">
      <c r="A332" s="75"/>
      <c r="B332" s="76"/>
      <c r="C332" s="76"/>
      <c r="D332" s="71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75"/>
      <c r="Q332" s="72"/>
      <c r="R332" s="6"/>
      <c r="S332" s="6"/>
      <c r="T332" s="6"/>
      <c r="U332" s="6"/>
      <c r="V332" s="6"/>
    </row>
    <row r="333">
      <c r="A333" s="6"/>
      <c r="B333" s="6"/>
      <c r="C333" s="74"/>
      <c r="D333" s="71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72"/>
      <c r="R333" s="6"/>
      <c r="S333" s="6"/>
      <c r="T333" s="6"/>
      <c r="U333" s="6"/>
      <c r="V333" s="6"/>
    </row>
    <row r="334">
      <c r="A334" s="75"/>
      <c r="B334" s="76"/>
      <c r="C334" s="76"/>
      <c r="D334" s="71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75"/>
      <c r="Q334" s="72"/>
      <c r="R334" s="6"/>
      <c r="S334" s="6"/>
      <c r="T334" s="6"/>
      <c r="U334" s="6"/>
      <c r="V334" s="6"/>
    </row>
    <row r="335">
      <c r="A335" s="75"/>
      <c r="B335" s="76"/>
      <c r="C335" s="76"/>
      <c r="D335" s="71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75"/>
      <c r="Q335" s="72"/>
      <c r="R335" s="6"/>
      <c r="S335" s="6"/>
      <c r="T335" s="6"/>
      <c r="U335" s="6"/>
      <c r="V335" s="6"/>
    </row>
    <row r="336">
      <c r="A336" s="75"/>
      <c r="B336" s="76"/>
      <c r="C336" s="76"/>
      <c r="D336" s="71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75"/>
      <c r="Q336" s="72"/>
      <c r="R336" s="6"/>
      <c r="S336" s="6"/>
      <c r="T336" s="6"/>
      <c r="U336" s="6"/>
      <c r="V336" s="6"/>
    </row>
    <row r="337">
      <c r="A337" s="75"/>
      <c r="B337" s="76"/>
      <c r="C337" s="76"/>
      <c r="D337" s="71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75"/>
      <c r="Q337" s="72"/>
      <c r="R337" s="6"/>
      <c r="S337" s="6"/>
      <c r="T337" s="6"/>
      <c r="U337" s="6"/>
      <c r="V337" s="6"/>
    </row>
    <row r="338">
      <c r="A338" s="75"/>
      <c r="B338" s="76"/>
      <c r="C338" s="76"/>
      <c r="D338" s="71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75"/>
      <c r="Q338" s="72"/>
      <c r="R338" s="6"/>
      <c r="S338" s="6"/>
      <c r="T338" s="6"/>
      <c r="U338" s="6"/>
      <c r="V338" s="6"/>
    </row>
    <row r="339">
      <c r="A339" s="75"/>
      <c r="B339" s="76"/>
      <c r="C339" s="76"/>
      <c r="D339" s="71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75"/>
      <c r="Q339" s="72"/>
      <c r="R339" s="6"/>
      <c r="S339" s="6"/>
      <c r="T339" s="6"/>
      <c r="U339" s="6"/>
      <c r="V339" s="6"/>
    </row>
    <row r="340">
      <c r="A340" s="75"/>
      <c r="B340" s="76"/>
      <c r="C340" s="76"/>
      <c r="D340" s="71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75"/>
      <c r="Q340" s="72"/>
      <c r="R340" s="6"/>
      <c r="S340" s="6"/>
      <c r="T340" s="6"/>
      <c r="U340" s="6"/>
      <c r="V340" s="6"/>
    </row>
    <row r="341">
      <c r="A341" s="75"/>
      <c r="B341" s="76"/>
      <c r="C341" s="76"/>
      <c r="D341" s="71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75"/>
      <c r="Q341" s="72"/>
      <c r="R341" s="6"/>
      <c r="S341" s="6"/>
      <c r="T341" s="6"/>
      <c r="U341" s="6"/>
      <c r="V341" s="6"/>
    </row>
    <row r="342">
      <c r="A342" s="75"/>
      <c r="B342" s="76"/>
      <c r="C342" s="76"/>
      <c r="D342" s="71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75"/>
      <c r="Q342" s="72"/>
      <c r="R342" s="6"/>
      <c r="S342" s="6"/>
      <c r="T342" s="6"/>
      <c r="U342" s="6"/>
      <c r="V342" s="6"/>
    </row>
    <row r="343">
      <c r="A343" s="75"/>
      <c r="B343" s="76"/>
      <c r="C343" s="76"/>
      <c r="D343" s="71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75"/>
      <c r="Q343" s="72"/>
      <c r="R343" s="6"/>
      <c r="S343" s="6"/>
      <c r="T343" s="6"/>
      <c r="U343" s="6"/>
      <c r="V343" s="6"/>
    </row>
    <row r="344">
      <c r="A344" s="6"/>
      <c r="B344" s="6"/>
      <c r="C344" s="74"/>
      <c r="D344" s="71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72"/>
      <c r="R344" s="6"/>
      <c r="S344" s="6"/>
      <c r="T344" s="6"/>
      <c r="U344" s="6"/>
      <c r="V344" s="6"/>
    </row>
    <row r="345">
      <c r="A345" s="6"/>
      <c r="B345" s="6"/>
      <c r="C345" s="74"/>
      <c r="D345" s="71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72"/>
      <c r="R345" s="6"/>
      <c r="S345" s="6"/>
      <c r="T345" s="6"/>
      <c r="U345" s="6"/>
      <c r="V345" s="6"/>
    </row>
    <row r="346">
      <c r="A346" s="6"/>
      <c r="B346" s="6"/>
      <c r="C346" s="74"/>
      <c r="D346" s="71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72"/>
      <c r="R346" s="6"/>
      <c r="S346" s="6"/>
      <c r="T346" s="6"/>
      <c r="U346" s="6"/>
      <c r="V346" s="6"/>
    </row>
    <row r="347">
      <c r="A347" s="6"/>
      <c r="B347" s="6"/>
      <c r="C347" s="74"/>
      <c r="D347" s="71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72"/>
      <c r="R347" s="6"/>
      <c r="S347" s="6"/>
      <c r="T347" s="6"/>
      <c r="U347" s="6"/>
      <c r="V347" s="6"/>
    </row>
    <row r="348">
      <c r="A348" s="6"/>
      <c r="B348" s="6"/>
      <c r="C348" s="74"/>
      <c r="D348" s="71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72"/>
      <c r="R348" s="6"/>
      <c r="S348" s="6"/>
      <c r="T348" s="6"/>
      <c r="U348" s="6"/>
      <c r="V348" s="6"/>
    </row>
    <row r="349">
      <c r="A349" s="6"/>
      <c r="B349" s="6"/>
      <c r="C349" s="74"/>
      <c r="D349" s="71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72"/>
      <c r="R349" s="6"/>
      <c r="S349" s="6"/>
      <c r="T349" s="6"/>
      <c r="U349" s="6"/>
      <c r="V349" s="6"/>
    </row>
    <row r="350">
      <c r="A350" s="6"/>
      <c r="B350" s="6"/>
      <c r="C350" s="74"/>
      <c r="D350" s="7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72"/>
      <c r="R350" s="6"/>
      <c r="S350" s="6"/>
      <c r="T350" s="6"/>
      <c r="U350" s="6"/>
      <c r="V350" s="6"/>
    </row>
    <row r="351">
      <c r="A351" s="6"/>
      <c r="B351" s="6"/>
      <c r="C351" s="74"/>
      <c r="D351" s="71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72"/>
      <c r="R351" s="6"/>
      <c r="S351" s="6"/>
      <c r="T351" s="6"/>
      <c r="U351" s="6"/>
      <c r="V351" s="6"/>
    </row>
    <row r="352">
      <c r="A352" s="6"/>
      <c r="B352" s="6"/>
      <c r="C352" s="74"/>
      <c r="D352" s="71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72"/>
      <c r="R352" s="6"/>
      <c r="S352" s="6"/>
      <c r="T352" s="6"/>
      <c r="U352" s="6"/>
      <c r="V352" s="6"/>
    </row>
    <row r="353">
      <c r="A353" s="6"/>
      <c r="B353" s="6"/>
      <c r="C353" s="74"/>
      <c r="D353" s="71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72"/>
      <c r="R353" s="6"/>
      <c r="S353" s="6"/>
      <c r="T353" s="6"/>
      <c r="U353" s="6"/>
      <c r="V353" s="6"/>
    </row>
    <row r="354">
      <c r="A354" s="6"/>
      <c r="B354" s="6"/>
      <c r="C354" s="74"/>
      <c r="D354" s="71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72"/>
      <c r="R354" s="6"/>
      <c r="S354" s="6"/>
      <c r="T354" s="6"/>
      <c r="U354" s="6"/>
      <c r="V354" s="6"/>
    </row>
    <row r="355">
      <c r="A355" s="6"/>
      <c r="B355" s="6"/>
      <c r="C355" s="74"/>
      <c r="D355" s="71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72"/>
      <c r="R355" s="6"/>
      <c r="S355" s="6"/>
      <c r="T355" s="6"/>
      <c r="U355" s="6"/>
      <c r="V355" s="6"/>
    </row>
    <row r="356">
      <c r="A356" s="6"/>
      <c r="B356" s="6"/>
      <c r="C356" s="74"/>
      <c r="D356" s="71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72"/>
      <c r="R356" s="6"/>
      <c r="S356" s="6"/>
      <c r="T356" s="6"/>
      <c r="U356" s="6"/>
      <c r="V356" s="6"/>
    </row>
    <row r="357">
      <c r="A357" s="6"/>
      <c r="B357" s="6"/>
      <c r="C357" s="74"/>
      <c r="D357" s="71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72"/>
      <c r="R357" s="6"/>
      <c r="S357" s="6"/>
      <c r="T357" s="6"/>
      <c r="U357" s="6"/>
      <c r="V357" s="6"/>
    </row>
    <row r="358">
      <c r="A358" s="6"/>
      <c r="B358" s="6"/>
      <c r="C358" s="74"/>
      <c r="D358" s="71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72"/>
      <c r="R358" s="6"/>
      <c r="S358" s="6"/>
      <c r="T358" s="6"/>
      <c r="U358" s="6"/>
      <c r="V358" s="6"/>
    </row>
    <row r="359">
      <c r="A359" s="6"/>
      <c r="B359" s="6"/>
      <c r="C359" s="74"/>
      <c r="D359" s="71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72"/>
      <c r="R359" s="6"/>
      <c r="S359" s="6"/>
      <c r="T359" s="6"/>
      <c r="U359" s="6"/>
      <c r="V359" s="6"/>
    </row>
    <row r="360">
      <c r="A360" s="6"/>
      <c r="B360" s="6"/>
      <c r="C360" s="74"/>
      <c r="D360" s="71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72"/>
      <c r="R360" s="6"/>
      <c r="S360" s="6"/>
      <c r="T360" s="6"/>
      <c r="U360" s="6"/>
      <c r="V360" s="6"/>
    </row>
    <row r="361">
      <c r="A361" s="6"/>
      <c r="B361" s="6"/>
      <c r="C361" s="74"/>
      <c r="D361" s="71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72"/>
      <c r="R361" s="6"/>
      <c r="S361" s="6"/>
      <c r="T361" s="6"/>
      <c r="U361" s="6"/>
      <c r="V361" s="6"/>
    </row>
    <row r="362">
      <c r="A362" s="6"/>
      <c r="B362" s="6"/>
      <c r="C362" s="74"/>
      <c r="D362" s="71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72"/>
      <c r="R362" s="6"/>
      <c r="S362" s="6"/>
      <c r="T362" s="6"/>
      <c r="U362" s="6"/>
      <c r="V362" s="6"/>
    </row>
    <row r="363">
      <c r="A363" s="6"/>
      <c r="B363" s="6"/>
      <c r="C363" s="74"/>
      <c r="D363" s="71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72"/>
      <c r="R363" s="6"/>
      <c r="S363" s="6"/>
      <c r="T363" s="6"/>
      <c r="U363" s="6"/>
      <c r="V363" s="6"/>
    </row>
    <row r="364">
      <c r="A364" s="6"/>
      <c r="B364" s="6"/>
      <c r="C364" s="74"/>
      <c r="D364" s="71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72"/>
      <c r="R364" s="6"/>
      <c r="S364" s="6"/>
      <c r="T364" s="6"/>
      <c r="U364" s="6"/>
      <c r="V364" s="6"/>
    </row>
    <row r="365">
      <c r="A365" s="6"/>
      <c r="B365" s="6"/>
      <c r="C365" s="74"/>
      <c r="D365" s="71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72"/>
      <c r="R365" s="6"/>
      <c r="S365" s="6"/>
      <c r="T365" s="6"/>
      <c r="U365" s="6"/>
      <c r="V365" s="6"/>
    </row>
    <row r="366">
      <c r="A366" s="6"/>
      <c r="B366" s="6"/>
      <c r="C366" s="74"/>
      <c r="D366" s="71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72"/>
      <c r="R366" s="6"/>
      <c r="S366" s="6"/>
      <c r="T366" s="6"/>
      <c r="U366" s="6"/>
      <c r="V366" s="6"/>
    </row>
    <row r="367">
      <c r="A367" s="6"/>
      <c r="B367" s="6"/>
      <c r="C367" s="74"/>
      <c r="D367" s="71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72"/>
      <c r="R367" s="6"/>
      <c r="S367" s="6"/>
      <c r="T367" s="6"/>
      <c r="U367" s="6"/>
      <c r="V367" s="6"/>
    </row>
    <row r="368">
      <c r="A368" s="6"/>
      <c r="B368" s="6"/>
      <c r="C368" s="74"/>
      <c r="D368" s="71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72"/>
      <c r="R368" s="6"/>
      <c r="S368" s="6"/>
      <c r="T368" s="6"/>
      <c r="U368" s="6"/>
      <c r="V368" s="6"/>
    </row>
    <row r="369">
      <c r="A369" s="6"/>
      <c r="B369" s="6"/>
      <c r="C369" s="74"/>
      <c r="D369" s="71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72"/>
      <c r="R369" s="6"/>
      <c r="S369" s="6"/>
      <c r="T369" s="6"/>
      <c r="U369" s="6"/>
      <c r="V369" s="6"/>
    </row>
    <row r="370">
      <c r="A370" s="6"/>
      <c r="B370" s="6"/>
      <c r="C370" s="74"/>
      <c r="D370" s="71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72"/>
      <c r="R370" s="6"/>
      <c r="S370" s="6"/>
      <c r="T370" s="6"/>
      <c r="U370" s="6"/>
      <c r="V370" s="6"/>
    </row>
    <row r="371">
      <c r="A371" s="6"/>
      <c r="B371" s="6"/>
      <c r="C371" s="74"/>
      <c r="D371" s="7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72"/>
      <c r="R371" s="6"/>
      <c r="S371" s="6"/>
      <c r="T371" s="6"/>
      <c r="U371" s="6"/>
      <c r="V371" s="6"/>
    </row>
    <row r="372">
      <c r="A372" s="6"/>
      <c r="B372" s="6"/>
      <c r="C372" s="74"/>
      <c r="D372" s="71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72"/>
      <c r="R372" s="6"/>
      <c r="S372" s="6"/>
      <c r="T372" s="6"/>
      <c r="U372" s="6"/>
      <c r="V372" s="6"/>
    </row>
    <row r="373">
      <c r="A373" s="6"/>
      <c r="B373" s="6"/>
      <c r="C373" s="74"/>
      <c r="D373" s="71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72"/>
      <c r="R373" s="6"/>
      <c r="S373" s="6"/>
      <c r="T373" s="6"/>
      <c r="U373" s="6"/>
      <c r="V373" s="6"/>
    </row>
    <row r="374">
      <c r="A374" s="6"/>
      <c r="B374" s="6"/>
      <c r="C374" s="74"/>
      <c r="D374" s="71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72"/>
      <c r="R374" s="6"/>
      <c r="S374" s="6"/>
      <c r="T374" s="6"/>
      <c r="U374" s="6"/>
      <c r="V374" s="6"/>
    </row>
    <row r="375">
      <c r="A375" s="6"/>
      <c r="B375" s="6"/>
      <c r="C375" s="74"/>
      <c r="D375" s="71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72"/>
      <c r="R375" s="6"/>
      <c r="S375" s="6"/>
      <c r="T375" s="6"/>
      <c r="U375" s="6"/>
      <c r="V375" s="6"/>
    </row>
    <row r="376">
      <c r="A376" s="6"/>
      <c r="B376" s="6"/>
      <c r="C376" s="74"/>
      <c r="D376" s="71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72"/>
      <c r="R376" s="6"/>
      <c r="S376" s="6"/>
      <c r="T376" s="6"/>
      <c r="U376" s="6"/>
      <c r="V376" s="6"/>
    </row>
    <row r="377">
      <c r="A377" s="6"/>
      <c r="B377" s="6"/>
      <c r="C377" s="74"/>
      <c r="D377" s="71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72"/>
      <c r="R377" s="6"/>
      <c r="S377" s="6"/>
      <c r="T377" s="6"/>
      <c r="U377" s="6"/>
      <c r="V377" s="6"/>
    </row>
    <row r="378">
      <c r="A378" s="6"/>
      <c r="B378" s="6"/>
      <c r="C378" s="74"/>
      <c r="D378" s="71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72"/>
      <c r="R378" s="6"/>
      <c r="S378" s="6"/>
      <c r="T378" s="6"/>
      <c r="U378" s="6"/>
      <c r="V378" s="6"/>
    </row>
    <row r="379">
      <c r="A379" s="6"/>
      <c r="B379" s="6"/>
      <c r="C379" s="74"/>
      <c r="D379" s="71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72"/>
      <c r="R379" s="6"/>
      <c r="S379" s="6"/>
      <c r="T379" s="6"/>
      <c r="U379" s="6"/>
      <c r="V379" s="6"/>
    </row>
    <row r="380">
      <c r="A380" s="6"/>
      <c r="B380" s="6"/>
      <c r="C380" s="74"/>
      <c r="D380" s="71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72"/>
      <c r="R380" s="6"/>
      <c r="S380" s="6"/>
      <c r="T380" s="6"/>
      <c r="U380" s="6"/>
      <c r="V380" s="6"/>
    </row>
    <row r="381">
      <c r="A381" s="6"/>
      <c r="B381" s="6"/>
      <c r="C381" s="74"/>
      <c r="D381" s="71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72"/>
      <c r="R381" s="6"/>
      <c r="S381" s="6"/>
      <c r="T381" s="6"/>
      <c r="U381" s="6"/>
      <c r="V381" s="6"/>
    </row>
    <row r="382">
      <c r="A382" s="6"/>
      <c r="B382" s="6"/>
      <c r="C382" s="74"/>
      <c r="D382" s="71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72"/>
      <c r="R382" s="6"/>
      <c r="S382" s="6"/>
      <c r="T382" s="6"/>
      <c r="U382" s="6"/>
      <c r="V382" s="6"/>
    </row>
    <row r="383">
      <c r="A383" s="6"/>
      <c r="B383" s="6"/>
      <c r="C383" s="74"/>
      <c r="D383" s="71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72"/>
      <c r="R383" s="6"/>
      <c r="S383" s="6"/>
      <c r="T383" s="6"/>
      <c r="U383" s="6"/>
      <c r="V383" s="6"/>
    </row>
    <row r="384">
      <c r="A384" s="6"/>
      <c r="B384" s="6"/>
      <c r="C384" s="74"/>
      <c r="D384" s="71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72"/>
      <c r="R384" s="6"/>
      <c r="S384" s="6"/>
      <c r="T384" s="6"/>
      <c r="U384" s="6"/>
      <c r="V384" s="6"/>
    </row>
    <row r="385">
      <c r="A385" s="6"/>
      <c r="B385" s="6"/>
      <c r="C385" s="74"/>
      <c r="D385" s="71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72"/>
      <c r="R385" s="6"/>
      <c r="S385" s="6"/>
      <c r="T385" s="6"/>
      <c r="U385" s="6"/>
      <c r="V385" s="6"/>
    </row>
    <row r="386">
      <c r="A386" s="6"/>
      <c r="B386" s="6"/>
      <c r="C386" s="74"/>
      <c r="D386" s="71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72"/>
      <c r="R386" s="6"/>
      <c r="S386" s="6"/>
      <c r="T386" s="6"/>
      <c r="U386" s="6"/>
      <c r="V386" s="6"/>
    </row>
    <row r="387">
      <c r="A387" s="6"/>
      <c r="B387" s="6"/>
      <c r="C387" s="74"/>
      <c r="D387" s="71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72"/>
      <c r="R387" s="6"/>
      <c r="S387" s="6"/>
      <c r="T387" s="6"/>
      <c r="U387" s="6"/>
      <c r="V387" s="6"/>
    </row>
    <row r="388">
      <c r="A388" s="6"/>
      <c r="B388" s="6"/>
      <c r="C388" s="74"/>
      <c r="D388" s="71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72"/>
      <c r="R388" s="6"/>
      <c r="S388" s="6"/>
      <c r="T388" s="6"/>
      <c r="U388" s="6"/>
      <c r="V388" s="6"/>
    </row>
    <row r="389">
      <c r="A389" s="6"/>
      <c r="B389" s="6"/>
      <c r="C389" s="74"/>
      <c r="D389" s="71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72"/>
      <c r="R389" s="6"/>
      <c r="S389" s="6"/>
      <c r="T389" s="6"/>
      <c r="U389" s="6"/>
      <c r="V389" s="6"/>
    </row>
    <row r="390">
      <c r="A390" s="6"/>
      <c r="B390" s="6"/>
      <c r="C390" s="74"/>
      <c r="D390" s="71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72"/>
      <c r="R390" s="6"/>
      <c r="S390" s="6"/>
      <c r="T390" s="6"/>
      <c r="U390" s="6"/>
      <c r="V390" s="6"/>
    </row>
    <row r="391">
      <c r="A391" s="6"/>
      <c r="B391" s="6"/>
      <c r="C391" s="74"/>
      <c r="D391" s="71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72"/>
      <c r="R391" s="6"/>
      <c r="S391" s="6"/>
      <c r="T391" s="6"/>
      <c r="U391" s="6"/>
      <c r="V391" s="6"/>
    </row>
    <row r="392">
      <c r="A392" s="6"/>
      <c r="B392" s="6"/>
      <c r="C392" s="74"/>
      <c r="D392" s="71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72"/>
      <c r="R392" s="6"/>
      <c r="S392" s="6"/>
      <c r="T392" s="6"/>
      <c r="U392" s="6"/>
      <c r="V392" s="6"/>
    </row>
    <row r="393">
      <c r="A393" s="6"/>
      <c r="B393" s="6"/>
      <c r="C393" s="74"/>
      <c r="D393" s="71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72"/>
      <c r="R393" s="6"/>
      <c r="S393" s="6"/>
      <c r="T393" s="6"/>
      <c r="U393" s="6"/>
      <c r="V393" s="6"/>
    </row>
    <row r="394">
      <c r="A394" s="6"/>
      <c r="B394" s="6"/>
      <c r="C394" s="74"/>
      <c r="D394" s="71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72"/>
      <c r="R394" s="6"/>
      <c r="S394" s="6"/>
      <c r="T394" s="6"/>
      <c r="U394" s="6"/>
      <c r="V394" s="6"/>
    </row>
    <row r="395">
      <c r="A395" s="6"/>
      <c r="B395" s="6"/>
      <c r="C395" s="74"/>
      <c r="D395" s="71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72"/>
      <c r="R395" s="6"/>
      <c r="S395" s="6"/>
      <c r="T395" s="6"/>
      <c r="U395" s="6"/>
      <c r="V395" s="6"/>
    </row>
    <row r="396">
      <c r="A396" s="6"/>
      <c r="B396" s="6"/>
      <c r="C396" s="74"/>
      <c r="D396" s="71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72"/>
      <c r="R396" s="6"/>
      <c r="S396" s="6"/>
      <c r="T396" s="6"/>
      <c r="U396" s="6"/>
      <c r="V396" s="6"/>
    </row>
    <row r="397">
      <c r="A397" s="6"/>
      <c r="B397" s="6"/>
      <c r="C397" s="74"/>
      <c r="D397" s="71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72"/>
      <c r="R397" s="6"/>
      <c r="S397" s="6"/>
      <c r="T397" s="6"/>
      <c r="U397" s="6"/>
      <c r="V397" s="6"/>
    </row>
    <row r="398">
      <c r="A398" s="6"/>
      <c r="B398" s="6"/>
      <c r="C398" s="74"/>
      <c r="D398" s="71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72"/>
      <c r="R398" s="6"/>
      <c r="S398" s="6"/>
      <c r="T398" s="6"/>
      <c r="U398" s="6"/>
      <c r="V398" s="6"/>
    </row>
    <row r="399">
      <c r="A399" s="6"/>
      <c r="B399" s="6"/>
      <c r="C399" s="74"/>
      <c r="D399" s="71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72"/>
      <c r="R399" s="6"/>
      <c r="S399" s="6"/>
      <c r="T399" s="6"/>
      <c r="U399" s="6"/>
      <c r="V399" s="6"/>
    </row>
    <row r="400">
      <c r="A400" s="6"/>
      <c r="B400" s="6"/>
      <c r="C400" s="74"/>
      <c r="D400" s="71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72"/>
      <c r="R400" s="6"/>
      <c r="S400" s="6"/>
      <c r="T400" s="6"/>
      <c r="U400" s="6"/>
      <c r="V400" s="6"/>
    </row>
    <row r="401">
      <c r="A401" s="6"/>
      <c r="B401" s="6"/>
      <c r="C401" s="74"/>
      <c r="D401" s="71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72"/>
      <c r="R401" s="6"/>
      <c r="S401" s="6"/>
      <c r="T401" s="6"/>
      <c r="U401" s="6"/>
      <c r="V401" s="6"/>
    </row>
    <row r="402">
      <c r="A402" s="6"/>
      <c r="B402" s="6"/>
      <c r="C402" s="74"/>
      <c r="D402" s="71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72"/>
      <c r="R402" s="6"/>
      <c r="S402" s="6"/>
      <c r="T402" s="6"/>
      <c r="U402" s="6"/>
      <c r="V402" s="6"/>
    </row>
    <row r="403">
      <c r="A403" s="6"/>
      <c r="B403" s="6"/>
      <c r="C403" s="74"/>
      <c r="D403" s="71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72"/>
      <c r="R403" s="6"/>
      <c r="S403" s="6"/>
      <c r="T403" s="6"/>
      <c r="U403" s="6"/>
      <c r="V403" s="6"/>
    </row>
    <row r="404">
      <c r="A404" s="6"/>
      <c r="B404" s="6"/>
      <c r="C404" s="74"/>
      <c r="D404" s="71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72"/>
      <c r="R404" s="6"/>
      <c r="S404" s="6"/>
      <c r="T404" s="6"/>
      <c r="U404" s="6"/>
      <c r="V404" s="6"/>
    </row>
    <row r="405">
      <c r="A405" s="6"/>
      <c r="B405" s="6"/>
      <c r="C405" s="74"/>
      <c r="D405" s="71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72"/>
      <c r="R405" s="6"/>
      <c r="S405" s="6"/>
      <c r="T405" s="6"/>
      <c r="U405" s="6"/>
      <c r="V405" s="6"/>
    </row>
    <row r="406">
      <c r="A406" s="6"/>
      <c r="B406" s="6"/>
      <c r="C406" s="74"/>
      <c r="D406" s="71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72"/>
      <c r="R406" s="6"/>
      <c r="S406" s="6"/>
      <c r="T406" s="6"/>
      <c r="U406" s="6"/>
      <c r="V406" s="6"/>
    </row>
    <row r="407">
      <c r="A407" s="6"/>
      <c r="B407" s="6"/>
      <c r="C407" s="74"/>
      <c r="D407" s="71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72"/>
      <c r="R407" s="6"/>
      <c r="S407" s="6"/>
      <c r="T407" s="6"/>
      <c r="U407" s="6"/>
      <c r="V407" s="6"/>
    </row>
    <row r="408">
      <c r="A408" s="6"/>
      <c r="B408" s="6"/>
      <c r="C408" s="74"/>
      <c r="D408" s="71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72"/>
      <c r="R408" s="6"/>
      <c r="S408" s="6"/>
      <c r="T408" s="6"/>
      <c r="U408" s="6"/>
      <c r="V408" s="6"/>
    </row>
    <row r="409">
      <c r="A409" s="6"/>
      <c r="B409" s="6"/>
      <c r="C409" s="74"/>
      <c r="D409" s="71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72"/>
      <c r="R409" s="6"/>
      <c r="S409" s="6"/>
      <c r="T409" s="6"/>
      <c r="U409" s="6"/>
      <c r="V409" s="6"/>
    </row>
    <row r="410">
      <c r="A410" s="6"/>
      <c r="B410" s="6"/>
      <c r="C410" s="74"/>
      <c r="D410" s="71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72"/>
      <c r="R410" s="6"/>
      <c r="S410" s="6"/>
      <c r="T410" s="6"/>
      <c r="U410" s="6"/>
      <c r="V410" s="6"/>
    </row>
    <row r="411">
      <c r="A411" s="6"/>
      <c r="B411" s="6"/>
      <c r="C411" s="74"/>
      <c r="D411" s="71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72"/>
      <c r="R411" s="6"/>
      <c r="S411" s="6"/>
      <c r="T411" s="6"/>
      <c r="U411" s="6"/>
      <c r="V411" s="6"/>
    </row>
    <row r="412">
      <c r="A412" s="6"/>
      <c r="B412" s="6"/>
      <c r="C412" s="74"/>
      <c r="D412" s="71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72"/>
      <c r="R412" s="6"/>
      <c r="S412" s="6"/>
      <c r="T412" s="6"/>
      <c r="U412" s="6"/>
      <c r="V412" s="6"/>
    </row>
    <row r="413">
      <c r="A413" s="6"/>
      <c r="B413" s="6"/>
      <c r="C413" s="74"/>
      <c r="D413" s="71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72"/>
      <c r="R413" s="6"/>
      <c r="S413" s="6"/>
      <c r="T413" s="6"/>
      <c r="U413" s="6"/>
      <c r="V413" s="6"/>
    </row>
    <row r="414">
      <c r="A414" s="6"/>
      <c r="B414" s="6"/>
      <c r="C414" s="74"/>
      <c r="D414" s="71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72"/>
      <c r="R414" s="6"/>
      <c r="S414" s="6"/>
      <c r="T414" s="6"/>
      <c r="U414" s="6"/>
      <c r="V414" s="6"/>
    </row>
    <row r="415">
      <c r="A415" s="6"/>
      <c r="B415" s="6"/>
      <c r="C415" s="74"/>
      <c r="D415" s="71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72"/>
      <c r="R415" s="6"/>
      <c r="S415" s="6"/>
      <c r="T415" s="6"/>
      <c r="U415" s="6"/>
      <c r="V415" s="6"/>
    </row>
    <row r="416">
      <c r="A416" s="6"/>
      <c r="B416" s="6"/>
      <c r="C416" s="74"/>
      <c r="D416" s="71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72"/>
      <c r="R416" s="6"/>
      <c r="S416" s="6"/>
      <c r="T416" s="6"/>
      <c r="U416" s="6"/>
      <c r="V416" s="6"/>
    </row>
    <row r="417">
      <c r="A417" s="6"/>
      <c r="B417" s="6"/>
      <c r="C417" s="74"/>
      <c r="D417" s="71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72"/>
      <c r="R417" s="6"/>
      <c r="S417" s="6"/>
      <c r="T417" s="6"/>
      <c r="U417" s="6"/>
      <c r="V417" s="6"/>
    </row>
    <row r="418">
      <c r="A418" s="6"/>
      <c r="B418" s="6"/>
      <c r="C418" s="74"/>
      <c r="D418" s="71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72"/>
      <c r="R418" s="6"/>
      <c r="S418" s="6"/>
      <c r="T418" s="6"/>
      <c r="U418" s="6"/>
      <c r="V418" s="6"/>
    </row>
    <row r="419">
      <c r="A419" s="6"/>
      <c r="B419" s="6"/>
      <c r="C419" s="74"/>
      <c r="D419" s="71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72"/>
      <c r="R419" s="6"/>
      <c r="S419" s="6"/>
      <c r="T419" s="6"/>
      <c r="U419" s="6"/>
      <c r="V419" s="6"/>
    </row>
    <row r="420">
      <c r="A420" s="6"/>
      <c r="B420" s="6"/>
      <c r="C420" s="74"/>
      <c r="D420" s="71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72"/>
      <c r="R420" s="6"/>
      <c r="S420" s="6"/>
      <c r="T420" s="6"/>
      <c r="U420" s="6"/>
      <c r="V420" s="6"/>
    </row>
    <row r="421">
      <c r="A421" s="6"/>
      <c r="B421" s="6"/>
      <c r="C421" s="74"/>
      <c r="D421" s="71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72"/>
      <c r="R421" s="6"/>
      <c r="S421" s="6"/>
      <c r="T421" s="6"/>
      <c r="U421" s="6"/>
      <c r="V421" s="6"/>
    </row>
    <row r="422">
      <c r="A422" s="6"/>
      <c r="B422" s="6"/>
      <c r="C422" s="74"/>
      <c r="D422" s="71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72"/>
      <c r="R422" s="6"/>
      <c r="S422" s="6"/>
      <c r="T422" s="6"/>
      <c r="U422" s="6"/>
      <c r="V422" s="6"/>
    </row>
    <row r="423">
      <c r="A423" s="6"/>
      <c r="B423" s="6"/>
      <c r="C423" s="74"/>
      <c r="D423" s="71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72"/>
      <c r="R423" s="6"/>
      <c r="S423" s="6"/>
      <c r="T423" s="6"/>
      <c r="U423" s="6"/>
      <c r="V423" s="6"/>
    </row>
    <row r="424">
      <c r="A424" s="6"/>
      <c r="B424" s="6"/>
      <c r="C424" s="74"/>
      <c r="D424" s="71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72"/>
      <c r="R424" s="6"/>
      <c r="S424" s="6"/>
      <c r="T424" s="6"/>
      <c r="U424" s="6"/>
      <c r="V424" s="6"/>
    </row>
    <row r="425">
      <c r="A425" s="6"/>
      <c r="B425" s="6"/>
      <c r="C425" s="74"/>
      <c r="D425" s="71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72"/>
      <c r="R425" s="6"/>
      <c r="S425" s="6"/>
      <c r="T425" s="6"/>
      <c r="U425" s="6"/>
      <c r="V425" s="6"/>
    </row>
    <row r="426">
      <c r="A426" s="6"/>
      <c r="B426" s="6"/>
      <c r="C426" s="74"/>
      <c r="D426" s="71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72"/>
      <c r="R426" s="6"/>
      <c r="S426" s="6"/>
      <c r="T426" s="6"/>
      <c r="U426" s="6"/>
      <c r="V426" s="6"/>
    </row>
    <row r="427">
      <c r="A427" s="6"/>
      <c r="B427" s="6"/>
      <c r="C427" s="74"/>
      <c r="D427" s="71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72"/>
      <c r="R427" s="6"/>
      <c r="S427" s="6"/>
      <c r="T427" s="6"/>
      <c r="U427" s="6"/>
      <c r="V427" s="6"/>
    </row>
    <row r="428">
      <c r="A428" s="6"/>
      <c r="B428" s="6"/>
      <c r="C428" s="74"/>
      <c r="D428" s="71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72"/>
      <c r="R428" s="6"/>
      <c r="S428" s="6"/>
      <c r="T428" s="6"/>
      <c r="U428" s="6"/>
      <c r="V428" s="6"/>
    </row>
    <row r="429">
      <c r="A429" s="6"/>
      <c r="B429" s="6"/>
      <c r="C429" s="74"/>
      <c r="D429" s="7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72"/>
      <c r="R429" s="6"/>
      <c r="S429" s="6"/>
      <c r="T429" s="6"/>
      <c r="U429" s="6"/>
      <c r="V429" s="6"/>
    </row>
    <row r="430">
      <c r="A430" s="6"/>
      <c r="B430" s="6"/>
      <c r="C430" s="74"/>
      <c r="D430" s="71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72"/>
      <c r="R430" s="6"/>
      <c r="S430" s="6"/>
      <c r="T430" s="6"/>
      <c r="U430" s="6"/>
      <c r="V430" s="6"/>
    </row>
    <row r="431">
      <c r="A431" s="6"/>
      <c r="B431" s="6"/>
      <c r="C431" s="74"/>
      <c r="D431" s="71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72"/>
      <c r="R431" s="6"/>
      <c r="S431" s="6"/>
      <c r="T431" s="6"/>
      <c r="U431" s="6"/>
      <c r="V431" s="6"/>
    </row>
    <row r="432">
      <c r="A432" s="6"/>
      <c r="B432" s="6"/>
      <c r="C432" s="74"/>
      <c r="D432" s="71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72"/>
      <c r="R432" s="6"/>
      <c r="S432" s="6"/>
      <c r="T432" s="6"/>
      <c r="U432" s="6"/>
      <c r="V432" s="6"/>
    </row>
    <row r="433">
      <c r="A433" s="6"/>
      <c r="B433" s="6"/>
      <c r="C433" s="74"/>
      <c r="D433" s="71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72"/>
      <c r="R433" s="6"/>
      <c r="S433" s="6"/>
      <c r="T433" s="6"/>
      <c r="U433" s="6"/>
      <c r="V433" s="6"/>
    </row>
    <row r="434">
      <c r="A434" s="6"/>
      <c r="B434" s="6"/>
      <c r="C434" s="74"/>
      <c r="D434" s="71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72"/>
      <c r="R434" s="6"/>
      <c r="S434" s="6"/>
      <c r="T434" s="6"/>
      <c r="U434" s="6"/>
      <c r="V434" s="6"/>
    </row>
    <row r="435">
      <c r="A435" s="6"/>
      <c r="B435" s="6"/>
      <c r="C435" s="74"/>
      <c r="D435" s="71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72"/>
      <c r="R435" s="6"/>
      <c r="S435" s="6"/>
      <c r="T435" s="6"/>
      <c r="U435" s="6"/>
      <c r="V435" s="6"/>
    </row>
    <row r="436">
      <c r="A436" s="6"/>
      <c r="B436" s="6"/>
      <c r="C436" s="74"/>
      <c r="D436" s="71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72"/>
      <c r="R436" s="6"/>
      <c r="S436" s="6"/>
      <c r="T436" s="6"/>
      <c r="U436" s="6"/>
      <c r="V436" s="6"/>
    </row>
    <row r="437">
      <c r="A437" s="6"/>
      <c r="B437" s="6"/>
      <c r="C437" s="74"/>
      <c r="D437" s="71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72"/>
      <c r="R437" s="6"/>
      <c r="S437" s="6"/>
      <c r="T437" s="6"/>
      <c r="U437" s="6"/>
      <c r="V437" s="6"/>
    </row>
    <row r="438">
      <c r="A438" s="6"/>
      <c r="B438" s="6"/>
      <c r="C438" s="74"/>
      <c r="D438" s="71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72"/>
      <c r="R438" s="6"/>
      <c r="S438" s="6"/>
      <c r="T438" s="6"/>
      <c r="U438" s="6"/>
      <c r="V438" s="6"/>
    </row>
    <row r="439">
      <c r="A439" s="6"/>
      <c r="B439" s="6"/>
      <c r="C439" s="74"/>
      <c r="D439" s="71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72"/>
      <c r="R439" s="6"/>
      <c r="S439" s="6"/>
      <c r="T439" s="6"/>
      <c r="U439" s="6"/>
      <c r="V439" s="6"/>
    </row>
    <row r="440">
      <c r="A440" s="6"/>
      <c r="B440" s="6"/>
      <c r="C440" s="74"/>
      <c r="D440" s="71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72"/>
      <c r="R440" s="6"/>
      <c r="S440" s="6"/>
      <c r="T440" s="6"/>
      <c r="U440" s="6"/>
      <c r="V440" s="6"/>
    </row>
    <row r="441">
      <c r="A441" s="6"/>
      <c r="B441" s="6"/>
      <c r="C441" s="74"/>
      <c r="D441" s="71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72"/>
      <c r="R441" s="6"/>
      <c r="S441" s="6"/>
      <c r="T441" s="6"/>
      <c r="U441" s="6"/>
      <c r="V441" s="6"/>
    </row>
    <row r="442">
      <c r="A442" s="6"/>
      <c r="B442" s="6"/>
      <c r="C442" s="74"/>
      <c r="D442" s="71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72"/>
      <c r="R442" s="6"/>
      <c r="S442" s="6"/>
      <c r="T442" s="6"/>
      <c r="U442" s="6"/>
      <c r="V442" s="6"/>
    </row>
    <row r="443">
      <c r="A443" s="6"/>
      <c r="B443" s="6"/>
      <c r="C443" s="74"/>
      <c r="D443" s="71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72"/>
      <c r="R443" s="6"/>
      <c r="S443" s="6"/>
      <c r="T443" s="6"/>
      <c r="U443" s="6"/>
      <c r="V443" s="6"/>
    </row>
    <row r="444">
      <c r="A444" s="6"/>
      <c r="B444" s="6"/>
      <c r="C444" s="74"/>
      <c r="D444" s="71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72"/>
      <c r="R444" s="6"/>
      <c r="S444" s="6"/>
      <c r="T444" s="6"/>
      <c r="U444" s="6"/>
      <c r="V444" s="6"/>
    </row>
    <row r="445">
      <c r="A445" s="6"/>
      <c r="B445" s="6"/>
      <c r="C445" s="74"/>
      <c r="D445" s="71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72"/>
      <c r="R445" s="6"/>
      <c r="S445" s="6"/>
      <c r="T445" s="6"/>
      <c r="U445" s="6"/>
      <c r="V445" s="6"/>
    </row>
    <row r="446">
      <c r="A446" s="6"/>
      <c r="B446" s="6"/>
      <c r="C446" s="74"/>
      <c r="D446" s="71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72"/>
      <c r="R446" s="6"/>
      <c r="S446" s="6"/>
      <c r="T446" s="6"/>
      <c r="U446" s="6"/>
      <c r="V446" s="6"/>
    </row>
    <row r="447">
      <c r="A447" s="6"/>
      <c r="B447" s="6"/>
      <c r="C447" s="74"/>
      <c r="D447" s="71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72"/>
      <c r="R447" s="6"/>
      <c r="S447" s="6"/>
      <c r="T447" s="6"/>
      <c r="U447" s="6"/>
      <c r="V447" s="6"/>
    </row>
    <row r="448">
      <c r="A448" s="6"/>
      <c r="B448" s="6"/>
      <c r="C448" s="74"/>
      <c r="D448" s="71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72"/>
      <c r="R448" s="6"/>
      <c r="S448" s="6"/>
      <c r="T448" s="6"/>
      <c r="U448" s="6"/>
      <c r="V448" s="6"/>
    </row>
    <row r="449">
      <c r="A449" s="6"/>
      <c r="B449" s="6"/>
      <c r="C449" s="74"/>
      <c r="D449" s="71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72"/>
      <c r="R449" s="6"/>
      <c r="S449" s="6"/>
      <c r="T449" s="6"/>
      <c r="U449" s="6"/>
      <c r="V449" s="6"/>
    </row>
    <row r="450">
      <c r="A450" s="6"/>
      <c r="B450" s="6"/>
      <c r="C450" s="74"/>
      <c r="D450" s="71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72"/>
      <c r="R450" s="6"/>
      <c r="S450" s="6"/>
      <c r="T450" s="6"/>
      <c r="U450" s="6"/>
      <c r="V450" s="6"/>
    </row>
    <row r="451">
      <c r="A451" s="6"/>
      <c r="B451" s="6"/>
      <c r="C451" s="74"/>
      <c r="D451" s="71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72"/>
      <c r="R451" s="6"/>
      <c r="S451" s="6"/>
      <c r="T451" s="6"/>
      <c r="U451" s="6"/>
      <c r="V451" s="6"/>
    </row>
    <row r="452">
      <c r="A452" s="6"/>
      <c r="B452" s="6"/>
      <c r="C452" s="74"/>
      <c r="D452" s="71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72"/>
      <c r="R452" s="6"/>
      <c r="S452" s="6"/>
      <c r="T452" s="6"/>
      <c r="U452" s="6"/>
      <c r="V452" s="6"/>
    </row>
    <row r="453">
      <c r="A453" s="6"/>
      <c r="B453" s="6"/>
      <c r="C453" s="74"/>
      <c r="D453" s="71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72"/>
      <c r="R453" s="6"/>
      <c r="S453" s="6"/>
      <c r="T453" s="6"/>
      <c r="U453" s="6"/>
      <c r="V453" s="6"/>
    </row>
    <row r="454">
      <c r="A454" s="6"/>
      <c r="B454" s="6"/>
      <c r="C454" s="74"/>
      <c r="D454" s="71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72"/>
      <c r="R454" s="6"/>
      <c r="S454" s="6"/>
      <c r="T454" s="6"/>
      <c r="U454" s="6"/>
      <c r="V454" s="6"/>
    </row>
    <row r="455">
      <c r="A455" s="6"/>
      <c r="B455" s="6"/>
      <c r="C455" s="74"/>
      <c r="D455" s="71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72"/>
      <c r="R455" s="6"/>
      <c r="S455" s="6"/>
      <c r="T455" s="6"/>
      <c r="U455" s="6"/>
      <c r="V455" s="6"/>
    </row>
    <row r="456">
      <c r="A456" s="6"/>
      <c r="B456" s="6"/>
      <c r="C456" s="74"/>
      <c r="D456" s="71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72"/>
      <c r="R456" s="6"/>
      <c r="S456" s="6"/>
      <c r="T456" s="6"/>
      <c r="U456" s="6"/>
      <c r="V456" s="6"/>
    </row>
    <row r="457">
      <c r="A457" s="6"/>
      <c r="B457" s="6"/>
      <c r="C457" s="74"/>
      <c r="D457" s="71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72"/>
      <c r="R457" s="6"/>
      <c r="S457" s="6"/>
      <c r="T457" s="6"/>
      <c r="U457" s="6"/>
      <c r="V457" s="6"/>
    </row>
    <row r="458">
      <c r="A458" s="6"/>
      <c r="B458" s="6"/>
      <c r="C458" s="74"/>
      <c r="D458" s="71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72"/>
      <c r="R458" s="6"/>
      <c r="S458" s="6"/>
      <c r="T458" s="6"/>
      <c r="U458" s="6"/>
      <c r="V458" s="6"/>
    </row>
    <row r="459">
      <c r="A459" s="6"/>
      <c r="B459" s="6"/>
      <c r="C459" s="74"/>
      <c r="D459" s="71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72"/>
      <c r="R459" s="6"/>
      <c r="S459" s="6"/>
      <c r="T459" s="6"/>
      <c r="U459" s="6"/>
      <c r="V459" s="6"/>
    </row>
    <row r="460">
      <c r="A460" s="6"/>
      <c r="B460" s="6"/>
      <c r="C460" s="74"/>
      <c r="D460" s="71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72"/>
      <c r="R460" s="6"/>
      <c r="S460" s="6"/>
      <c r="T460" s="6"/>
      <c r="U460" s="6"/>
      <c r="V460" s="6"/>
    </row>
    <row r="461">
      <c r="A461" s="6"/>
      <c r="B461" s="6"/>
      <c r="C461" s="74"/>
      <c r="D461" s="7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72"/>
      <c r="R461" s="6"/>
      <c r="S461" s="6"/>
      <c r="T461" s="6"/>
      <c r="U461" s="6"/>
      <c r="V461" s="6"/>
    </row>
    <row r="462">
      <c r="A462" s="6"/>
      <c r="B462" s="6"/>
      <c r="C462" s="74"/>
      <c r="D462" s="71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72"/>
      <c r="R462" s="6"/>
      <c r="S462" s="6"/>
      <c r="T462" s="6"/>
      <c r="U462" s="6"/>
      <c r="V462" s="6"/>
    </row>
    <row r="463">
      <c r="A463" s="6"/>
      <c r="B463" s="6"/>
      <c r="C463" s="74"/>
      <c r="D463" s="71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72"/>
      <c r="R463" s="6"/>
      <c r="S463" s="6"/>
      <c r="T463" s="6"/>
      <c r="U463" s="6"/>
      <c r="V463" s="6"/>
    </row>
    <row r="464">
      <c r="A464" s="6"/>
      <c r="B464" s="6"/>
      <c r="C464" s="74"/>
      <c r="D464" s="71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72"/>
      <c r="R464" s="6"/>
      <c r="S464" s="6"/>
      <c r="T464" s="6"/>
      <c r="U464" s="6"/>
      <c r="V464" s="6"/>
    </row>
    <row r="465">
      <c r="A465" s="6"/>
      <c r="B465" s="6"/>
      <c r="C465" s="74"/>
      <c r="D465" s="71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72"/>
      <c r="R465" s="6"/>
      <c r="S465" s="6"/>
      <c r="T465" s="6"/>
      <c r="U465" s="6"/>
      <c r="V465" s="6"/>
    </row>
    <row r="466">
      <c r="A466" s="6"/>
      <c r="B466" s="6"/>
      <c r="C466" s="74"/>
      <c r="D466" s="71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72"/>
      <c r="R466" s="6"/>
      <c r="S466" s="6"/>
      <c r="T466" s="6"/>
      <c r="U466" s="6"/>
      <c r="V466" s="6"/>
    </row>
    <row r="467">
      <c r="A467" s="6"/>
      <c r="B467" s="6"/>
      <c r="C467" s="74"/>
      <c r="D467" s="71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72"/>
      <c r="R467" s="6"/>
      <c r="S467" s="6"/>
      <c r="T467" s="6"/>
      <c r="U467" s="6"/>
      <c r="V467" s="6"/>
    </row>
    <row r="468">
      <c r="A468" s="6"/>
      <c r="B468" s="6"/>
      <c r="C468" s="74"/>
      <c r="D468" s="71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72"/>
      <c r="R468" s="6"/>
      <c r="S468" s="6"/>
      <c r="T468" s="6"/>
      <c r="U468" s="6"/>
      <c r="V468" s="6"/>
    </row>
    <row r="469">
      <c r="A469" s="6"/>
      <c r="B469" s="6"/>
      <c r="C469" s="74"/>
      <c r="D469" s="71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72"/>
      <c r="R469" s="6"/>
      <c r="S469" s="6"/>
      <c r="T469" s="6"/>
      <c r="U469" s="6"/>
      <c r="V469" s="6"/>
    </row>
    <row r="470">
      <c r="A470" s="6"/>
      <c r="B470" s="6"/>
      <c r="C470" s="74"/>
      <c r="D470" s="71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72"/>
      <c r="R470" s="6"/>
      <c r="S470" s="6"/>
      <c r="T470" s="6"/>
      <c r="U470" s="6"/>
      <c r="V470" s="6"/>
    </row>
    <row r="471">
      <c r="A471" s="6"/>
      <c r="B471" s="6"/>
      <c r="C471" s="74"/>
      <c r="D471" s="71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72"/>
      <c r="R471" s="6"/>
      <c r="S471" s="6"/>
      <c r="T471" s="6"/>
      <c r="U471" s="6"/>
      <c r="V471" s="6"/>
    </row>
    <row r="472">
      <c r="A472" s="6"/>
      <c r="B472" s="6"/>
      <c r="C472" s="74"/>
      <c r="D472" s="71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72"/>
      <c r="R472" s="6"/>
      <c r="S472" s="6"/>
      <c r="T472" s="6"/>
      <c r="U472" s="6"/>
      <c r="V472" s="6"/>
    </row>
    <row r="473">
      <c r="A473" s="6"/>
      <c r="B473" s="6"/>
      <c r="C473" s="74"/>
      <c r="D473" s="71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72"/>
      <c r="R473" s="6"/>
      <c r="S473" s="6"/>
      <c r="T473" s="6"/>
      <c r="U473" s="6"/>
      <c r="V473" s="6"/>
    </row>
    <row r="474">
      <c r="A474" s="6"/>
      <c r="B474" s="6"/>
      <c r="C474" s="74"/>
      <c r="D474" s="71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72"/>
      <c r="R474" s="6"/>
      <c r="S474" s="6"/>
      <c r="T474" s="6"/>
      <c r="U474" s="6"/>
      <c r="V474" s="6"/>
    </row>
    <row r="475">
      <c r="A475" s="6"/>
      <c r="B475" s="6"/>
      <c r="C475" s="74"/>
      <c r="D475" s="71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72"/>
      <c r="R475" s="6"/>
      <c r="S475" s="6"/>
      <c r="T475" s="6"/>
      <c r="U475" s="6"/>
      <c r="V475" s="6"/>
    </row>
    <row r="476">
      <c r="A476" s="6"/>
      <c r="B476" s="6"/>
      <c r="C476" s="74"/>
      <c r="D476" s="71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72"/>
      <c r="R476" s="6"/>
      <c r="S476" s="6"/>
      <c r="T476" s="6"/>
      <c r="U476" s="6"/>
      <c r="V476" s="6"/>
    </row>
    <row r="477">
      <c r="A477" s="6"/>
      <c r="B477" s="6"/>
      <c r="C477" s="74"/>
      <c r="D477" s="71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72"/>
      <c r="R477" s="6"/>
      <c r="S477" s="6"/>
      <c r="T477" s="6"/>
      <c r="U477" s="6"/>
      <c r="V477" s="6"/>
    </row>
    <row r="478">
      <c r="A478" s="6"/>
      <c r="B478" s="6"/>
      <c r="C478" s="74"/>
      <c r="D478" s="71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72"/>
      <c r="R478" s="6"/>
      <c r="S478" s="6"/>
      <c r="T478" s="6"/>
      <c r="U478" s="6"/>
      <c r="V478" s="6"/>
    </row>
    <row r="479">
      <c r="A479" s="6"/>
      <c r="B479" s="6"/>
      <c r="C479" s="74"/>
      <c r="D479" s="71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72"/>
      <c r="R479" s="6"/>
      <c r="S479" s="6"/>
      <c r="T479" s="6"/>
      <c r="U479" s="6"/>
      <c r="V479" s="6"/>
    </row>
    <row r="480">
      <c r="A480" s="6"/>
      <c r="B480" s="6"/>
      <c r="C480" s="74"/>
      <c r="D480" s="71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72"/>
      <c r="R480" s="6"/>
      <c r="S480" s="6"/>
      <c r="T480" s="6"/>
      <c r="U480" s="6"/>
      <c r="V480" s="6"/>
    </row>
    <row r="481">
      <c r="A481" s="6"/>
      <c r="B481" s="6"/>
      <c r="C481" s="74"/>
      <c r="D481" s="71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72"/>
      <c r="R481" s="6"/>
      <c r="S481" s="6"/>
      <c r="T481" s="6"/>
      <c r="U481" s="6"/>
      <c r="V481" s="6"/>
    </row>
    <row r="482">
      <c r="A482" s="6"/>
      <c r="B482" s="6"/>
      <c r="C482" s="74"/>
      <c r="D482" s="71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72"/>
      <c r="R482" s="6"/>
      <c r="S482" s="6"/>
      <c r="T482" s="6"/>
      <c r="U482" s="6"/>
      <c r="V482" s="6"/>
    </row>
    <row r="483">
      <c r="A483" s="6"/>
      <c r="B483" s="6"/>
      <c r="C483" s="74"/>
      <c r="D483" s="71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72"/>
      <c r="R483" s="6"/>
      <c r="S483" s="6"/>
      <c r="T483" s="6"/>
      <c r="U483" s="6"/>
      <c r="V483" s="6"/>
    </row>
    <row r="484">
      <c r="A484" s="6"/>
      <c r="B484" s="6"/>
      <c r="C484" s="74"/>
      <c r="D484" s="71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72"/>
      <c r="R484" s="6"/>
      <c r="S484" s="6"/>
      <c r="T484" s="6"/>
      <c r="U484" s="6"/>
      <c r="V484" s="6"/>
    </row>
    <row r="485">
      <c r="A485" s="6"/>
      <c r="B485" s="6"/>
      <c r="C485" s="74"/>
      <c r="D485" s="71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72"/>
      <c r="R485" s="6"/>
      <c r="S485" s="6"/>
      <c r="T485" s="6"/>
      <c r="U485" s="6"/>
      <c r="V485" s="6"/>
    </row>
    <row r="486">
      <c r="A486" s="6"/>
      <c r="B486" s="6"/>
      <c r="C486" s="74"/>
      <c r="D486" s="71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72"/>
      <c r="R486" s="6"/>
      <c r="S486" s="6"/>
      <c r="T486" s="6"/>
      <c r="U486" s="6"/>
      <c r="V486" s="6"/>
    </row>
    <row r="487">
      <c r="A487" s="6"/>
      <c r="B487" s="6"/>
      <c r="C487" s="74"/>
      <c r="D487" s="7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72"/>
      <c r="R487" s="6"/>
      <c r="S487" s="6"/>
      <c r="T487" s="6"/>
      <c r="U487" s="6"/>
      <c r="V487" s="6"/>
    </row>
    <row r="488">
      <c r="A488" s="6"/>
      <c r="B488" s="6"/>
      <c r="C488" s="74"/>
      <c r="D488" s="71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72"/>
      <c r="R488" s="6"/>
      <c r="S488" s="6"/>
      <c r="T488" s="6"/>
      <c r="U488" s="6"/>
      <c r="V488" s="6"/>
    </row>
    <row r="489">
      <c r="A489" s="6"/>
      <c r="B489" s="6"/>
      <c r="C489" s="74"/>
      <c r="D489" s="71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72"/>
      <c r="R489" s="6"/>
      <c r="S489" s="6"/>
      <c r="T489" s="6"/>
      <c r="U489" s="6"/>
      <c r="V489" s="6"/>
    </row>
    <row r="490">
      <c r="A490" s="6"/>
      <c r="B490" s="6"/>
      <c r="C490" s="74"/>
      <c r="D490" s="71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72"/>
      <c r="R490" s="6"/>
      <c r="S490" s="6"/>
      <c r="T490" s="6"/>
      <c r="U490" s="6"/>
      <c r="V490" s="6"/>
    </row>
    <row r="491">
      <c r="A491" s="6"/>
      <c r="B491" s="6"/>
      <c r="C491" s="74"/>
      <c r="D491" s="71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72"/>
      <c r="R491" s="6"/>
      <c r="S491" s="6"/>
      <c r="T491" s="6"/>
      <c r="U491" s="6"/>
      <c r="V491" s="6"/>
    </row>
    <row r="492">
      <c r="A492" s="6"/>
      <c r="B492" s="6"/>
      <c r="C492" s="74"/>
      <c r="D492" s="71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72"/>
      <c r="R492" s="6"/>
      <c r="S492" s="6"/>
      <c r="T492" s="6"/>
      <c r="U492" s="6"/>
      <c r="V492" s="6"/>
    </row>
    <row r="493">
      <c r="A493" s="6"/>
      <c r="B493" s="6"/>
      <c r="C493" s="74"/>
      <c r="D493" s="71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72"/>
      <c r="R493" s="6"/>
      <c r="S493" s="6"/>
      <c r="T493" s="6"/>
      <c r="U493" s="6"/>
      <c r="V493" s="6"/>
    </row>
    <row r="494">
      <c r="A494" s="6"/>
      <c r="B494" s="6"/>
      <c r="C494" s="74"/>
      <c r="D494" s="71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72"/>
      <c r="R494" s="6"/>
      <c r="S494" s="6"/>
      <c r="T494" s="6"/>
      <c r="U494" s="6"/>
      <c r="V494" s="6"/>
    </row>
    <row r="495">
      <c r="A495" s="6"/>
      <c r="B495" s="6"/>
      <c r="C495" s="74"/>
      <c r="D495" s="71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72"/>
      <c r="R495" s="6"/>
      <c r="S495" s="6"/>
      <c r="T495" s="6"/>
      <c r="U495" s="6"/>
      <c r="V495" s="6"/>
    </row>
    <row r="496">
      <c r="A496" s="6"/>
      <c r="B496" s="6"/>
      <c r="C496" s="74"/>
      <c r="D496" s="71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72"/>
      <c r="R496" s="6"/>
      <c r="S496" s="6"/>
      <c r="T496" s="6"/>
      <c r="U496" s="6"/>
      <c r="V496" s="6"/>
    </row>
    <row r="497">
      <c r="A497" s="6"/>
      <c r="B497" s="6"/>
      <c r="C497" s="74"/>
      <c r="D497" s="71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72"/>
      <c r="R497" s="6"/>
      <c r="S497" s="6"/>
      <c r="T497" s="6"/>
      <c r="U497" s="6"/>
      <c r="V497" s="6"/>
    </row>
    <row r="498">
      <c r="A498" s="6"/>
      <c r="B498" s="6"/>
      <c r="C498" s="74"/>
      <c r="D498" s="71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72"/>
      <c r="R498" s="6"/>
      <c r="S498" s="6"/>
      <c r="T498" s="6"/>
      <c r="U498" s="6"/>
      <c r="V498" s="6"/>
    </row>
    <row r="499">
      <c r="A499" s="6"/>
      <c r="B499" s="6"/>
      <c r="C499" s="74"/>
      <c r="D499" s="71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72"/>
      <c r="R499" s="6"/>
      <c r="S499" s="6"/>
      <c r="T499" s="6"/>
      <c r="U499" s="6"/>
      <c r="V499" s="6"/>
    </row>
    <row r="500">
      <c r="A500" s="6"/>
      <c r="B500" s="6"/>
      <c r="C500" s="74"/>
      <c r="D500" s="71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72"/>
      <c r="R500" s="6"/>
      <c r="S500" s="6"/>
      <c r="T500" s="6"/>
      <c r="U500" s="6"/>
      <c r="V500" s="6"/>
    </row>
    <row r="501">
      <c r="A501" s="6"/>
      <c r="B501" s="6"/>
      <c r="C501" s="74"/>
      <c r="D501" s="71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72"/>
      <c r="R501" s="6"/>
      <c r="S501" s="6"/>
      <c r="T501" s="6"/>
      <c r="U501" s="6"/>
      <c r="V501" s="6"/>
    </row>
    <row r="502">
      <c r="A502" s="6"/>
      <c r="B502" s="6"/>
      <c r="C502" s="74"/>
      <c r="D502" s="71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72"/>
      <c r="R502" s="6"/>
      <c r="S502" s="6"/>
      <c r="T502" s="6"/>
      <c r="U502" s="6"/>
      <c r="V502" s="6"/>
    </row>
    <row r="503">
      <c r="A503" s="6"/>
      <c r="B503" s="6"/>
      <c r="C503" s="74"/>
      <c r="D503" s="71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72"/>
      <c r="R503" s="6"/>
      <c r="S503" s="6"/>
      <c r="T503" s="6"/>
      <c r="U503" s="6"/>
      <c r="V503" s="6"/>
    </row>
    <row r="504">
      <c r="A504" s="6"/>
      <c r="B504" s="6"/>
      <c r="C504" s="74"/>
      <c r="D504" s="71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72"/>
      <c r="R504" s="6"/>
      <c r="S504" s="6"/>
      <c r="T504" s="6"/>
      <c r="U504" s="6"/>
      <c r="V504" s="6"/>
    </row>
    <row r="505">
      <c r="A505" s="6"/>
      <c r="B505" s="6"/>
      <c r="C505" s="74"/>
      <c r="D505" s="71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72"/>
      <c r="R505" s="6"/>
      <c r="S505" s="6"/>
      <c r="T505" s="6"/>
      <c r="U505" s="6"/>
      <c r="V505" s="6"/>
    </row>
    <row r="506">
      <c r="A506" s="6"/>
      <c r="B506" s="6"/>
      <c r="C506" s="74"/>
      <c r="D506" s="71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72"/>
      <c r="R506" s="6"/>
      <c r="S506" s="6"/>
      <c r="T506" s="6"/>
      <c r="U506" s="6"/>
      <c r="V506" s="6"/>
    </row>
    <row r="507">
      <c r="A507" s="6"/>
      <c r="B507" s="6"/>
      <c r="C507" s="74"/>
      <c r="D507" s="71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72"/>
      <c r="R507" s="6"/>
      <c r="S507" s="6"/>
      <c r="T507" s="6"/>
      <c r="U507" s="6"/>
      <c r="V507" s="6"/>
    </row>
    <row r="508">
      <c r="A508" s="6"/>
      <c r="B508" s="6"/>
      <c r="C508" s="74"/>
      <c r="D508" s="71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72"/>
      <c r="R508" s="6"/>
      <c r="S508" s="6"/>
      <c r="T508" s="6"/>
      <c r="U508" s="6"/>
      <c r="V508" s="6"/>
    </row>
    <row r="509">
      <c r="A509" s="6"/>
      <c r="B509" s="6"/>
      <c r="C509" s="74"/>
      <c r="D509" s="71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72"/>
      <c r="R509" s="6"/>
      <c r="S509" s="6"/>
      <c r="T509" s="6"/>
      <c r="U509" s="6"/>
      <c r="V509" s="6"/>
    </row>
    <row r="510">
      <c r="A510" s="6"/>
      <c r="B510" s="6"/>
      <c r="C510" s="74"/>
      <c r="D510" s="71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72"/>
      <c r="R510" s="6"/>
      <c r="S510" s="6"/>
      <c r="T510" s="6"/>
      <c r="U510" s="6"/>
      <c r="V510" s="6"/>
    </row>
    <row r="511">
      <c r="A511" s="6"/>
      <c r="B511" s="6"/>
      <c r="C511" s="74"/>
      <c r="D511" s="71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72"/>
      <c r="R511" s="6"/>
      <c r="S511" s="6"/>
      <c r="T511" s="6"/>
      <c r="U511" s="6"/>
      <c r="V511" s="6"/>
    </row>
    <row r="512">
      <c r="A512" s="6"/>
      <c r="B512" s="6"/>
      <c r="C512" s="74"/>
      <c r="D512" s="71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72"/>
      <c r="R512" s="6"/>
      <c r="S512" s="6"/>
      <c r="T512" s="6"/>
      <c r="U512" s="6"/>
      <c r="V512" s="6"/>
    </row>
    <row r="513">
      <c r="A513" s="6"/>
      <c r="B513" s="6"/>
      <c r="C513" s="74"/>
      <c r="D513" s="71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72"/>
      <c r="R513" s="6"/>
      <c r="S513" s="6"/>
      <c r="T513" s="6"/>
      <c r="U513" s="6"/>
      <c r="V513" s="6"/>
    </row>
    <row r="514">
      <c r="A514" s="6"/>
      <c r="B514" s="6"/>
      <c r="C514" s="74"/>
      <c r="D514" s="71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72"/>
      <c r="R514" s="6"/>
      <c r="S514" s="6"/>
      <c r="T514" s="6"/>
      <c r="U514" s="6"/>
      <c r="V514" s="6"/>
    </row>
    <row r="515">
      <c r="A515" s="6"/>
      <c r="B515" s="6"/>
      <c r="C515" s="74"/>
      <c r="D515" s="71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72"/>
      <c r="R515" s="6"/>
      <c r="S515" s="6"/>
      <c r="T515" s="6"/>
      <c r="U515" s="6"/>
      <c r="V515" s="6"/>
    </row>
    <row r="516">
      <c r="A516" s="6"/>
      <c r="B516" s="6"/>
      <c r="C516" s="74"/>
      <c r="D516" s="71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72"/>
      <c r="R516" s="6"/>
      <c r="S516" s="6"/>
      <c r="T516" s="6"/>
      <c r="U516" s="6"/>
      <c r="V516" s="6"/>
    </row>
    <row r="517">
      <c r="A517" s="6"/>
      <c r="B517" s="6"/>
      <c r="C517" s="74"/>
      <c r="D517" s="71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72"/>
      <c r="R517" s="6"/>
      <c r="S517" s="6"/>
      <c r="T517" s="6"/>
      <c r="U517" s="6"/>
      <c r="V517" s="6"/>
    </row>
    <row r="518">
      <c r="A518" s="6"/>
      <c r="B518" s="6"/>
      <c r="C518" s="74"/>
      <c r="D518" s="71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72"/>
      <c r="R518" s="6"/>
      <c r="S518" s="6"/>
      <c r="T518" s="6"/>
      <c r="U518" s="6"/>
      <c r="V518" s="6"/>
    </row>
    <row r="519">
      <c r="A519" s="6"/>
      <c r="B519" s="6"/>
      <c r="C519" s="74"/>
      <c r="D519" s="71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72"/>
      <c r="R519" s="6"/>
      <c r="S519" s="6"/>
      <c r="T519" s="6"/>
      <c r="U519" s="6"/>
      <c r="V519" s="6"/>
    </row>
    <row r="520">
      <c r="A520" s="6"/>
      <c r="B520" s="6"/>
      <c r="C520" s="74"/>
      <c r="D520" s="71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72"/>
      <c r="R520" s="6"/>
      <c r="S520" s="6"/>
      <c r="T520" s="6"/>
      <c r="U520" s="6"/>
      <c r="V520" s="6"/>
    </row>
    <row r="521">
      <c r="A521" s="6"/>
      <c r="B521" s="6"/>
      <c r="C521" s="74"/>
      <c r="D521" s="71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72"/>
      <c r="R521" s="6"/>
      <c r="S521" s="6"/>
      <c r="T521" s="6"/>
      <c r="U521" s="6"/>
      <c r="V521" s="6"/>
    </row>
    <row r="522">
      <c r="A522" s="6"/>
      <c r="B522" s="6"/>
      <c r="C522" s="74"/>
      <c r="D522" s="71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72"/>
      <c r="R522" s="6"/>
      <c r="S522" s="6"/>
      <c r="T522" s="6"/>
      <c r="U522" s="6"/>
      <c r="V522" s="6"/>
    </row>
    <row r="523">
      <c r="A523" s="6"/>
      <c r="B523" s="6"/>
      <c r="C523" s="74"/>
      <c r="D523" s="71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72"/>
      <c r="R523" s="6"/>
      <c r="S523" s="6"/>
      <c r="T523" s="6"/>
      <c r="U523" s="6"/>
      <c r="V523" s="6"/>
    </row>
    <row r="524">
      <c r="A524" s="6"/>
      <c r="B524" s="6"/>
      <c r="C524" s="74"/>
      <c r="D524" s="71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72"/>
      <c r="R524" s="6"/>
      <c r="S524" s="6"/>
      <c r="T524" s="6"/>
      <c r="U524" s="6"/>
      <c r="V524" s="6"/>
    </row>
    <row r="525">
      <c r="A525" s="6"/>
      <c r="B525" s="6"/>
      <c r="C525" s="74"/>
      <c r="D525" s="71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72"/>
      <c r="R525" s="6"/>
      <c r="S525" s="6"/>
      <c r="T525" s="6"/>
      <c r="U525" s="6"/>
      <c r="V525" s="6"/>
    </row>
    <row r="526">
      <c r="A526" s="6"/>
      <c r="B526" s="6"/>
      <c r="C526" s="74"/>
      <c r="D526" s="71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72"/>
      <c r="R526" s="6"/>
      <c r="S526" s="6"/>
      <c r="T526" s="6"/>
      <c r="U526" s="6"/>
      <c r="V526" s="6"/>
    </row>
    <row r="527">
      <c r="A527" s="6"/>
      <c r="B527" s="6"/>
      <c r="C527" s="74"/>
      <c r="D527" s="71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72"/>
      <c r="R527" s="6"/>
      <c r="S527" s="6"/>
      <c r="T527" s="6"/>
      <c r="U527" s="6"/>
      <c r="V527" s="6"/>
    </row>
    <row r="528">
      <c r="A528" s="6"/>
      <c r="B528" s="6"/>
      <c r="C528" s="74"/>
      <c r="D528" s="71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72"/>
      <c r="R528" s="6"/>
      <c r="S528" s="6"/>
      <c r="T528" s="6"/>
      <c r="U528" s="6"/>
      <c r="V528" s="6"/>
    </row>
    <row r="529">
      <c r="A529" s="6"/>
      <c r="B529" s="6"/>
      <c r="C529" s="74"/>
      <c r="D529" s="71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72"/>
      <c r="R529" s="6"/>
      <c r="S529" s="6"/>
      <c r="T529" s="6"/>
      <c r="U529" s="6"/>
      <c r="V529" s="6"/>
    </row>
    <row r="530">
      <c r="A530" s="6"/>
      <c r="B530" s="6"/>
      <c r="C530" s="74"/>
      <c r="D530" s="71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72"/>
      <c r="R530" s="6"/>
      <c r="S530" s="6"/>
      <c r="T530" s="6"/>
      <c r="U530" s="6"/>
      <c r="V530" s="6"/>
    </row>
    <row r="531">
      <c r="A531" s="6"/>
      <c r="B531" s="6"/>
      <c r="C531" s="74"/>
      <c r="D531" s="71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72"/>
      <c r="R531" s="6"/>
      <c r="S531" s="6"/>
      <c r="T531" s="6"/>
      <c r="U531" s="6"/>
      <c r="V531" s="6"/>
    </row>
    <row r="532">
      <c r="A532" s="6"/>
      <c r="B532" s="6"/>
      <c r="C532" s="74"/>
      <c r="D532" s="71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72"/>
      <c r="R532" s="6"/>
      <c r="S532" s="6"/>
      <c r="T532" s="6"/>
      <c r="U532" s="6"/>
      <c r="V532" s="6"/>
    </row>
    <row r="533">
      <c r="A533" s="6"/>
      <c r="B533" s="6"/>
      <c r="C533" s="74"/>
      <c r="D533" s="71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72"/>
      <c r="R533" s="6"/>
      <c r="S533" s="6"/>
      <c r="T533" s="6"/>
      <c r="U533" s="6"/>
      <c r="V533" s="6"/>
    </row>
    <row r="534">
      <c r="A534" s="6"/>
      <c r="B534" s="6"/>
      <c r="C534" s="74"/>
      <c r="D534" s="71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72"/>
      <c r="R534" s="6"/>
      <c r="S534" s="6"/>
      <c r="T534" s="6"/>
      <c r="U534" s="6"/>
      <c r="V534" s="6"/>
    </row>
    <row r="535">
      <c r="A535" s="6"/>
      <c r="B535" s="6"/>
      <c r="C535" s="74"/>
      <c r="D535" s="71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72"/>
      <c r="R535" s="6"/>
      <c r="S535" s="6"/>
      <c r="T535" s="6"/>
      <c r="U535" s="6"/>
      <c r="V535" s="6"/>
    </row>
    <row r="536">
      <c r="A536" s="6"/>
      <c r="B536" s="6"/>
      <c r="C536" s="74"/>
      <c r="D536" s="71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72"/>
      <c r="R536" s="6"/>
      <c r="S536" s="6"/>
      <c r="T536" s="6"/>
      <c r="U536" s="6"/>
      <c r="V536" s="6"/>
    </row>
    <row r="537">
      <c r="A537" s="6"/>
      <c r="B537" s="6"/>
      <c r="C537" s="74"/>
      <c r="D537" s="71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72"/>
      <c r="R537" s="6"/>
      <c r="S537" s="6"/>
      <c r="T537" s="6"/>
      <c r="U537" s="6"/>
      <c r="V537" s="6"/>
    </row>
    <row r="538">
      <c r="A538" s="6"/>
      <c r="B538" s="6"/>
      <c r="C538" s="74"/>
      <c r="D538" s="71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72"/>
      <c r="R538" s="6"/>
      <c r="S538" s="6"/>
      <c r="T538" s="6"/>
      <c r="U538" s="6"/>
      <c r="V538" s="6"/>
    </row>
    <row r="539">
      <c r="A539" s="6"/>
      <c r="B539" s="6"/>
      <c r="C539" s="74"/>
      <c r="D539" s="71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72"/>
      <c r="R539" s="6"/>
      <c r="S539" s="6"/>
      <c r="T539" s="6"/>
      <c r="U539" s="6"/>
      <c r="V539" s="6"/>
    </row>
    <row r="540">
      <c r="A540" s="6"/>
      <c r="B540" s="6"/>
      <c r="C540" s="74"/>
      <c r="D540" s="71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72"/>
      <c r="R540" s="6"/>
      <c r="S540" s="6"/>
      <c r="T540" s="6"/>
      <c r="U540" s="6"/>
      <c r="V540" s="6"/>
    </row>
    <row r="541">
      <c r="A541" s="6"/>
      <c r="B541" s="6"/>
      <c r="C541" s="74"/>
      <c r="D541" s="71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72"/>
      <c r="R541" s="6"/>
      <c r="S541" s="6"/>
      <c r="T541" s="6"/>
      <c r="U541" s="6"/>
      <c r="V541" s="6"/>
    </row>
    <row r="542">
      <c r="A542" s="6"/>
      <c r="B542" s="6"/>
      <c r="C542" s="74"/>
      <c r="D542" s="71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72"/>
      <c r="R542" s="6"/>
      <c r="S542" s="6"/>
      <c r="T542" s="6"/>
      <c r="U542" s="6"/>
      <c r="V542" s="6"/>
    </row>
    <row r="543">
      <c r="A543" s="6"/>
      <c r="B543" s="6"/>
      <c r="C543" s="74"/>
      <c r="D543" s="71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72"/>
      <c r="R543" s="6"/>
      <c r="S543" s="6"/>
      <c r="T543" s="6"/>
      <c r="U543" s="6"/>
      <c r="V543" s="6"/>
    </row>
    <row r="544">
      <c r="A544" s="6"/>
      <c r="B544" s="6"/>
      <c r="C544" s="74"/>
      <c r="D544" s="71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72"/>
      <c r="R544" s="6"/>
      <c r="S544" s="6"/>
      <c r="T544" s="6"/>
      <c r="U544" s="6"/>
      <c r="V544" s="6"/>
    </row>
    <row r="545">
      <c r="A545" s="6"/>
      <c r="B545" s="6"/>
      <c r="C545" s="74"/>
      <c r="D545" s="71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72"/>
      <c r="R545" s="6"/>
      <c r="S545" s="6"/>
      <c r="T545" s="6"/>
      <c r="U545" s="6"/>
      <c r="V545" s="6"/>
    </row>
    <row r="546">
      <c r="A546" s="6"/>
      <c r="B546" s="6"/>
      <c r="C546" s="74"/>
      <c r="D546" s="71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72"/>
      <c r="R546" s="6"/>
      <c r="S546" s="6"/>
      <c r="T546" s="6"/>
      <c r="U546" s="6"/>
      <c r="V546" s="6"/>
    </row>
    <row r="547">
      <c r="A547" s="6"/>
      <c r="B547" s="6"/>
      <c r="C547" s="74"/>
      <c r="D547" s="7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72"/>
      <c r="R547" s="6"/>
      <c r="S547" s="6"/>
      <c r="T547" s="6"/>
      <c r="U547" s="6"/>
      <c r="V547" s="6"/>
    </row>
    <row r="548">
      <c r="A548" s="6"/>
      <c r="B548" s="6"/>
      <c r="C548" s="74"/>
      <c r="D548" s="71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72"/>
      <c r="R548" s="6"/>
      <c r="S548" s="6"/>
      <c r="T548" s="6"/>
      <c r="U548" s="6"/>
      <c r="V548" s="6"/>
    </row>
    <row r="549">
      <c r="A549" s="6"/>
      <c r="B549" s="6"/>
      <c r="C549" s="74"/>
      <c r="D549" s="71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72"/>
      <c r="R549" s="6"/>
      <c r="S549" s="6"/>
      <c r="T549" s="6"/>
      <c r="U549" s="6"/>
      <c r="V549" s="6"/>
    </row>
    <row r="550">
      <c r="A550" s="6"/>
      <c r="B550" s="6"/>
      <c r="C550" s="74"/>
      <c r="D550" s="71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72"/>
      <c r="R550" s="6"/>
      <c r="S550" s="6"/>
      <c r="T550" s="6"/>
      <c r="U550" s="6"/>
      <c r="V550" s="6"/>
    </row>
    <row r="551">
      <c r="A551" s="6"/>
      <c r="B551" s="6"/>
      <c r="C551" s="74"/>
      <c r="D551" s="71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72"/>
      <c r="R551" s="6"/>
      <c r="S551" s="6"/>
      <c r="T551" s="6"/>
      <c r="U551" s="6"/>
      <c r="V551" s="6"/>
    </row>
    <row r="552">
      <c r="A552" s="6"/>
      <c r="B552" s="6"/>
      <c r="C552" s="74"/>
      <c r="D552" s="71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72"/>
      <c r="R552" s="6"/>
      <c r="S552" s="6"/>
      <c r="T552" s="6"/>
      <c r="U552" s="6"/>
      <c r="V552" s="6"/>
    </row>
    <row r="553">
      <c r="A553" s="6"/>
      <c r="B553" s="6"/>
      <c r="C553" s="74"/>
      <c r="D553" s="71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72"/>
      <c r="R553" s="6"/>
      <c r="S553" s="6"/>
      <c r="T553" s="6"/>
      <c r="U553" s="6"/>
      <c r="V553" s="6"/>
    </row>
    <row r="554">
      <c r="A554" s="6"/>
      <c r="B554" s="6"/>
      <c r="C554" s="74"/>
      <c r="D554" s="71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72"/>
      <c r="R554" s="6"/>
      <c r="S554" s="6"/>
      <c r="T554" s="6"/>
      <c r="U554" s="6"/>
      <c r="V554" s="6"/>
    </row>
    <row r="555">
      <c r="A555" s="6"/>
      <c r="B555" s="6"/>
      <c r="C555" s="74"/>
      <c r="D555" s="71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72"/>
      <c r="R555" s="6"/>
      <c r="S555" s="6"/>
      <c r="T555" s="6"/>
      <c r="U555" s="6"/>
      <c r="V555" s="6"/>
    </row>
    <row r="556">
      <c r="A556" s="6"/>
      <c r="B556" s="6"/>
      <c r="C556" s="74"/>
      <c r="D556" s="71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72"/>
      <c r="R556" s="6"/>
      <c r="S556" s="6"/>
      <c r="T556" s="6"/>
      <c r="U556" s="6"/>
      <c r="V556" s="6"/>
    </row>
    <row r="557">
      <c r="A557" s="6"/>
      <c r="B557" s="6"/>
      <c r="C557" s="74"/>
      <c r="D557" s="71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72"/>
      <c r="R557" s="6"/>
      <c r="S557" s="6"/>
      <c r="T557" s="6"/>
      <c r="U557" s="6"/>
      <c r="V557" s="6"/>
    </row>
    <row r="558">
      <c r="A558" s="6"/>
      <c r="B558" s="6"/>
      <c r="C558" s="74"/>
      <c r="D558" s="71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72"/>
      <c r="R558" s="6"/>
      <c r="S558" s="6"/>
      <c r="T558" s="6"/>
      <c r="U558" s="6"/>
      <c r="V558" s="6"/>
    </row>
    <row r="559">
      <c r="A559" s="6"/>
      <c r="B559" s="6"/>
      <c r="C559" s="74"/>
      <c r="D559" s="71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72"/>
      <c r="R559" s="6"/>
      <c r="S559" s="6"/>
      <c r="T559" s="6"/>
      <c r="U559" s="6"/>
      <c r="V559" s="6"/>
    </row>
    <row r="560">
      <c r="A560" s="6"/>
      <c r="B560" s="6"/>
      <c r="C560" s="74"/>
      <c r="D560" s="71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72"/>
      <c r="R560" s="6"/>
      <c r="S560" s="6"/>
      <c r="T560" s="6"/>
      <c r="U560" s="6"/>
      <c r="V560" s="6"/>
    </row>
    <row r="561">
      <c r="A561" s="6"/>
      <c r="B561" s="6"/>
      <c r="C561" s="74"/>
      <c r="D561" s="71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72"/>
      <c r="R561" s="6"/>
      <c r="S561" s="6"/>
      <c r="T561" s="6"/>
      <c r="U561" s="6"/>
      <c r="V561" s="6"/>
    </row>
    <row r="562">
      <c r="A562" s="6"/>
      <c r="B562" s="6"/>
      <c r="C562" s="74"/>
      <c r="D562" s="71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72"/>
      <c r="R562" s="6"/>
      <c r="S562" s="6"/>
      <c r="T562" s="6"/>
      <c r="U562" s="6"/>
      <c r="V562" s="6"/>
    </row>
    <row r="563">
      <c r="A563" s="6"/>
      <c r="B563" s="6"/>
      <c r="C563" s="74"/>
      <c r="D563" s="71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72"/>
      <c r="R563" s="6"/>
      <c r="S563" s="6"/>
      <c r="T563" s="6"/>
      <c r="U563" s="6"/>
      <c r="V563" s="6"/>
    </row>
    <row r="564">
      <c r="A564" s="6"/>
      <c r="B564" s="6"/>
      <c r="C564" s="74"/>
      <c r="D564" s="71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72"/>
      <c r="R564" s="6"/>
      <c r="S564" s="6"/>
      <c r="T564" s="6"/>
      <c r="U564" s="6"/>
      <c r="V564" s="6"/>
    </row>
    <row r="565">
      <c r="A565" s="6"/>
      <c r="B565" s="6"/>
      <c r="C565" s="74"/>
      <c r="D565" s="71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72"/>
      <c r="R565" s="6"/>
      <c r="S565" s="6"/>
      <c r="T565" s="6"/>
      <c r="U565" s="6"/>
      <c r="V565" s="6"/>
    </row>
    <row r="566">
      <c r="A566" s="6"/>
      <c r="B566" s="6"/>
      <c r="C566" s="74"/>
      <c r="D566" s="71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72"/>
      <c r="R566" s="6"/>
      <c r="S566" s="6"/>
      <c r="T566" s="6"/>
      <c r="U566" s="6"/>
      <c r="V566" s="6"/>
    </row>
    <row r="567">
      <c r="A567" s="6"/>
      <c r="B567" s="6"/>
      <c r="C567" s="74"/>
      <c r="D567" s="71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72"/>
      <c r="R567" s="6"/>
      <c r="S567" s="6"/>
      <c r="T567" s="6"/>
      <c r="U567" s="6"/>
      <c r="V567" s="6"/>
    </row>
    <row r="568">
      <c r="A568" s="6"/>
      <c r="B568" s="6"/>
      <c r="C568" s="74"/>
      <c r="D568" s="71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72"/>
      <c r="R568" s="6"/>
      <c r="S568" s="6"/>
      <c r="T568" s="6"/>
      <c r="U568" s="6"/>
      <c r="V568" s="6"/>
    </row>
    <row r="569">
      <c r="A569" s="6"/>
      <c r="B569" s="6"/>
      <c r="C569" s="74"/>
      <c r="D569" s="71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72"/>
      <c r="R569" s="6"/>
      <c r="S569" s="6"/>
      <c r="T569" s="6"/>
      <c r="U569" s="6"/>
      <c r="V569" s="6"/>
    </row>
    <row r="570">
      <c r="A570" s="6"/>
      <c r="B570" s="6"/>
      <c r="C570" s="74"/>
      <c r="D570" s="71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72"/>
      <c r="R570" s="6"/>
      <c r="S570" s="6"/>
      <c r="T570" s="6"/>
      <c r="U570" s="6"/>
      <c r="V570" s="6"/>
    </row>
    <row r="571">
      <c r="A571" s="6"/>
      <c r="B571" s="6"/>
      <c r="C571" s="74"/>
      <c r="D571" s="71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72"/>
      <c r="R571" s="6"/>
      <c r="S571" s="6"/>
      <c r="T571" s="6"/>
      <c r="U571" s="6"/>
      <c r="V571" s="6"/>
    </row>
    <row r="572">
      <c r="A572" s="6"/>
      <c r="B572" s="6"/>
      <c r="C572" s="74"/>
      <c r="D572" s="71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72"/>
      <c r="R572" s="6"/>
      <c r="S572" s="6"/>
      <c r="T572" s="6"/>
      <c r="U572" s="6"/>
      <c r="V572" s="6"/>
    </row>
    <row r="573">
      <c r="A573" s="6"/>
      <c r="B573" s="6"/>
      <c r="C573" s="74"/>
      <c r="D573" s="71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72"/>
      <c r="R573" s="6"/>
      <c r="S573" s="6"/>
      <c r="T573" s="6"/>
      <c r="U573" s="6"/>
      <c r="V573" s="6"/>
    </row>
    <row r="574">
      <c r="A574" s="6"/>
      <c r="B574" s="6"/>
      <c r="C574" s="74"/>
      <c r="D574" s="71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72"/>
      <c r="R574" s="6"/>
      <c r="S574" s="6"/>
      <c r="T574" s="6"/>
      <c r="U574" s="6"/>
      <c r="V574" s="6"/>
    </row>
    <row r="575">
      <c r="A575" s="6"/>
      <c r="B575" s="6"/>
      <c r="C575" s="74"/>
      <c r="D575" s="71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72"/>
      <c r="R575" s="6"/>
      <c r="S575" s="6"/>
      <c r="T575" s="6"/>
      <c r="U575" s="6"/>
      <c r="V575" s="6"/>
    </row>
    <row r="576">
      <c r="A576" s="6"/>
      <c r="B576" s="6"/>
      <c r="C576" s="74"/>
      <c r="D576" s="71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72"/>
      <c r="R576" s="6"/>
      <c r="S576" s="6"/>
      <c r="T576" s="6"/>
      <c r="U576" s="6"/>
      <c r="V576" s="6"/>
    </row>
    <row r="577">
      <c r="A577" s="6"/>
      <c r="B577" s="6"/>
      <c r="C577" s="74"/>
      <c r="D577" s="71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72"/>
      <c r="R577" s="6"/>
      <c r="S577" s="6"/>
      <c r="T577" s="6"/>
      <c r="U577" s="6"/>
      <c r="V577" s="6"/>
    </row>
    <row r="578">
      <c r="A578" s="6"/>
      <c r="B578" s="6"/>
      <c r="C578" s="74"/>
      <c r="D578" s="71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72"/>
      <c r="R578" s="6"/>
      <c r="S578" s="6"/>
      <c r="T578" s="6"/>
      <c r="U578" s="6"/>
      <c r="V578" s="6"/>
    </row>
    <row r="579">
      <c r="A579" s="6"/>
      <c r="B579" s="6"/>
      <c r="C579" s="74"/>
      <c r="D579" s="71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72"/>
      <c r="R579" s="6"/>
      <c r="S579" s="6"/>
      <c r="T579" s="6"/>
      <c r="U579" s="6"/>
      <c r="V579" s="6"/>
    </row>
    <row r="580">
      <c r="A580" s="6"/>
      <c r="B580" s="6"/>
      <c r="C580" s="74"/>
      <c r="D580" s="71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72"/>
      <c r="R580" s="6"/>
      <c r="S580" s="6"/>
      <c r="T580" s="6"/>
      <c r="U580" s="6"/>
      <c r="V580" s="6"/>
    </row>
    <row r="581">
      <c r="A581" s="6"/>
      <c r="B581" s="6"/>
      <c r="C581" s="74"/>
      <c r="D581" s="71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72"/>
      <c r="R581" s="6"/>
      <c r="S581" s="6"/>
      <c r="T581" s="6"/>
      <c r="U581" s="6"/>
      <c r="V581" s="6"/>
    </row>
    <row r="582">
      <c r="A582" s="6"/>
      <c r="B582" s="6"/>
      <c r="C582" s="74"/>
      <c r="D582" s="71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72"/>
      <c r="R582" s="6"/>
      <c r="S582" s="6"/>
      <c r="T582" s="6"/>
      <c r="U582" s="6"/>
      <c r="V582" s="6"/>
    </row>
    <row r="583">
      <c r="A583" s="6"/>
      <c r="B583" s="6"/>
      <c r="C583" s="74"/>
      <c r="D583" s="71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72"/>
      <c r="R583" s="6"/>
      <c r="S583" s="6"/>
      <c r="T583" s="6"/>
      <c r="U583" s="6"/>
      <c r="V583" s="6"/>
    </row>
    <row r="584">
      <c r="A584" s="6"/>
      <c r="B584" s="6"/>
      <c r="C584" s="74"/>
      <c r="D584" s="71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72"/>
      <c r="R584" s="6"/>
      <c r="S584" s="6"/>
      <c r="T584" s="6"/>
      <c r="U584" s="6"/>
      <c r="V584" s="6"/>
    </row>
    <row r="585">
      <c r="A585" s="6"/>
      <c r="B585" s="6"/>
      <c r="C585" s="74"/>
      <c r="D585" s="71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72"/>
      <c r="R585" s="6"/>
      <c r="S585" s="6"/>
      <c r="T585" s="6"/>
      <c r="U585" s="6"/>
      <c r="V585" s="6"/>
    </row>
    <row r="586">
      <c r="A586" s="6"/>
      <c r="B586" s="6"/>
      <c r="C586" s="74"/>
      <c r="D586" s="71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72"/>
      <c r="R586" s="6"/>
      <c r="S586" s="6"/>
      <c r="T586" s="6"/>
      <c r="U586" s="6"/>
      <c r="V586" s="6"/>
    </row>
    <row r="587">
      <c r="A587" s="6"/>
      <c r="B587" s="6"/>
      <c r="C587" s="74"/>
      <c r="D587" s="71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72"/>
      <c r="R587" s="6"/>
      <c r="S587" s="6"/>
      <c r="T587" s="6"/>
      <c r="U587" s="6"/>
      <c r="V587" s="6"/>
    </row>
    <row r="588">
      <c r="A588" s="6"/>
      <c r="B588" s="6"/>
      <c r="C588" s="74"/>
      <c r="D588" s="71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72"/>
      <c r="R588" s="6"/>
      <c r="S588" s="6"/>
      <c r="T588" s="6"/>
      <c r="U588" s="6"/>
      <c r="V588" s="6"/>
    </row>
    <row r="589">
      <c r="A589" s="6"/>
      <c r="B589" s="6"/>
      <c r="C589" s="74"/>
      <c r="D589" s="71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72"/>
      <c r="R589" s="6"/>
      <c r="S589" s="6"/>
      <c r="T589" s="6"/>
      <c r="U589" s="6"/>
      <c r="V589" s="6"/>
    </row>
    <row r="590">
      <c r="A590" s="6"/>
      <c r="B590" s="6"/>
      <c r="C590" s="74"/>
      <c r="D590" s="71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72"/>
      <c r="R590" s="6"/>
      <c r="S590" s="6"/>
      <c r="T590" s="6"/>
      <c r="U590" s="6"/>
      <c r="V590" s="6"/>
    </row>
    <row r="591">
      <c r="A591" s="6"/>
      <c r="B591" s="6"/>
      <c r="C591" s="74"/>
      <c r="D591" s="71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72"/>
      <c r="R591" s="6"/>
      <c r="S591" s="6"/>
      <c r="T591" s="6"/>
      <c r="U591" s="6"/>
      <c r="V591" s="6"/>
    </row>
    <row r="592">
      <c r="A592" s="6"/>
      <c r="B592" s="6"/>
      <c r="C592" s="74"/>
      <c r="D592" s="71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72"/>
      <c r="R592" s="6"/>
      <c r="S592" s="6"/>
      <c r="T592" s="6"/>
      <c r="U592" s="6"/>
      <c r="V592" s="6"/>
    </row>
    <row r="593">
      <c r="A593" s="6"/>
      <c r="B593" s="6"/>
      <c r="C593" s="74"/>
      <c r="D593" s="71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72"/>
      <c r="R593" s="6"/>
      <c r="S593" s="6"/>
      <c r="T593" s="6"/>
      <c r="U593" s="6"/>
      <c r="V593" s="6"/>
    </row>
    <row r="594">
      <c r="A594" s="6"/>
      <c r="B594" s="6"/>
      <c r="C594" s="74"/>
      <c r="D594" s="71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72"/>
      <c r="R594" s="6"/>
      <c r="S594" s="6"/>
      <c r="T594" s="6"/>
      <c r="U594" s="6"/>
      <c r="V594" s="6"/>
    </row>
    <row r="595">
      <c r="A595" s="6"/>
      <c r="B595" s="6"/>
      <c r="C595" s="74"/>
      <c r="D595" s="71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72"/>
      <c r="R595" s="6"/>
      <c r="S595" s="6"/>
      <c r="T595" s="6"/>
      <c r="U595" s="6"/>
      <c r="V595" s="6"/>
    </row>
    <row r="596">
      <c r="A596" s="6"/>
      <c r="B596" s="6"/>
      <c r="C596" s="74"/>
      <c r="D596" s="71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72"/>
      <c r="R596" s="6"/>
      <c r="S596" s="6"/>
      <c r="T596" s="6"/>
      <c r="U596" s="6"/>
      <c r="V596" s="6"/>
    </row>
    <row r="597">
      <c r="A597" s="6"/>
      <c r="B597" s="6"/>
      <c r="C597" s="74"/>
      <c r="D597" s="71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72"/>
      <c r="R597" s="6"/>
      <c r="S597" s="6"/>
      <c r="T597" s="6"/>
      <c r="U597" s="6"/>
      <c r="V597" s="6"/>
    </row>
    <row r="598">
      <c r="A598" s="6"/>
      <c r="B598" s="6"/>
      <c r="C598" s="74"/>
      <c r="D598" s="71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72"/>
      <c r="R598" s="6"/>
      <c r="S598" s="6"/>
      <c r="T598" s="6"/>
      <c r="U598" s="6"/>
      <c r="V598" s="6"/>
    </row>
    <row r="599">
      <c r="A599" s="6"/>
      <c r="B599" s="6"/>
      <c r="C599" s="74"/>
      <c r="D599" s="71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72"/>
      <c r="R599" s="6"/>
      <c r="S599" s="6"/>
      <c r="T599" s="6"/>
      <c r="U599" s="6"/>
      <c r="V599" s="6"/>
    </row>
    <row r="600">
      <c r="A600" s="6"/>
      <c r="B600" s="6"/>
      <c r="C600" s="74"/>
      <c r="D600" s="71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72"/>
      <c r="R600" s="6"/>
      <c r="S600" s="6"/>
      <c r="T600" s="6"/>
      <c r="U600" s="6"/>
      <c r="V600" s="6"/>
    </row>
    <row r="601">
      <c r="A601" s="6"/>
      <c r="B601" s="6"/>
      <c r="C601" s="74"/>
      <c r="D601" s="71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72"/>
      <c r="R601" s="6"/>
      <c r="S601" s="6"/>
      <c r="T601" s="6"/>
      <c r="U601" s="6"/>
      <c r="V601" s="6"/>
    </row>
    <row r="602">
      <c r="A602" s="6"/>
      <c r="B602" s="6"/>
      <c r="C602" s="74"/>
      <c r="D602" s="71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72"/>
      <c r="R602" s="6"/>
      <c r="S602" s="6"/>
      <c r="T602" s="6"/>
      <c r="U602" s="6"/>
      <c r="V602" s="6"/>
    </row>
    <row r="603">
      <c r="A603" s="6"/>
      <c r="B603" s="6"/>
      <c r="C603" s="74"/>
      <c r="D603" s="71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72"/>
      <c r="R603" s="6"/>
      <c r="S603" s="6"/>
      <c r="T603" s="6"/>
      <c r="U603" s="6"/>
      <c r="V603" s="6"/>
    </row>
    <row r="604">
      <c r="A604" s="6"/>
      <c r="B604" s="6"/>
      <c r="C604" s="74"/>
      <c r="D604" s="71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72"/>
      <c r="R604" s="6"/>
      <c r="S604" s="6"/>
      <c r="T604" s="6"/>
      <c r="U604" s="6"/>
      <c r="V604" s="6"/>
    </row>
    <row r="605">
      <c r="A605" s="6"/>
      <c r="B605" s="6"/>
      <c r="C605" s="74"/>
      <c r="D605" s="71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72"/>
      <c r="R605" s="6"/>
      <c r="S605" s="6"/>
      <c r="T605" s="6"/>
      <c r="U605" s="6"/>
      <c r="V605" s="6"/>
    </row>
    <row r="606">
      <c r="A606" s="6"/>
      <c r="B606" s="6"/>
      <c r="C606" s="74"/>
      <c r="D606" s="71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72"/>
      <c r="R606" s="6"/>
      <c r="S606" s="6"/>
      <c r="T606" s="6"/>
      <c r="U606" s="6"/>
      <c r="V606" s="6"/>
    </row>
    <row r="607">
      <c r="A607" s="6"/>
      <c r="B607" s="6"/>
      <c r="C607" s="74"/>
      <c r="D607" s="7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72"/>
      <c r="R607" s="6"/>
      <c r="S607" s="6"/>
      <c r="T607" s="6"/>
      <c r="U607" s="6"/>
      <c r="V607" s="6"/>
    </row>
    <row r="608">
      <c r="A608" s="6"/>
      <c r="B608" s="6"/>
      <c r="C608" s="74"/>
      <c r="D608" s="71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72"/>
      <c r="R608" s="6"/>
      <c r="S608" s="6"/>
      <c r="T608" s="6"/>
      <c r="U608" s="6"/>
      <c r="V608" s="6"/>
    </row>
    <row r="609">
      <c r="A609" s="6"/>
      <c r="B609" s="6"/>
      <c r="C609" s="74"/>
      <c r="D609" s="71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72"/>
      <c r="R609" s="6"/>
      <c r="S609" s="6"/>
      <c r="T609" s="6"/>
      <c r="U609" s="6"/>
      <c r="V609" s="6"/>
    </row>
    <row r="610">
      <c r="A610" s="6"/>
      <c r="B610" s="6"/>
      <c r="C610" s="74"/>
      <c r="D610" s="71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72"/>
      <c r="R610" s="6"/>
      <c r="S610" s="6"/>
      <c r="T610" s="6"/>
      <c r="U610" s="6"/>
      <c r="V610" s="6"/>
    </row>
    <row r="611">
      <c r="A611" s="6"/>
      <c r="B611" s="6"/>
      <c r="C611" s="74"/>
      <c r="D611" s="71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72"/>
      <c r="R611" s="6"/>
      <c r="S611" s="6"/>
      <c r="T611" s="6"/>
      <c r="U611" s="6"/>
      <c r="V611" s="6"/>
    </row>
    <row r="612">
      <c r="A612" s="6"/>
      <c r="B612" s="6"/>
      <c r="C612" s="74"/>
      <c r="D612" s="71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72"/>
      <c r="R612" s="6"/>
      <c r="S612" s="6"/>
      <c r="T612" s="6"/>
      <c r="U612" s="6"/>
      <c r="V612" s="6"/>
    </row>
    <row r="613">
      <c r="A613" s="6"/>
      <c r="B613" s="6"/>
      <c r="C613" s="74"/>
      <c r="D613" s="71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72"/>
      <c r="R613" s="6"/>
      <c r="S613" s="6"/>
      <c r="T613" s="6"/>
      <c r="U613" s="6"/>
      <c r="V613" s="6"/>
    </row>
    <row r="614">
      <c r="A614" s="6"/>
      <c r="B614" s="6"/>
      <c r="C614" s="74"/>
      <c r="D614" s="71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72"/>
      <c r="R614" s="6"/>
      <c r="S614" s="6"/>
      <c r="T614" s="6"/>
      <c r="U614" s="6"/>
      <c r="V614" s="6"/>
    </row>
    <row r="615">
      <c r="A615" s="6"/>
      <c r="B615" s="6"/>
      <c r="C615" s="74"/>
      <c r="D615" s="71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72"/>
      <c r="R615" s="6"/>
      <c r="S615" s="6"/>
      <c r="T615" s="6"/>
      <c r="U615" s="6"/>
      <c r="V615" s="6"/>
    </row>
    <row r="616">
      <c r="A616" s="6"/>
      <c r="B616" s="6"/>
      <c r="C616" s="74"/>
      <c r="D616" s="71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72"/>
      <c r="R616" s="6"/>
      <c r="S616" s="6"/>
      <c r="T616" s="6"/>
      <c r="U616" s="6"/>
      <c r="V616" s="6"/>
    </row>
    <row r="617">
      <c r="A617" s="6"/>
      <c r="B617" s="6"/>
      <c r="C617" s="74"/>
      <c r="D617" s="71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72"/>
      <c r="R617" s="6"/>
      <c r="S617" s="6"/>
      <c r="T617" s="6"/>
      <c r="U617" s="6"/>
      <c r="V617" s="6"/>
    </row>
    <row r="618">
      <c r="A618" s="6"/>
      <c r="B618" s="6"/>
      <c r="C618" s="74"/>
      <c r="D618" s="71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72"/>
      <c r="R618" s="6"/>
      <c r="S618" s="6"/>
      <c r="T618" s="6"/>
      <c r="U618" s="6"/>
      <c r="V618" s="6"/>
    </row>
    <row r="619">
      <c r="A619" s="6"/>
      <c r="B619" s="6"/>
      <c r="C619" s="74"/>
      <c r="D619" s="71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72"/>
      <c r="R619" s="6"/>
      <c r="S619" s="6"/>
      <c r="T619" s="6"/>
      <c r="U619" s="6"/>
      <c r="V619" s="6"/>
    </row>
    <row r="620">
      <c r="A620" s="6"/>
      <c r="B620" s="6"/>
      <c r="C620" s="74"/>
      <c r="D620" s="71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72"/>
      <c r="R620" s="6"/>
      <c r="S620" s="6"/>
      <c r="T620" s="6"/>
      <c r="U620" s="6"/>
      <c r="V620" s="6"/>
    </row>
    <row r="621">
      <c r="A621" s="6"/>
      <c r="B621" s="6"/>
      <c r="C621" s="74"/>
      <c r="D621" s="71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72"/>
      <c r="R621" s="6"/>
      <c r="S621" s="6"/>
      <c r="T621" s="6"/>
      <c r="U621" s="6"/>
      <c r="V621" s="6"/>
    </row>
    <row r="622">
      <c r="A622" s="6"/>
      <c r="B622" s="6"/>
      <c r="C622" s="74"/>
      <c r="D622" s="71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72"/>
      <c r="R622" s="6"/>
      <c r="S622" s="6"/>
      <c r="T622" s="6"/>
      <c r="U622" s="6"/>
      <c r="V622" s="6"/>
    </row>
    <row r="623">
      <c r="A623" s="6"/>
      <c r="B623" s="6"/>
      <c r="C623" s="74"/>
      <c r="D623" s="71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72"/>
      <c r="R623" s="6"/>
      <c r="S623" s="6"/>
      <c r="T623" s="6"/>
      <c r="U623" s="6"/>
      <c r="V623" s="6"/>
    </row>
    <row r="624">
      <c r="A624" s="6"/>
      <c r="B624" s="6"/>
      <c r="C624" s="74"/>
      <c r="D624" s="71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72"/>
      <c r="R624" s="6"/>
      <c r="S624" s="6"/>
      <c r="T624" s="6"/>
      <c r="U624" s="6"/>
      <c r="V624" s="6"/>
    </row>
    <row r="625">
      <c r="A625" s="6"/>
      <c r="B625" s="6"/>
      <c r="C625" s="74"/>
      <c r="D625" s="71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72"/>
      <c r="R625" s="6"/>
      <c r="S625" s="6"/>
      <c r="T625" s="6"/>
      <c r="U625" s="6"/>
      <c r="V625" s="6"/>
    </row>
    <row r="626">
      <c r="A626" s="6"/>
      <c r="B626" s="6"/>
      <c r="C626" s="74"/>
      <c r="D626" s="71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72"/>
      <c r="R626" s="6"/>
      <c r="S626" s="6"/>
      <c r="T626" s="6"/>
      <c r="U626" s="6"/>
      <c r="V626" s="6"/>
    </row>
    <row r="627">
      <c r="A627" s="6"/>
      <c r="B627" s="6"/>
      <c r="C627" s="74"/>
      <c r="D627" s="71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72"/>
      <c r="R627" s="6"/>
      <c r="S627" s="6"/>
      <c r="T627" s="6"/>
      <c r="U627" s="6"/>
      <c r="V627" s="6"/>
    </row>
    <row r="628">
      <c r="A628" s="6"/>
      <c r="B628" s="6"/>
      <c r="C628" s="74"/>
      <c r="D628" s="71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72"/>
      <c r="R628" s="6"/>
      <c r="S628" s="6"/>
      <c r="T628" s="6"/>
      <c r="U628" s="6"/>
      <c r="V628" s="6"/>
    </row>
    <row r="629">
      <c r="A629" s="6"/>
      <c r="B629" s="6"/>
      <c r="C629" s="74"/>
      <c r="D629" s="71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72"/>
      <c r="R629" s="6"/>
      <c r="S629" s="6"/>
      <c r="T629" s="6"/>
      <c r="U629" s="6"/>
      <c r="V629" s="6"/>
    </row>
    <row r="630">
      <c r="A630" s="6"/>
      <c r="B630" s="6"/>
      <c r="C630" s="74"/>
      <c r="D630" s="71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72"/>
      <c r="R630" s="6"/>
      <c r="S630" s="6"/>
      <c r="T630" s="6"/>
      <c r="U630" s="6"/>
      <c r="V630" s="6"/>
    </row>
    <row r="631">
      <c r="A631" s="6"/>
      <c r="B631" s="6"/>
      <c r="C631" s="74"/>
      <c r="D631" s="71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72"/>
      <c r="R631" s="6"/>
      <c r="S631" s="6"/>
      <c r="T631" s="6"/>
      <c r="U631" s="6"/>
      <c r="V631" s="6"/>
    </row>
    <row r="632">
      <c r="A632" s="6"/>
      <c r="B632" s="6"/>
      <c r="C632" s="74"/>
      <c r="D632" s="71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72"/>
      <c r="R632" s="6"/>
      <c r="S632" s="6"/>
      <c r="T632" s="6"/>
      <c r="U632" s="6"/>
      <c r="V632" s="6"/>
    </row>
    <row r="633">
      <c r="A633" s="6"/>
      <c r="B633" s="6"/>
      <c r="C633" s="74"/>
      <c r="D633" s="71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72"/>
      <c r="R633" s="6"/>
      <c r="S633" s="6"/>
      <c r="T633" s="6"/>
      <c r="U633" s="6"/>
      <c r="V633" s="6"/>
    </row>
    <row r="634">
      <c r="A634" s="6"/>
      <c r="B634" s="6"/>
      <c r="C634" s="74"/>
      <c r="D634" s="71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72"/>
      <c r="R634" s="6"/>
      <c r="S634" s="6"/>
      <c r="T634" s="6"/>
      <c r="U634" s="6"/>
      <c r="V634" s="6"/>
    </row>
    <row r="635">
      <c r="A635" s="6"/>
      <c r="B635" s="6"/>
      <c r="C635" s="74"/>
      <c r="D635" s="71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72"/>
      <c r="R635" s="6"/>
      <c r="S635" s="6"/>
      <c r="T635" s="6"/>
      <c r="U635" s="6"/>
      <c r="V635" s="6"/>
    </row>
    <row r="636">
      <c r="A636" s="6"/>
      <c r="B636" s="6"/>
      <c r="C636" s="74"/>
      <c r="D636" s="71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72"/>
      <c r="R636" s="6"/>
      <c r="S636" s="6"/>
      <c r="T636" s="6"/>
      <c r="U636" s="6"/>
      <c r="V636" s="6"/>
    </row>
    <row r="637">
      <c r="A637" s="6"/>
      <c r="B637" s="6"/>
      <c r="C637" s="74"/>
      <c r="D637" s="71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72"/>
      <c r="R637" s="6"/>
      <c r="S637" s="6"/>
      <c r="T637" s="6"/>
      <c r="U637" s="6"/>
      <c r="V637" s="6"/>
    </row>
    <row r="638">
      <c r="A638" s="6"/>
      <c r="B638" s="6"/>
      <c r="C638" s="74"/>
      <c r="D638" s="71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72"/>
      <c r="R638" s="6"/>
      <c r="S638" s="6"/>
      <c r="T638" s="6"/>
      <c r="U638" s="6"/>
      <c r="V638" s="6"/>
    </row>
    <row r="639">
      <c r="A639" s="6"/>
      <c r="B639" s="6"/>
      <c r="C639" s="74"/>
      <c r="D639" s="71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72"/>
      <c r="R639" s="6"/>
      <c r="S639" s="6"/>
      <c r="T639" s="6"/>
      <c r="U639" s="6"/>
      <c r="V639" s="6"/>
    </row>
    <row r="640">
      <c r="A640" s="6"/>
      <c r="B640" s="6"/>
      <c r="C640" s="74"/>
      <c r="D640" s="71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72"/>
      <c r="R640" s="6"/>
      <c r="S640" s="6"/>
      <c r="T640" s="6"/>
      <c r="U640" s="6"/>
      <c r="V640" s="6"/>
    </row>
    <row r="641">
      <c r="A641" s="6"/>
      <c r="B641" s="6"/>
      <c r="C641" s="74"/>
      <c r="D641" s="71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72"/>
      <c r="R641" s="6"/>
      <c r="S641" s="6"/>
      <c r="T641" s="6"/>
      <c r="U641" s="6"/>
      <c r="V641" s="6"/>
    </row>
    <row r="642">
      <c r="A642" s="6"/>
      <c r="B642" s="6"/>
      <c r="C642" s="74"/>
      <c r="D642" s="71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72"/>
      <c r="R642" s="6"/>
      <c r="S642" s="6"/>
      <c r="T642" s="6"/>
      <c r="U642" s="6"/>
      <c r="V642" s="6"/>
    </row>
    <row r="643">
      <c r="A643" s="6"/>
      <c r="B643" s="6"/>
      <c r="C643" s="74"/>
      <c r="D643" s="71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72"/>
      <c r="R643" s="6"/>
      <c r="S643" s="6"/>
      <c r="T643" s="6"/>
      <c r="U643" s="6"/>
      <c r="V643" s="6"/>
    </row>
    <row r="644">
      <c r="A644" s="6"/>
      <c r="B644" s="6"/>
      <c r="C644" s="74"/>
      <c r="D644" s="71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72"/>
      <c r="R644" s="6"/>
      <c r="S644" s="6"/>
      <c r="T644" s="6"/>
      <c r="U644" s="6"/>
      <c r="V644" s="6"/>
    </row>
    <row r="645">
      <c r="A645" s="6"/>
      <c r="B645" s="6"/>
      <c r="C645" s="74"/>
      <c r="D645" s="71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72"/>
      <c r="R645" s="6"/>
      <c r="S645" s="6"/>
      <c r="T645" s="6"/>
      <c r="U645" s="6"/>
      <c r="V645" s="6"/>
    </row>
    <row r="646">
      <c r="A646" s="6"/>
      <c r="B646" s="6"/>
      <c r="C646" s="74"/>
      <c r="D646" s="71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72"/>
      <c r="R646" s="6"/>
      <c r="S646" s="6"/>
      <c r="T646" s="6"/>
      <c r="U646" s="6"/>
      <c r="V646" s="6"/>
    </row>
    <row r="647">
      <c r="A647" s="6"/>
      <c r="B647" s="6"/>
      <c r="C647" s="74"/>
      <c r="D647" s="71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72"/>
      <c r="R647" s="6"/>
      <c r="S647" s="6"/>
      <c r="T647" s="6"/>
      <c r="U647" s="6"/>
      <c r="V647" s="6"/>
    </row>
    <row r="648">
      <c r="A648" s="6"/>
      <c r="B648" s="6"/>
      <c r="C648" s="74"/>
      <c r="D648" s="71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72"/>
      <c r="R648" s="6"/>
      <c r="S648" s="6"/>
      <c r="T648" s="6"/>
      <c r="U648" s="6"/>
      <c r="V648" s="6"/>
    </row>
    <row r="649">
      <c r="A649" s="6"/>
      <c r="B649" s="6"/>
      <c r="C649" s="74"/>
      <c r="D649" s="71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72"/>
      <c r="R649" s="6"/>
      <c r="S649" s="6"/>
      <c r="T649" s="6"/>
      <c r="U649" s="6"/>
      <c r="V649" s="6"/>
    </row>
    <row r="650">
      <c r="A650" s="6"/>
      <c r="B650" s="6"/>
      <c r="C650" s="74"/>
      <c r="D650" s="71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72"/>
      <c r="R650" s="6"/>
      <c r="S650" s="6"/>
      <c r="T650" s="6"/>
      <c r="U650" s="6"/>
      <c r="V650" s="6"/>
    </row>
    <row r="651">
      <c r="A651" s="6"/>
      <c r="B651" s="6"/>
      <c r="C651" s="74"/>
      <c r="D651" s="71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72"/>
      <c r="R651" s="6"/>
      <c r="S651" s="6"/>
      <c r="T651" s="6"/>
      <c r="U651" s="6"/>
      <c r="V651" s="6"/>
    </row>
    <row r="652">
      <c r="A652" s="6"/>
      <c r="B652" s="6"/>
      <c r="C652" s="74"/>
      <c r="D652" s="71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72"/>
      <c r="R652" s="6"/>
      <c r="S652" s="6"/>
      <c r="T652" s="6"/>
      <c r="U652" s="6"/>
      <c r="V652" s="6"/>
    </row>
    <row r="653">
      <c r="A653" s="6"/>
      <c r="B653" s="6"/>
      <c r="C653" s="74"/>
      <c r="D653" s="71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72"/>
      <c r="R653" s="6"/>
      <c r="S653" s="6"/>
      <c r="T653" s="6"/>
      <c r="U653" s="6"/>
      <c r="V653" s="6"/>
    </row>
    <row r="654">
      <c r="A654" s="6"/>
      <c r="B654" s="6"/>
      <c r="C654" s="74"/>
      <c r="D654" s="71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72"/>
      <c r="R654" s="6"/>
      <c r="S654" s="6"/>
      <c r="T654" s="6"/>
      <c r="U654" s="6"/>
      <c r="V654" s="6"/>
    </row>
    <row r="655">
      <c r="A655" s="6"/>
      <c r="B655" s="6"/>
      <c r="C655" s="74"/>
      <c r="D655" s="71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72"/>
      <c r="R655" s="6"/>
      <c r="S655" s="6"/>
      <c r="T655" s="6"/>
      <c r="U655" s="6"/>
      <c r="V655" s="6"/>
    </row>
    <row r="656">
      <c r="A656" s="6"/>
      <c r="B656" s="6"/>
      <c r="C656" s="74"/>
      <c r="D656" s="71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72"/>
      <c r="R656" s="6"/>
      <c r="S656" s="6"/>
      <c r="T656" s="6"/>
      <c r="U656" s="6"/>
      <c r="V656" s="6"/>
    </row>
    <row r="657">
      <c r="A657" s="6"/>
      <c r="B657" s="6"/>
      <c r="C657" s="74"/>
      <c r="D657" s="71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72"/>
      <c r="R657" s="6"/>
      <c r="S657" s="6"/>
      <c r="T657" s="6"/>
      <c r="U657" s="6"/>
      <c r="V657" s="6"/>
    </row>
    <row r="658">
      <c r="A658" s="6"/>
      <c r="B658" s="6"/>
      <c r="C658" s="74"/>
      <c r="D658" s="71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72"/>
      <c r="R658" s="6"/>
      <c r="S658" s="6"/>
      <c r="T658" s="6"/>
      <c r="U658" s="6"/>
      <c r="V658" s="6"/>
    </row>
    <row r="659">
      <c r="A659" s="6"/>
      <c r="B659" s="6"/>
      <c r="C659" s="74"/>
      <c r="D659" s="71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72"/>
      <c r="R659" s="6"/>
      <c r="S659" s="6"/>
      <c r="T659" s="6"/>
      <c r="U659" s="6"/>
      <c r="V659" s="6"/>
    </row>
    <row r="660">
      <c r="A660" s="6"/>
      <c r="B660" s="6"/>
      <c r="C660" s="74"/>
      <c r="D660" s="71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72"/>
      <c r="R660" s="6"/>
      <c r="S660" s="6"/>
      <c r="T660" s="6"/>
      <c r="U660" s="6"/>
      <c r="V660" s="6"/>
    </row>
    <row r="661">
      <c r="A661" s="6"/>
      <c r="B661" s="6"/>
      <c r="C661" s="74"/>
      <c r="D661" s="71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72"/>
      <c r="R661" s="6"/>
      <c r="S661" s="6"/>
      <c r="T661" s="6"/>
      <c r="U661" s="6"/>
      <c r="V661" s="6"/>
    </row>
    <row r="662">
      <c r="A662" s="6"/>
      <c r="B662" s="6"/>
      <c r="C662" s="74"/>
      <c r="D662" s="71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72"/>
      <c r="R662" s="6"/>
      <c r="S662" s="6"/>
      <c r="T662" s="6"/>
      <c r="U662" s="6"/>
      <c r="V662" s="6"/>
    </row>
    <row r="663">
      <c r="A663" s="6"/>
      <c r="B663" s="6"/>
      <c r="C663" s="74"/>
      <c r="D663" s="71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72"/>
      <c r="R663" s="6"/>
      <c r="S663" s="6"/>
      <c r="T663" s="6"/>
      <c r="U663" s="6"/>
      <c r="V663" s="6"/>
    </row>
    <row r="664">
      <c r="A664" s="6"/>
      <c r="B664" s="6"/>
      <c r="C664" s="74"/>
      <c r="D664" s="71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72"/>
      <c r="R664" s="6"/>
      <c r="S664" s="6"/>
      <c r="T664" s="6"/>
      <c r="U664" s="6"/>
      <c r="V664" s="6"/>
    </row>
    <row r="665">
      <c r="A665" s="6"/>
      <c r="B665" s="6"/>
      <c r="C665" s="74"/>
      <c r="D665" s="71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72"/>
      <c r="R665" s="6"/>
      <c r="S665" s="6"/>
      <c r="T665" s="6"/>
      <c r="U665" s="6"/>
      <c r="V665" s="6"/>
    </row>
    <row r="666">
      <c r="A666" s="6"/>
      <c r="B666" s="6"/>
      <c r="C666" s="74"/>
      <c r="D666" s="71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72"/>
      <c r="R666" s="6"/>
      <c r="S666" s="6"/>
      <c r="T666" s="6"/>
      <c r="U666" s="6"/>
      <c r="V666" s="6"/>
    </row>
    <row r="667">
      <c r="A667" s="6"/>
      <c r="B667" s="6"/>
      <c r="C667" s="74"/>
      <c r="D667" s="7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72"/>
      <c r="R667" s="6"/>
      <c r="S667" s="6"/>
      <c r="T667" s="6"/>
      <c r="U667" s="6"/>
      <c r="V667" s="6"/>
    </row>
    <row r="668">
      <c r="A668" s="6"/>
      <c r="B668" s="6"/>
      <c r="C668" s="74"/>
      <c r="D668" s="71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72"/>
      <c r="R668" s="6"/>
      <c r="S668" s="6"/>
      <c r="T668" s="6"/>
      <c r="U668" s="6"/>
      <c r="V668" s="6"/>
    </row>
    <row r="669">
      <c r="A669" s="6"/>
      <c r="B669" s="6"/>
      <c r="C669" s="74"/>
      <c r="D669" s="71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72"/>
      <c r="R669" s="6"/>
      <c r="S669" s="6"/>
      <c r="T669" s="6"/>
      <c r="U669" s="6"/>
      <c r="V669" s="6"/>
    </row>
    <row r="670">
      <c r="A670" s="6"/>
      <c r="B670" s="6"/>
      <c r="C670" s="74"/>
      <c r="D670" s="71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72"/>
      <c r="R670" s="6"/>
      <c r="S670" s="6"/>
      <c r="T670" s="6"/>
      <c r="U670" s="6"/>
      <c r="V670" s="6"/>
    </row>
    <row r="671">
      <c r="A671" s="6"/>
      <c r="B671" s="6"/>
      <c r="C671" s="74"/>
      <c r="D671" s="71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72"/>
      <c r="R671" s="6"/>
      <c r="S671" s="6"/>
      <c r="T671" s="6"/>
      <c r="U671" s="6"/>
      <c r="V671" s="6"/>
    </row>
    <row r="672">
      <c r="A672" s="6"/>
      <c r="B672" s="6"/>
      <c r="C672" s="74"/>
      <c r="D672" s="71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72"/>
      <c r="R672" s="6"/>
      <c r="S672" s="6"/>
      <c r="T672" s="6"/>
      <c r="U672" s="6"/>
      <c r="V672" s="6"/>
    </row>
    <row r="673">
      <c r="A673" s="6"/>
      <c r="B673" s="6"/>
      <c r="C673" s="74"/>
      <c r="D673" s="71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72"/>
      <c r="R673" s="6"/>
      <c r="S673" s="6"/>
      <c r="T673" s="6"/>
      <c r="U673" s="6"/>
      <c r="V673" s="6"/>
    </row>
    <row r="674">
      <c r="A674" s="6"/>
      <c r="B674" s="6"/>
      <c r="C674" s="74"/>
      <c r="D674" s="71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72"/>
      <c r="R674" s="6"/>
      <c r="S674" s="6"/>
      <c r="T674" s="6"/>
      <c r="U674" s="6"/>
      <c r="V674" s="6"/>
    </row>
    <row r="675">
      <c r="A675" s="6"/>
      <c r="B675" s="6"/>
      <c r="C675" s="74"/>
      <c r="D675" s="71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72"/>
      <c r="R675" s="6"/>
      <c r="S675" s="6"/>
      <c r="T675" s="6"/>
      <c r="U675" s="6"/>
      <c r="V675" s="6"/>
    </row>
    <row r="676">
      <c r="A676" s="6"/>
      <c r="B676" s="6"/>
      <c r="C676" s="74"/>
      <c r="D676" s="71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72"/>
      <c r="R676" s="6"/>
      <c r="S676" s="6"/>
      <c r="T676" s="6"/>
      <c r="U676" s="6"/>
      <c r="V676" s="6"/>
    </row>
    <row r="677">
      <c r="A677" s="6"/>
      <c r="B677" s="6"/>
      <c r="C677" s="74"/>
      <c r="D677" s="71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72"/>
      <c r="R677" s="6"/>
      <c r="S677" s="6"/>
      <c r="T677" s="6"/>
      <c r="U677" s="6"/>
      <c r="V677" s="6"/>
    </row>
    <row r="678">
      <c r="A678" s="6"/>
      <c r="B678" s="6"/>
      <c r="C678" s="74"/>
      <c r="D678" s="71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72"/>
      <c r="R678" s="6"/>
      <c r="S678" s="6"/>
      <c r="T678" s="6"/>
      <c r="U678" s="6"/>
      <c r="V678" s="6"/>
    </row>
    <row r="679">
      <c r="A679" s="6"/>
      <c r="B679" s="6"/>
      <c r="C679" s="74"/>
      <c r="D679" s="71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72"/>
      <c r="R679" s="6"/>
      <c r="S679" s="6"/>
      <c r="T679" s="6"/>
      <c r="U679" s="6"/>
      <c r="V679" s="6"/>
    </row>
    <row r="680">
      <c r="A680" s="6"/>
      <c r="B680" s="6"/>
      <c r="C680" s="74"/>
      <c r="D680" s="71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72"/>
      <c r="R680" s="6"/>
      <c r="S680" s="6"/>
      <c r="T680" s="6"/>
      <c r="U680" s="6"/>
      <c r="V680" s="6"/>
    </row>
    <row r="681">
      <c r="A681" s="6"/>
      <c r="B681" s="6"/>
      <c r="C681" s="74"/>
      <c r="D681" s="71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72"/>
      <c r="R681" s="6"/>
      <c r="S681" s="6"/>
      <c r="T681" s="6"/>
      <c r="U681" s="6"/>
      <c r="V681" s="6"/>
    </row>
    <row r="682">
      <c r="A682" s="6"/>
      <c r="B682" s="6"/>
      <c r="C682" s="74"/>
      <c r="D682" s="71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72"/>
      <c r="R682" s="6"/>
      <c r="S682" s="6"/>
      <c r="T682" s="6"/>
      <c r="U682" s="6"/>
      <c r="V682" s="6"/>
    </row>
    <row r="683">
      <c r="A683" s="6"/>
      <c r="B683" s="6"/>
      <c r="C683" s="74"/>
      <c r="D683" s="71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72"/>
      <c r="R683" s="6"/>
      <c r="S683" s="6"/>
      <c r="T683" s="6"/>
      <c r="U683" s="6"/>
      <c r="V683" s="6"/>
    </row>
    <row r="684">
      <c r="A684" s="6"/>
      <c r="B684" s="6"/>
      <c r="C684" s="74"/>
      <c r="D684" s="71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72"/>
      <c r="R684" s="6"/>
      <c r="S684" s="6"/>
      <c r="T684" s="6"/>
      <c r="U684" s="6"/>
      <c r="V684" s="6"/>
    </row>
    <row r="685">
      <c r="A685" s="6"/>
      <c r="B685" s="6"/>
      <c r="C685" s="74"/>
      <c r="D685" s="71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72"/>
      <c r="R685" s="6"/>
      <c r="S685" s="6"/>
      <c r="T685" s="6"/>
      <c r="U685" s="6"/>
      <c r="V685" s="6"/>
    </row>
    <row r="686">
      <c r="A686" s="6"/>
      <c r="B686" s="6"/>
      <c r="C686" s="74"/>
      <c r="D686" s="71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72"/>
      <c r="R686" s="6"/>
      <c r="S686" s="6"/>
      <c r="T686" s="6"/>
      <c r="U686" s="6"/>
      <c r="V686" s="6"/>
    </row>
    <row r="687">
      <c r="A687" s="6"/>
      <c r="B687" s="6"/>
      <c r="C687" s="74"/>
      <c r="D687" s="71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72"/>
      <c r="R687" s="6"/>
      <c r="S687" s="6"/>
      <c r="T687" s="6"/>
      <c r="U687" s="6"/>
      <c r="V687" s="6"/>
    </row>
    <row r="688">
      <c r="A688" s="6"/>
      <c r="B688" s="6"/>
      <c r="C688" s="74"/>
      <c r="D688" s="71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72"/>
      <c r="R688" s="6"/>
      <c r="S688" s="6"/>
      <c r="T688" s="6"/>
      <c r="U688" s="6"/>
      <c r="V688" s="6"/>
    </row>
    <row r="689">
      <c r="A689" s="6"/>
      <c r="B689" s="6"/>
      <c r="C689" s="74"/>
      <c r="D689" s="71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72"/>
      <c r="R689" s="6"/>
      <c r="S689" s="6"/>
      <c r="T689" s="6"/>
      <c r="U689" s="6"/>
      <c r="V689" s="6"/>
    </row>
    <row r="690">
      <c r="A690" s="6"/>
      <c r="B690" s="6"/>
      <c r="C690" s="74"/>
      <c r="D690" s="71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72"/>
      <c r="R690" s="6"/>
      <c r="S690" s="6"/>
      <c r="T690" s="6"/>
      <c r="U690" s="6"/>
      <c r="V690" s="6"/>
    </row>
    <row r="691">
      <c r="A691" s="6"/>
      <c r="B691" s="6"/>
      <c r="C691" s="74"/>
      <c r="D691" s="71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72"/>
      <c r="R691" s="6"/>
      <c r="S691" s="6"/>
      <c r="T691" s="6"/>
      <c r="U691" s="6"/>
      <c r="V691" s="6"/>
    </row>
    <row r="692">
      <c r="A692" s="6"/>
      <c r="B692" s="6"/>
      <c r="C692" s="74"/>
      <c r="D692" s="71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72"/>
      <c r="R692" s="6"/>
      <c r="S692" s="6"/>
      <c r="T692" s="6"/>
      <c r="U692" s="6"/>
      <c r="V692" s="6"/>
    </row>
    <row r="693">
      <c r="A693" s="6"/>
      <c r="B693" s="6"/>
      <c r="C693" s="74"/>
      <c r="D693" s="71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72"/>
      <c r="R693" s="6"/>
      <c r="S693" s="6"/>
      <c r="T693" s="6"/>
      <c r="U693" s="6"/>
      <c r="V693" s="6"/>
    </row>
    <row r="694">
      <c r="A694" s="6"/>
      <c r="B694" s="6"/>
      <c r="C694" s="74"/>
      <c r="D694" s="71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72"/>
      <c r="R694" s="6"/>
      <c r="S694" s="6"/>
      <c r="T694" s="6"/>
      <c r="U694" s="6"/>
      <c r="V694" s="6"/>
    </row>
    <row r="695">
      <c r="A695" s="6"/>
      <c r="B695" s="6"/>
      <c r="C695" s="74"/>
      <c r="D695" s="71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72"/>
      <c r="R695" s="6"/>
      <c r="S695" s="6"/>
      <c r="T695" s="6"/>
      <c r="U695" s="6"/>
      <c r="V695" s="6"/>
    </row>
    <row r="696">
      <c r="A696" s="6"/>
      <c r="B696" s="6"/>
      <c r="C696" s="74"/>
      <c r="D696" s="71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72"/>
      <c r="R696" s="6"/>
      <c r="S696" s="6"/>
      <c r="T696" s="6"/>
      <c r="U696" s="6"/>
      <c r="V696" s="6"/>
    </row>
    <row r="697">
      <c r="A697" s="6"/>
      <c r="B697" s="6"/>
      <c r="C697" s="74"/>
      <c r="D697" s="71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72"/>
      <c r="R697" s="6"/>
      <c r="S697" s="6"/>
      <c r="T697" s="6"/>
      <c r="U697" s="6"/>
      <c r="V697" s="6"/>
    </row>
    <row r="698">
      <c r="A698" s="6"/>
      <c r="B698" s="6"/>
      <c r="C698" s="74"/>
      <c r="D698" s="71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72"/>
      <c r="R698" s="6"/>
      <c r="S698" s="6"/>
      <c r="T698" s="6"/>
      <c r="U698" s="6"/>
      <c r="V698" s="6"/>
    </row>
    <row r="699">
      <c r="A699" s="6"/>
      <c r="B699" s="6"/>
      <c r="C699" s="74"/>
      <c r="D699" s="71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72"/>
      <c r="R699" s="6"/>
      <c r="S699" s="6"/>
      <c r="T699" s="6"/>
      <c r="U699" s="6"/>
      <c r="V699" s="6"/>
    </row>
    <row r="700">
      <c r="A700" s="6"/>
      <c r="B700" s="6"/>
      <c r="C700" s="74"/>
      <c r="D700" s="71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72"/>
      <c r="R700" s="6"/>
      <c r="S700" s="6"/>
      <c r="T700" s="6"/>
      <c r="U700" s="6"/>
      <c r="V700" s="6"/>
    </row>
    <row r="701">
      <c r="A701" s="6"/>
      <c r="B701" s="6"/>
      <c r="C701" s="74"/>
      <c r="D701" s="71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72"/>
      <c r="R701" s="6"/>
      <c r="S701" s="6"/>
      <c r="T701" s="6"/>
      <c r="U701" s="6"/>
      <c r="V701" s="6"/>
    </row>
    <row r="702">
      <c r="A702" s="6"/>
      <c r="B702" s="6"/>
      <c r="C702" s="74"/>
      <c r="D702" s="71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72"/>
      <c r="R702" s="6"/>
      <c r="S702" s="6"/>
      <c r="T702" s="6"/>
      <c r="U702" s="6"/>
      <c r="V702" s="6"/>
    </row>
    <row r="703">
      <c r="A703" s="6"/>
      <c r="B703" s="6"/>
      <c r="C703" s="74"/>
      <c r="D703" s="71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72"/>
      <c r="R703" s="6"/>
      <c r="S703" s="6"/>
      <c r="T703" s="6"/>
      <c r="U703" s="6"/>
      <c r="V703" s="6"/>
    </row>
    <row r="704">
      <c r="A704" s="6"/>
      <c r="B704" s="6"/>
      <c r="C704" s="74"/>
      <c r="D704" s="71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72"/>
      <c r="R704" s="6"/>
      <c r="S704" s="6"/>
      <c r="T704" s="6"/>
      <c r="U704" s="6"/>
      <c r="V704" s="6"/>
    </row>
    <row r="705">
      <c r="A705" s="6"/>
      <c r="B705" s="6"/>
      <c r="C705" s="74"/>
      <c r="D705" s="71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72"/>
      <c r="R705" s="6"/>
      <c r="S705" s="6"/>
      <c r="T705" s="6"/>
      <c r="U705" s="6"/>
      <c r="V705" s="6"/>
    </row>
    <row r="706">
      <c r="A706" s="6"/>
      <c r="B706" s="6"/>
      <c r="C706" s="74"/>
      <c r="D706" s="71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72"/>
      <c r="R706" s="6"/>
      <c r="S706" s="6"/>
      <c r="T706" s="6"/>
      <c r="U706" s="6"/>
      <c r="V706" s="6"/>
    </row>
    <row r="707">
      <c r="A707" s="6"/>
      <c r="B707" s="6"/>
      <c r="C707" s="74"/>
      <c r="D707" s="71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72"/>
      <c r="R707" s="6"/>
      <c r="S707" s="6"/>
      <c r="T707" s="6"/>
      <c r="U707" s="6"/>
      <c r="V707" s="6"/>
    </row>
    <row r="708">
      <c r="A708" s="6"/>
      <c r="B708" s="6"/>
      <c r="C708" s="74"/>
      <c r="D708" s="71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72"/>
      <c r="R708" s="6"/>
      <c r="S708" s="6"/>
      <c r="T708" s="6"/>
      <c r="U708" s="6"/>
      <c r="V708" s="6"/>
    </row>
    <row r="709">
      <c r="A709" s="6"/>
      <c r="B709" s="6"/>
      <c r="C709" s="74"/>
      <c r="D709" s="71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72"/>
      <c r="R709" s="6"/>
      <c r="S709" s="6"/>
      <c r="T709" s="6"/>
      <c r="U709" s="6"/>
      <c r="V709" s="6"/>
    </row>
    <row r="710">
      <c r="A710" s="6"/>
      <c r="B710" s="6"/>
      <c r="C710" s="74"/>
      <c r="D710" s="71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72"/>
      <c r="R710" s="6"/>
      <c r="S710" s="6"/>
      <c r="T710" s="6"/>
      <c r="U710" s="6"/>
      <c r="V710" s="6"/>
    </row>
    <row r="711">
      <c r="A711" s="6"/>
      <c r="B711" s="6"/>
      <c r="C711" s="74"/>
      <c r="D711" s="71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72"/>
      <c r="R711" s="6"/>
      <c r="S711" s="6"/>
      <c r="T711" s="6"/>
      <c r="U711" s="6"/>
      <c r="V711" s="6"/>
    </row>
    <row r="712">
      <c r="A712" s="6"/>
      <c r="B712" s="6"/>
      <c r="C712" s="74"/>
      <c r="D712" s="71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72"/>
      <c r="R712" s="6"/>
      <c r="S712" s="6"/>
      <c r="T712" s="6"/>
      <c r="U712" s="6"/>
      <c r="V712" s="6"/>
    </row>
    <row r="713">
      <c r="A713" s="6"/>
      <c r="B713" s="6"/>
      <c r="C713" s="74"/>
      <c r="D713" s="71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72"/>
      <c r="R713" s="6"/>
      <c r="S713" s="6"/>
      <c r="T713" s="6"/>
      <c r="U713" s="6"/>
      <c r="V713" s="6"/>
    </row>
    <row r="714">
      <c r="A714" s="6"/>
      <c r="B714" s="6"/>
      <c r="C714" s="74"/>
      <c r="D714" s="71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72"/>
      <c r="R714" s="6"/>
      <c r="S714" s="6"/>
      <c r="T714" s="6"/>
      <c r="U714" s="6"/>
      <c r="V714" s="6"/>
    </row>
    <row r="715">
      <c r="A715" s="6"/>
      <c r="B715" s="6"/>
      <c r="C715" s="74"/>
      <c r="D715" s="71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72"/>
      <c r="R715" s="6"/>
      <c r="S715" s="6"/>
      <c r="T715" s="6"/>
      <c r="U715" s="6"/>
      <c r="V715" s="6"/>
    </row>
    <row r="716">
      <c r="A716" s="6"/>
      <c r="B716" s="6"/>
      <c r="C716" s="74"/>
      <c r="D716" s="71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72"/>
      <c r="R716" s="6"/>
      <c r="S716" s="6"/>
      <c r="T716" s="6"/>
      <c r="U716" s="6"/>
      <c r="V716" s="6"/>
    </row>
    <row r="717">
      <c r="A717" s="6"/>
      <c r="B717" s="6"/>
      <c r="C717" s="74"/>
      <c r="D717" s="71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72"/>
      <c r="R717" s="6"/>
      <c r="S717" s="6"/>
      <c r="T717" s="6"/>
      <c r="U717" s="6"/>
      <c r="V717" s="6"/>
    </row>
    <row r="718">
      <c r="A718" s="6"/>
      <c r="B718" s="6"/>
      <c r="C718" s="74"/>
      <c r="D718" s="71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72"/>
      <c r="R718" s="6"/>
      <c r="S718" s="6"/>
      <c r="T718" s="6"/>
      <c r="U718" s="6"/>
      <c r="V718" s="6"/>
    </row>
    <row r="719">
      <c r="A719" s="6"/>
      <c r="B719" s="6"/>
      <c r="C719" s="74"/>
      <c r="D719" s="71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72"/>
      <c r="R719" s="6"/>
      <c r="S719" s="6"/>
      <c r="T719" s="6"/>
      <c r="U719" s="6"/>
      <c r="V719" s="6"/>
    </row>
    <row r="720">
      <c r="A720" s="6"/>
      <c r="B720" s="6"/>
      <c r="C720" s="74"/>
      <c r="D720" s="71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72"/>
      <c r="R720" s="6"/>
      <c r="S720" s="6"/>
      <c r="T720" s="6"/>
      <c r="U720" s="6"/>
      <c r="V720" s="6"/>
    </row>
    <row r="721">
      <c r="A721" s="6"/>
      <c r="B721" s="6"/>
      <c r="C721" s="74"/>
      <c r="D721" s="71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72"/>
      <c r="R721" s="6"/>
      <c r="S721" s="6"/>
      <c r="T721" s="6"/>
      <c r="U721" s="6"/>
      <c r="V721" s="6"/>
    </row>
    <row r="722">
      <c r="A722" s="6"/>
      <c r="B722" s="6"/>
      <c r="C722" s="74"/>
      <c r="D722" s="71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72"/>
      <c r="R722" s="6"/>
      <c r="S722" s="6"/>
      <c r="T722" s="6"/>
      <c r="U722" s="6"/>
      <c r="V722" s="6"/>
    </row>
    <row r="723">
      <c r="A723" s="6"/>
      <c r="B723" s="6"/>
      <c r="C723" s="74"/>
      <c r="D723" s="71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72"/>
      <c r="R723" s="6"/>
      <c r="S723" s="6"/>
      <c r="T723" s="6"/>
      <c r="U723" s="6"/>
      <c r="V723" s="6"/>
    </row>
    <row r="724">
      <c r="A724" s="6"/>
      <c r="B724" s="6"/>
      <c r="C724" s="74"/>
      <c r="D724" s="71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72"/>
      <c r="R724" s="6"/>
      <c r="S724" s="6"/>
      <c r="T724" s="6"/>
      <c r="U724" s="6"/>
      <c r="V724" s="6"/>
    </row>
    <row r="725">
      <c r="A725" s="6"/>
      <c r="B725" s="6"/>
      <c r="C725" s="74"/>
      <c r="D725" s="71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72"/>
      <c r="R725" s="6"/>
      <c r="S725" s="6"/>
      <c r="T725" s="6"/>
      <c r="U725" s="6"/>
      <c r="V725" s="6"/>
    </row>
    <row r="726">
      <c r="A726" s="6"/>
      <c r="B726" s="6"/>
      <c r="C726" s="74"/>
      <c r="D726" s="71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72"/>
      <c r="R726" s="6"/>
      <c r="S726" s="6"/>
      <c r="T726" s="6"/>
      <c r="U726" s="6"/>
      <c r="V726" s="6"/>
    </row>
    <row r="727">
      <c r="A727" s="6"/>
      <c r="B727" s="6"/>
      <c r="C727" s="74"/>
      <c r="D727" s="71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72"/>
      <c r="R727" s="6"/>
      <c r="S727" s="6"/>
      <c r="T727" s="6"/>
      <c r="U727" s="6"/>
      <c r="V727" s="6"/>
    </row>
    <row r="728">
      <c r="A728" s="6"/>
      <c r="B728" s="6"/>
      <c r="C728" s="74"/>
      <c r="D728" s="71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72"/>
      <c r="R728" s="6"/>
      <c r="S728" s="6"/>
      <c r="T728" s="6"/>
      <c r="U728" s="6"/>
      <c r="V728" s="6"/>
    </row>
    <row r="729">
      <c r="A729" s="6"/>
      <c r="B729" s="6"/>
      <c r="C729" s="74"/>
      <c r="D729" s="71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72"/>
      <c r="R729" s="6"/>
      <c r="S729" s="6"/>
      <c r="T729" s="6"/>
      <c r="U729" s="6"/>
      <c r="V729" s="6"/>
    </row>
    <row r="730">
      <c r="A730" s="6"/>
      <c r="B730" s="6"/>
      <c r="C730" s="74"/>
      <c r="D730" s="71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72"/>
      <c r="R730" s="6"/>
      <c r="S730" s="6"/>
      <c r="T730" s="6"/>
      <c r="U730" s="6"/>
      <c r="V730" s="6"/>
    </row>
    <row r="731">
      <c r="A731" s="6"/>
      <c r="B731" s="6"/>
      <c r="C731" s="74"/>
      <c r="D731" s="71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72"/>
      <c r="R731" s="6"/>
      <c r="S731" s="6"/>
      <c r="T731" s="6"/>
      <c r="U731" s="6"/>
      <c r="V731" s="6"/>
    </row>
    <row r="732">
      <c r="A732" s="6"/>
      <c r="B732" s="6"/>
      <c r="C732" s="74"/>
      <c r="D732" s="71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72"/>
      <c r="R732" s="6"/>
      <c r="S732" s="6"/>
      <c r="T732" s="6"/>
      <c r="U732" s="6"/>
      <c r="V732" s="6"/>
    </row>
    <row r="733">
      <c r="A733" s="6"/>
      <c r="B733" s="6"/>
      <c r="C733" s="74"/>
      <c r="D733" s="71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72"/>
      <c r="R733" s="6"/>
      <c r="S733" s="6"/>
      <c r="T733" s="6"/>
      <c r="U733" s="6"/>
      <c r="V733" s="6"/>
    </row>
    <row r="734">
      <c r="A734" s="6"/>
      <c r="B734" s="6"/>
      <c r="C734" s="74"/>
      <c r="D734" s="71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72"/>
      <c r="R734" s="6"/>
      <c r="S734" s="6"/>
      <c r="T734" s="6"/>
      <c r="U734" s="6"/>
      <c r="V734" s="6"/>
    </row>
    <row r="735">
      <c r="A735" s="6"/>
      <c r="B735" s="6"/>
      <c r="C735" s="74"/>
      <c r="D735" s="71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72"/>
      <c r="R735" s="6"/>
      <c r="S735" s="6"/>
      <c r="T735" s="6"/>
      <c r="U735" s="6"/>
      <c r="V735" s="6"/>
    </row>
    <row r="736">
      <c r="A736" s="6"/>
      <c r="B736" s="6"/>
      <c r="C736" s="74"/>
      <c r="D736" s="7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72"/>
      <c r="R736" s="6"/>
      <c r="S736" s="6"/>
      <c r="T736" s="6"/>
      <c r="U736" s="6"/>
      <c r="V736" s="6"/>
    </row>
    <row r="737">
      <c r="A737" s="6"/>
      <c r="B737" s="6"/>
      <c r="C737" s="74"/>
      <c r="D737" s="7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72"/>
      <c r="R737" s="6"/>
      <c r="S737" s="6"/>
      <c r="T737" s="6"/>
      <c r="U737" s="6"/>
      <c r="V737" s="6"/>
    </row>
    <row r="738">
      <c r="A738" s="6"/>
      <c r="B738" s="6"/>
      <c r="C738" s="74"/>
      <c r="D738" s="7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72"/>
      <c r="R738" s="6"/>
      <c r="S738" s="6"/>
      <c r="T738" s="6"/>
      <c r="U738" s="6"/>
      <c r="V738" s="6"/>
    </row>
    <row r="739">
      <c r="A739" s="6"/>
      <c r="B739" s="6"/>
      <c r="C739" s="74"/>
      <c r="D739" s="7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72"/>
      <c r="R739" s="6"/>
      <c r="S739" s="6"/>
      <c r="T739" s="6"/>
      <c r="U739" s="6"/>
      <c r="V739" s="6"/>
    </row>
    <row r="740">
      <c r="A740" s="6"/>
      <c r="B740" s="6"/>
      <c r="C740" s="74"/>
      <c r="D740" s="7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72"/>
      <c r="R740" s="6"/>
      <c r="S740" s="6"/>
      <c r="T740" s="6"/>
      <c r="U740" s="6"/>
      <c r="V740" s="6"/>
    </row>
    <row r="741">
      <c r="A741" s="6"/>
      <c r="B741" s="6"/>
      <c r="C741" s="74"/>
      <c r="D741" s="7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72"/>
      <c r="R741" s="6"/>
      <c r="S741" s="6"/>
      <c r="T741" s="6"/>
      <c r="U741" s="6"/>
      <c r="V741" s="6"/>
    </row>
    <row r="742">
      <c r="A742" s="6"/>
      <c r="B742" s="6"/>
      <c r="C742" s="74"/>
      <c r="D742" s="7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72"/>
      <c r="R742" s="6"/>
      <c r="S742" s="6"/>
      <c r="T742" s="6"/>
      <c r="U742" s="6"/>
      <c r="V742" s="6"/>
    </row>
    <row r="743">
      <c r="A743" s="6"/>
      <c r="B743" s="6"/>
      <c r="C743" s="74"/>
      <c r="D743" s="7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72"/>
      <c r="R743" s="6"/>
      <c r="S743" s="6"/>
      <c r="T743" s="6"/>
      <c r="U743" s="6"/>
      <c r="V743" s="6"/>
    </row>
    <row r="744">
      <c r="A744" s="6"/>
      <c r="B744" s="6"/>
      <c r="C744" s="74"/>
      <c r="D744" s="7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72"/>
      <c r="R744" s="6"/>
      <c r="S744" s="6"/>
      <c r="T744" s="6"/>
      <c r="U744" s="6"/>
      <c r="V744" s="6"/>
    </row>
    <row r="745">
      <c r="A745" s="6"/>
      <c r="B745" s="6"/>
      <c r="C745" s="74"/>
      <c r="D745" s="7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72"/>
      <c r="R745" s="6"/>
      <c r="S745" s="6"/>
      <c r="T745" s="6"/>
      <c r="U745" s="6"/>
      <c r="V745" s="6"/>
    </row>
    <row r="746">
      <c r="A746" s="6"/>
      <c r="B746" s="6"/>
      <c r="C746" s="74"/>
      <c r="D746" s="7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72"/>
      <c r="R746" s="6"/>
      <c r="S746" s="6"/>
      <c r="T746" s="6"/>
      <c r="U746" s="6"/>
      <c r="V746" s="6"/>
    </row>
    <row r="747">
      <c r="A747" s="6"/>
      <c r="B747" s="6"/>
      <c r="C747" s="74"/>
      <c r="D747" s="7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72"/>
      <c r="R747" s="6"/>
      <c r="S747" s="6"/>
      <c r="T747" s="6"/>
      <c r="U747" s="6"/>
      <c r="V747" s="6"/>
    </row>
    <row r="748">
      <c r="A748" s="6"/>
      <c r="B748" s="6"/>
      <c r="C748" s="74"/>
      <c r="D748" s="7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72"/>
      <c r="R748" s="6"/>
      <c r="S748" s="6"/>
      <c r="T748" s="6"/>
      <c r="U748" s="6"/>
      <c r="V748" s="6"/>
    </row>
    <row r="749">
      <c r="A749" s="6"/>
      <c r="B749" s="6"/>
      <c r="C749" s="74"/>
      <c r="D749" s="7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72"/>
      <c r="R749" s="6"/>
      <c r="S749" s="6"/>
      <c r="T749" s="6"/>
      <c r="U749" s="6"/>
      <c r="V749" s="6"/>
    </row>
    <row r="750">
      <c r="A750" s="6"/>
      <c r="B750" s="6"/>
      <c r="C750" s="74"/>
      <c r="D750" s="7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72"/>
      <c r="R750" s="6"/>
      <c r="S750" s="6"/>
      <c r="T750" s="6"/>
      <c r="U750" s="6"/>
      <c r="V750" s="6"/>
    </row>
    <row r="751">
      <c r="A751" s="6"/>
      <c r="B751" s="6"/>
      <c r="C751" s="74"/>
      <c r="D751" s="7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72"/>
      <c r="R751" s="6"/>
      <c r="S751" s="6"/>
      <c r="T751" s="6"/>
      <c r="U751" s="6"/>
      <c r="V751" s="6"/>
    </row>
    <row r="752">
      <c r="A752" s="6"/>
      <c r="B752" s="6"/>
      <c r="C752" s="74"/>
      <c r="D752" s="7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72"/>
      <c r="R752" s="6"/>
      <c r="S752" s="6"/>
      <c r="T752" s="6"/>
      <c r="U752" s="6"/>
      <c r="V752" s="6"/>
    </row>
    <row r="753">
      <c r="A753" s="6"/>
      <c r="B753" s="6"/>
      <c r="C753" s="74"/>
      <c r="D753" s="7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72"/>
      <c r="R753" s="6"/>
      <c r="S753" s="6"/>
      <c r="T753" s="6"/>
      <c r="U753" s="6"/>
      <c r="V753" s="6"/>
    </row>
    <row r="754">
      <c r="A754" s="6"/>
      <c r="B754" s="6"/>
      <c r="C754" s="74"/>
      <c r="D754" s="7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72"/>
      <c r="R754" s="6"/>
      <c r="S754" s="6"/>
      <c r="T754" s="6"/>
      <c r="U754" s="6"/>
      <c r="V754" s="6"/>
    </row>
    <row r="755">
      <c r="A755" s="6"/>
      <c r="B755" s="6"/>
      <c r="C755" s="74"/>
      <c r="D755" s="7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72"/>
      <c r="R755" s="6"/>
      <c r="S755" s="6"/>
      <c r="T755" s="6"/>
      <c r="U755" s="6"/>
      <c r="V755" s="6"/>
    </row>
    <row r="756">
      <c r="A756" s="6"/>
      <c r="B756" s="6"/>
      <c r="C756" s="74"/>
      <c r="D756" s="7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72"/>
      <c r="R756" s="6"/>
      <c r="S756" s="6"/>
      <c r="T756" s="6"/>
      <c r="U756" s="6"/>
      <c r="V756" s="6"/>
    </row>
    <row r="757">
      <c r="A757" s="6"/>
      <c r="B757" s="6"/>
      <c r="C757" s="74"/>
      <c r="D757" s="7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72"/>
      <c r="R757" s="6"/>
      <c r="S757" s="6"/>
      <c r="T757" s="6"/>
      <c r="U757" s="6"/>
      <c r="V757" s="6"/>
    </row>
    <row r="758">
      <c r="A758" s="6"/>
      <c r="B758" s="6"/>
      <c r="C758" s="74"/>
      <c r="D758" s="7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72"/>
      <c r="R758" s="6"/>
      <c r="S758" s="6"/>
      <c r="T758" s="6"/>
      <c r="U758" s="6"/>
      <c r="V758" s="6"/>
    </row>
    <row r="759">
      <c r="A759" s="6"/>
      <c r="B759" s="6"/>
      <c r="C759" s="74"/>
      <c r="D759" s="7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72"/>
      <c r="R759" s="6"/>
      <c r="S759" s="6"/>
      <c r="T759" s="6"/>
      <c r="U759" s="6"/>
      <c r="V759" s="6"/>
    </row>
    <row r="760">
      <c r="A760" s="6"/>
      <c r="B760" s="6"/>
      <c r="C760" s="74"/>
      <c r="D760" s="7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72"/>
      <c r="R760" s="6"/>
      <c r="S760" s="6"/>
      <c r="T760" s="6"/>
      <c r="U760" s="6"/>
      <c r="V760" s="6"/>
    </row>
    <row r="761">
      <c r="A761" s="6"/>
      <c r="B761" s="6"/>
      <c r="C761" s="74"/>
      <c r="D761" s="7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72"/>
      <c r="R761" s="6"/>
      <c r="S761" s="6"/>
      <c r="T761" s="6"/>
      <c r="U761" s="6"/>
      <c r="V761" s="6"/>
    </row>
    <row r="762">
      <c r="A762" s="6"/>
      <c r="B762" s="6"/>
      <c r="C762" s="74"/>
      <c r="D762" s="7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72"/>
      <c r="R762" s="6"/>
      <c r="S762" s="6"/>
      <c r="T762" s="6"/>
      <c r="U762" s="6"/>
      <c r="V762" s="6"/>
    </row>
    <row r="763">
      <c r="A763" s="6"/>
      <c r="B763" s="6"/>
      <c r="C763" s="74"/>
      <c r="D763" s="7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72"/>
      <c r="R763" s="6"/>
      <c r="S763" s="6"/>
      <c r="T763" s="6"/>
      <c r="U763" s="6"/>
      <c r="V763" s="6"/>
    </row>
    <row r="764">
      <c r="A764" s="6"/>
      <c r="B764" s="6"/>
      <c r="C764" s="74"/>
      <c r="D764" s="7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72"/>
      <c r="R764" s="6"/>
      <c r="S764" s="6"/>
      <c r="T764" s="6"/>
      <c r="U764" s="6"/>
      <c r="V764" s="6"/>
    </row>
    <row r="765">
      <c r="A765" s="6"/>
      <c r="B765" s="6"/>
      <c r="C765" s="74"/>
      <c r="D765" s="7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72"/>
      <c r="R765" s="6"/>
      <c r="S765" s="6"/>
      <c r="T765" s="6"/>
      <c r="U765" s="6"/>
      <c r="V765" s="6"/>
    </row>
    <row r="766">
      <c r="A766" s="6"/>
      <c r="B766" s="6"/>
      <c r="C766" s="74"/>
      <c r="D766" s="7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72"/>
      <c r="R766" s="6"/>
      <c r="S766" s="6"/>
      <c r="T766" s="6"/>
      <c r="U766" s="6"/>
      <c r="V766" s="6"/>
    </row>
    <row r="767">
      <c r="A767" s="6"/>
      <c r="B767" s="6"/>
      <c r="C767" s="74"/>
      <c r="D767" s="7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72"/>
      <c r="R767" s="6"/>
      <c r="S767" s="6"/>
      <c r="T767" s="6"/>
      <c r="U767" s="6"/>
      <c r="V767" s="6"/>
    </row>
    <row r="768">
      <c r="A768" s="6"/>
      <c r="B768" s="6"/>
      <c r="C768" s="74"/>
      <c r="D768" s="7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72"/>
      <c r="R768" s="6"/>
      <c r="S768" s="6"/>
      <c r="T768" s="6"/>
      <c r="U768" s="6"/>
      <c r="V768" s="6"/>
    </row>
    <row r="769">
      <c r="A769" s="6"/>
      <c r="B769" s="6"/>
      <c r="C769" s="74"/>
      <c r="D769" s="7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72"/>
      <c r="R769" s="6"/>
      <c r="S769" s="6"/>
      <c r="T769" s="6"/>
      <c r="U769" s="6"/>
      <c r="V769" s="6"/>
    </row>
    <row r="770">
      <c r="A770" s="6"/>
      <c r="B770" s="6"/>
      <c r="C770" s="74"/>
      <c r="D770" s="7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72"/>
      <c r="R770" s="6"/>
      <c r="S770" s="6"/>
      <c r="T770" s="6"/>
      <c r="U770" s="6"/>
      <c r="V770" s="6"/>
    </row>
    <row r="771">
      <c r="A771" s="6"/>
      <c r="B771" s="6"/>
      <c r="C771" s="74"/>
      <c r="D771" s="7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72"/>
      <c r="R771" s="6"/>
      <c r="S771" s="6"/>
      <c r="T771" s="6"/>
      <c r="U771" s="6"/>
      <c r="V771" s="6"/>
    </row>
    <row r="772">
      <c r="A772" s="6"/>
      <c r="B772" s="6"/>
      <c r="C772" s="74"/>
      <c r="D772" s="7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72"/>
      <c r="R772" s="6"/>
      <c r="S772" s="6"/>
      <c r="T772" s="6"/>
      <c r="U772" s="6"/>
      <c r="V772" s="6"/>
    </row>
    <row r="773">
      <c r="A773" s="6"/>
      <c r="B773" s="6"/>
      <c r="C773" s="74"/>
      <c r="D773" s="7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72"/>
      <c r="R773" s="6"/>
      <c r="S773" s="6"/>
      <c r="T773" s="6"/>
      <c r="U773" s="6"/>
      <c r="V773" s="6"/>
    </row>
    <row r="774">
      <c r="A774" s="6"/>
      <c r="B774" s="6"/>
      <c r="C774" s="74"/>
      <c r="D774" s="7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72"/>
      <c r="R774" s="6"/>
      <c r="S774" s="6"/>
      <c r="T774" s="6"/>
      <c r="U774" s="6"/>
      <c r="V774" s="6"/>
    </row>
    <row r="775">
      <c r="A775" s="6"/>
      <c r="B775" s="6"/>
      <c r="C775" s="74"/>
      <c r="D775" s="7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72"/>
      <c r="R775" s="6"/>
      <c r="S775" s="6"/>
      <c r="T775" s="6"/>
      <c r="U775" s="6"/>
      <c r="V775" s="6"/>
    </row>
    <row r="776">
      <c r="A776" s="6"/>
      <c r="B776" s="6"/>
      <c r="C776" s="74"/>
      <c r="D776" s="7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72"/>
      <c r="R776" s="6"/>
      <c r="S776" s="6"/>
      <c r="T776" s="6"/>
      <c r="U776" s="6"/>
      <c r="V776" s="6"/>
    </row>
    <row r="777">
      <c r="A777" s="6"/>
      <c r="B777" s="6"/>
      <c r="C777" s="74"/>
      <c r="D777" s="7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72"/>
      <c r="R777" s="6"/>
      <c r="S777" s="6"/>
      <c r="T777" s="6"/>
      <c r="U777" s="6"/>
      <c r="V777" s="6"/>
    </row>
    <row r="778">
      <c r="A778" s="6"/>
      <c r="B778" s="6"/>
      <c r="C778" s="74"/>
      <c r="D778" s="7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72"/>
      <c r="R778" s="6"/>
      <c r="S778" s="6"/>
      <c r="T778" s="6"/>
      <c r="U778" s="6"/>
      <c r="V778" s="6"/>
    </row>
    <row r="779">
      <c r="A779" s="6"/>
      <c r="B779" s="6"/>
      <c r="C779" s="74"/>
      <c r="D779" s="7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72"/>
      <c r="R779" s="6"/>
      <c r="S779" s="6"/>
      <c r="T779" s="6"/>
      <c r="U779" s="6"/>
      <c r="V779" s="6"/>
    </row>
    <row r="780">
      <c r="A780" s="6"/>
      <c r="B780" s="6"/>
      <c r="C780" s="74"/>
      <c r="D780" s="7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72"/>
      <c r="R780" s="6"/>
      <c r="S780" s="6"/>
      <c r="T780" s="6"/>
      <c r="U780" s="6"/>
      <c r="V780" s="6"/>
    </row>
    <row r="781">
      <c r="A781" s="6"/>
      <c r="B781" s="6"/>
      <c r="C781" s="74"/>
      <c r="D781" s="7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72"/>
      <c r="R781" s="6"/>
      <c r="S781" s="6"/>
      <c r="T781" s="6"/>
      <c r="U781" s="6"/>
      <c r="V781" s="6"/>
    </row>
    <row r="782">
      <c r="A782" s="6"/>
      <c r="B782" s="6"/>
      <c r="C782" s="74"/>
      <c r="D782" s="7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72"/>
      <c r="R782" s="6"/>
      <c r="S782" s="6"/>
      <c r="T782" s="6"/>
      <c r="U782" s="6"/>
      <c r="V782" s="6"/>
    </row>
    <row r="783">
      <c r="A783" s="6"/>
      <c r="B783" s="6"/>
      <c r="C783" s="74"/>
      <c r="D783" s="7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72"/>
      <c r="R783" s="6"/>
      <c r="S783" s="6"/>
      <c r="T783" s="6"/>
      <c r="U783" s="6"/>
      <c r="V783" s="6"/>
    </row>
    <row r="784">
      <c r="A784" s="6"/>
      <c r="B784" s="6"/>
      <c r="C784" s="74"/>
      <c r="D784" s="7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72"/>
      <c r="R784" s="6"/>
      <c r="S784" s="6"/>
      <c r="T784" s="6"/>
      <c r="U784" s="6"/>
      <c r="V784" s="6"/>
    </row>
    <row r="785">
      <c r="A785" s="6"/>
      <c r="B785" s="6"/>
      <c r="C785" s="74"/>
      <c r="D785" s="7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72"/>
      <c r="R785" s="6"/>
      <c r="S785" s="6"/>
      <c r="T785" s="6"/>
      <c r="U785" s="6"/>
      <c r="V785" s="6"/>
    </row>
    <row r="786">
      <c r="A786" s="6"/>
      <c r="B786" s="6"/>
      <c r="C786" s="74"/>
      <c r="D786" s="7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72"/>
      <c r="R786" s="6"/>
      <c r="S786" s="6"/>
      <c r="T786" s="6"/>
      <c r="U786" s="6"/>
      <c r="V786" s="6"/>
    </row>
    <row r="787">
      <c r="A787" s="6"/>
      <c r="B787" s="6"/>
      <c r="C787" s="74"/>
      <c r="D787" s="7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72"/>
      <c r="R787" s="6"/>
      <c r="S787" s="6"/>
      <c r="T787" s="6"/>
      <c r="U787" s="6"/>
      <c r="V787" s="6"/>
    </row>
    <row r="788">
      <c r="A788" s="6"/>
      <c r="B788" s="6"/>
      <c r="C788" s="74"/>
      <c r="D788" s="7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72"/>
      <c r="R788" s="6"/>
      <c r="S788" s="6"/>
      <c r="T788" s="6"/>
      <c r="U788" s="6"/>
      <c r="V788" s="6"/>
    </row>
    <row r="789">
      <c r="A789" s="6"/>
      <c r="B789" s="6"/>
      <c r="C789" s="74"/>
      <c r="D789" s="7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72"/>
      <c r="R789" s="6"/>
      <c r="S789" s="6"/>
      <c r="T789" s="6"/>
      <c r="U789" s="6"/>
      <c r="V789" s="6"/>
    </row>
    <row r="790">
      <c r="A790" s="6"/>
      <c r="B790" s="6"/>
      <c r="C790" s="74"/>
      <c r="D790" s="7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72"/>
      <c r="R790" s="6"/>
      <c r="S790" s="6"/>
      <c r="T790" s="6"/>
      <c r="U790" s="6"/>
      <c r="V790" s="6"/>
    </row>
    <row r="791">
      <c r="A791" s="6"/>
      <c r="B791" s="6"/>
      <c r="C791" s="74"/>
      <c r="D791" s="7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72"/>
      <c r="R791" s="6"/>
      <c r="S791" s="6"/>
      <c r="T791" s="6"/>
      <c r="U791" s="6"/>
      <c r="V791" s="6"/>
    </row>
    <row r="792">
      <c r="A792" s="6"/>
      <c r="B792" s="6"/>
      <c r="C792" s="74"/>
      <c r="D792" s="7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72"/>
      <c r="R792" s="6"/>
      <c r="S792" s="6"/>
      <c r="T792" s="6"/>
      <c r="U792" s="6"/>
      <c r="V792" s="6"/>
    </row>
    <row r="793">
      <c r="A793" s="6"/>
      <c r="B793" s="6"/>
      <c r="C793" s="74"/>
      <c r="D793" s="7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72"/>
      <c r="R793" s="6"/>
      <c r="S793" s="6"/>
      <c r="T793" s="6"/>
      <c r="U793" s="6"/>
      <c r="V793" s="6"/>
    </row>
    <row r="794">
      <c r="A794" s="6"/>
      <c r="B794" s="6"/>
      <c r="C794" s="74"/>
      <c r="D794" s="7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72"/>
      <c r="R794" s="6"/>
      <c r="S794" s="6"/>
      <c r="T794" s="6"/>
      <c r="U794" s="6"/>
      <c r="V794" s="6"/>
    </row>
    <row r="795">
      <c r="A795" s="6"/>
      <c r="B795" s="6"/>
      <c r="C795" s="74"/>
      <c r="D795" s="7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72"/>
      <c r="R795" s="6"/>
      <c r="S795" s="6"/>
      <c r="T795" s="6"/>
      <c r="U795" s="6"/>
      <c r="V795" s="6"/>
    </row>
    <row r="796">
      <c r="A796" s="6"/>
      <c r="B796" s="6"/>
      <c r="C796" s="74"/>
      <c r="D796" s="7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72"/>
      <c r="R796" s="6"/>
      <c r="S796" s="6"/>
      <c r="T796" s="6"/>
      <c r="U796" s="6"/>
      <c r="V796" s="6"/>
    </row>
    <row r="797">
      <c r="A797" s="6"/>
      <c r="B797" s="6"/>
      <c r="C797" s="74"/>
      <c r="D797" s="7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72"/>
      <c r="R797" s="6"/>
      <c r="S797" s="6"/>
      <c r="T797" s="6"/>
      <c r="U797" s="6"/>
      <c r="V797" s="6"/>
    </row>
    <row r="798">
      <c r="A798" s="6"/>
      <c r="B798" s="6"/>
      <c r="C798" s="74"/>
      <c r="D798" s="7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72"/>
      <c r="R798" s="6"/>
      <c r="S798" s="6"/>
      <c r="T798" s="6"/>
      <c r="U798" s="6"/>
      <c r="V798" s="6"/>
    </row>
    <row r="799">
      <c r="A799" s="6"/>
      <c r="B799" s="6"/>
      <c r="C799" s="74"/>
      <c r="D799" s="7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72"/>
      <c r="R799" s="6"/>
      <c r="S799" s="6"/>
      <c r="T799" s="6"/>
      <c r="U799" s="6"/>
      <c r="V799" s="6"/>
    </row>
    <row r="800">
      <c r="A800" s="6"/>
      <c r="B800" s="6"/>
      <c r="C800" s="74"/>
      <c r="D800" s="7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72"/>
      <c r="R800" s="6"/>
      <c r="S800" s="6"/>
      <c r="T800" s="6"/>
      <c r="U800" s="6"/>
      <c r="V800" s="6"/>
    </row>
    <row r="801">
      <c r="A801" s="6"/>
      <c r="B801" s="6"/>
      <c r="C801" s="74"/>
      <c r="D801" s="7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72"/>
      <c r="R801" s="6"/>
      <c r="S801" s="6"/>
      <c r="T801" s="6"/>
      <c r="U801" s="6"/>
      <c r="V801" s="6"/>
    </row>
    <row r="802">
      <c r="A802" s="6"/>
      <c r="B802" s="6"/>
      <c r="C802" s="74"/>
      <c r="D802" s="7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72"/>
      <c r="R802" s="6"/>
      <c r="S802" s="6"/>
      <c r="T802" s="6"/>
      <c r="U802" s="6"/>
      <c r="V802" s="6"/>
    </row>
    <row r="803">
      <c r="A803" s="6"/>
      <c r="B803" s="6"/>
      <c r="C803" s="74"/>
      <c r="D803" s="7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72"/>
      <c r="R803" s="6"/>
      <c r="S803" s="6"/>
      <c r="T803" s="6"/>
      <c r="U803" s="6"/>
      <c r="V803" s="6"/>
    </row>
    <row r="804">
      <c r="A804" s="6"/>
      <c r="B804" s="6"/>
      <c r="C804" s="74"/>
      <c r="D804" s="7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72"/>
      <c r="R804" s="6"/>
      <c r="S804" s="6"/>
      <c r="T804" s="6"/>
      <c r="U804" s="6"/>
      <c r="V804" s="6"/>
    </row>
    <row r="805">
      <c r="A805" s="6"/>
      <c r="B805" s="6"/>
      <c r="C805" s="74"/>
      <c r="D805" s="7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72"/>
      <c r="R805" s="6"/>
      <c r="S805" s="6"/>
      <c r="T805" s="6"/>
      <c r="U805" s="6"/>
      <c r="V805" s="6"/>
    </row>
    <row r="806">
      <c r="A806" s="6"/>
      <c r="B806" s="6"/>
      <c r="C806" s="74"/>
      <c r="D806" s="7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72"/>
      <c r="R806" s="6"/>
      <c r="S806" s="6"/>
      <c r="T806" s="6"/>
      <c r="U806" s="6"/>
      <c r="V806" s="6"/>
    </row>
    <row r="807">
      <c r="A807" s="6"/>
      <c r="B807" s="6"/>
      <c r="C807" s="74"/>
      <c r="D807" s="7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72"/>
      <c r="R807" s="6"/>
      <c r="S807" s="6"/>
      <c r="T807" s="6"/>
      <c r="U807" s="6"/>
      <c r="V807" s="6"/>
    </row>
    <row r="808">
      <c r="A808" s="6"/>
      <c r="B808" s="6"/>
      <c r="C808" s="74"/>
      <c r="D808" s="7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72"/>
      <c r="R808" s="6"/>
      <c r="S808" s="6"/>
      <c r="T808" s="6"/>
      <c r="U808" s="6"/>
      <c r="V808" s="6"/>
    </row>
    <row r="809">
      <c r="A809" s="6"/>
      <c r="B809" s="6"/>
      <c r="C809" s="74"/>
      <c r="D809" s="7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72"/>
      <c r="R809" s="6"/>
      <c r="S809" s="6"/>
      <c r="T809" s="6"/>
      <c r="U809" s="6"/>
      <c r="V809" s="6"/>
    </row>
    <row r="810">
      <c r="A810" s="6"/>
      <c r="B810" s="6"/>
      <c r="C810" s="74"/>
      <c r="D810" s="7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72"/>
      <c r="R810" s="6"/>
      <c r="S810" s="6"/>
      <c r="T810" s="6"/>
      <c r="U810" s="6"/>
      <c r="V810" s="6"/>
    </row>
    <row r="811">
      <c r="A811" s="6"/>
      <c r="B811" s="6"/>
      <c r="C811" s="74"/>
      <c r="D811" s="7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72"/>
      <c r="R811" s="6"/>
      <c r="S811" s="6"/>
      <c r="T811" s="6"/>
      <c r="U811" s="6"/>
      <c r="V811" s="6"/>
    </row>
    <row r="812">
      <c r="A812" s="6"/>
      <c r="B812" s="6"/>
      <c r="C812" s="74"/>
      <c r="D812" s="7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72"/>
      <c r="R812" s="6"/>
      <c r="S812" s="6"/>
      <c r="T812" s="6"/>
      <c r="U812" s="6"/>
      <c r="V812" s="6"/>
    </row>
    <row r="813">
      <c r="A813" s="6"/>
      <c r="B813" s="6"/>
      <c r="C813" s="74"/>
      <c r="D813" s="7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72"/>
      <c r="R813" s="6"/>
      <c r="S813" s="6"/>
      <c r="T813" s="6"/>
      <c r="U813" s="6"/>
      <c r="V813" s="6"/>
    </row>
    <row r="814">
      <c r="A814" s="6"/>
      <c r="B814" s="6"/>
      <c r="C814" s="74"/>
      <c r="D814" s="7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72"/>
      <c r="R814" s="6"/>
      <c r="S814" s="6"/>
      <c r="T814" s="6"/>
      <c r="U814" s="6"/>
      <c r="V814" s="6"/>
    </row>
    <row r="815">
      <c r="A815" s="6"/>
      <c r="B815" s="6"/>
      <c r="C815" s="74"/>
      <c r="D815" s="7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72"/>
      <c r="R815" s="6"/>
      <c r="S815" s="6"/>
      <c r="T815" s="6"/>
      <c r="U815" s="6"/>
      <c r="V815" s="6"/>
    </row>
    <row r="816">
      <c r="A816" s="6"/>
      <c r="B816" s="6"/>
      <c r="C816" s="74"/>
      <c r="D816" s="7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72"/>
      <c r="R816" s="6"/>
      <c r="S816" s="6"/>
      <c r="T816" s="6"/>
      <c r="U816" s="6"/>
      <c r="V816" s="6"/>
    </row>
    <row r="817">
      <c r="A817" s="6"/>
      <c r="B817" s="6"/>
      <c r="C817" s="74"/>
      <c r="D817" s="7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72"/>
      <c r="R817" s="6"/>
      <c r="S817" s="6"/>
      <c r="T817" s="6"/>
      <c r="U817" s="6"/>
      <c r="V817" s="6"/>
    </row>
    <row r="818">
      <c r="A818" s="6"/>
      <c r="B818" s="6"/>
      <c r="C818" s="74"/>
      <c r="D818" s="7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72"/>
      <c r="R818" s="6"/>
      <c r="S818" s="6"/>
      <c r="T818" s="6"/>
      <c r="U818" s="6"/>
      <c r="V818" s="6"/>
    </row>
    <row r="819">
      <c r="A819" s="6"/>
      <c r="B819" s="6"/>
      <c r="C819" s="74"/>
      <c r="D819" s="7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72"/>
      <c r="R819" s="6"/>
      <c r="S819" s="6"/>
      <c r="T819" s="6"/>
      <c r="U819" s="6"/>
      <c r="V819" s="6"/>
    </row>
    <row r="820">
      <c r="A820" s="6"/>
      <c r="B820" s="6"/>
      <c r="C820" s="74"/>
      <c r="D820" s="7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72"/>
      <c r="R820" s="6"/>
      <c r="S820" s="6"/>
      <c r="T820" s="6"/>
      <c r="U820" s="6"/>
      <c r="V820" s="6"/>
    </row>
    <row r="821">
      <c r="A821" s="6"/>
      <c r="B821" s="6"/>
      <c r="C821" s="74"/>
      <c r="D821" s="7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72"/>
      <c r="R821" s="6"/>
      <c r="S821" s="6"/>
      <c r="T821" s="6"/>
      <c r="U821" s="6"/>
      <c r="V821" s="6"/>
    </row>
    <row r="822">
      <c r="A822" s="6"/>
      <c r="B822" s="6"/>
      <c r="C822" s="74"/>
      <c r="D822" s="7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72"/>
      <c r="R822" s="6"/>
      <c r="S822" s="6"/>
      <c r="T822" s="6"/>
      <c r="U822" s="6"/>
      <c r="V822" s="6"/>
    </row>
    <row r="823">
      <c r="A823" s="6"/>
      <c r="B823" s="6"/>
      <c r="C823" s="74"/>
      <c r="D823" s="7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72"/>
      <c r="R823" s="6"/>
      <c r="S823" s="6"/>
      <c r="T823" s="6"/>
      <c r="U823" s="6"/>
      <c r="V823" s="6"/>
    </row>
    <row r="824">
      <c r="A824" s="6"/>
      <c r="B824" s="6"/>
      <c r="C824" s="74"/>
      <c r="D824" s="7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72"/>
      <c r="R824" s="6"/>
      <c r="S824" s="6"/>
      <c r="T824" s="6"/>
      <c r="U824" s="6"/>
      <c r="V824" s="6"/>
    </row>
    <row r="825">
      <c r="A825" s="6"/>
      <c r="B825" s="6"/>
      <c r="C825" s="74"/>
      <c r="D825" s="7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72"/>
      <c r="R825" s="6"/>
      <c r="S825" s="6"/>
      <c r="T825" s="6"/>
      <c r="U825" s="6"/>
      <c r="V825" s="6"/>
    </row>
    <row r="826">
      <c r="A826" s="6"/>
      <c r="B826" s="6"/>
      <c r="C826" s="74"/>
      <c r="D826" s="7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72"/>
      <c r="R826" s="6"/>
      <c r="S826" s="6"/>
      <c r="T826" s="6"/>
      <c r="U826" s="6"/>
      <c r="V826" s="6"/>
    </row>
    <row r="827">
      <c r="A827" s="6"/>
      <c r="B827" s="6"/>
      <c r="C827" s="74"/>
      <c r="D827" s="7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72"/>
      <c r="R827" s="6"/>
      <c r="S827" s="6"/>
      <c r="T827" s="6"/>
      <c r="U827" s="6"/>
      <c r="V827" s="6"/>
    </row>
    <row r="828">
      <c r="A828" s="6"/>
      <c r="B828" s="6"/>
      <c r="C828" s="74"/>
      <c r="D828" s="7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72"/>
      <c r="R828" s="6"/>
      <c r="S828" s="6"/>
      <c r="T828" s="6"/>
      <c r="U828" s="6"/>
      <c r="V828" s="6"/>
    </row>
    <row r="829">
      <c r="A829" s="6"/>
      <c r="B829" s="6"/>
      <c r="C829" s="74"/>
      <c r="D829" s="7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72"/>
      <c r="R829" s="6"/>
      <c r="S829" s="6"/>
      <c r="T829" s="6"/>
      <c r="U829" s="6"/>
      <c r="V829" s="6"/>
    </row>
    <row r="830">
      <c r="A830" s="6"/>
      <c r="B830" s="6"/>
      <c r="C830" s="74"/>
      <c r="D830" s="7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72"/>
      <c r="R830" s="6"/>
      <c r="S830" s="6"/>
      <c r="T830" s="6"/>
      <c r="U830" s="6"/>
      <c r="V830" s="6"/>
    </row>
    <row r="831">
      <c r="A831" s="6"/>
      <c r="B831" s="6"/>
      <c r="C831" s="74"/>
      <c r="D831" s="7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72"/>
      <c r="R831" s="6"/>
      <c r="S831" s="6"/>
      <c r="T831" s="6"/>
      <c r="U831" s="6"/>
      <c r="V831" s="6"/>
    </row>
    <row r="832">
      <c r="A832" s="6"/>
      <c r="B832" s="6"/>
      <c r="C832" s="74"/>
      <c r="D832" s="7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72"/>
      <c r="R832" s="6"/>
      <c r="S832" s="6"/>
      <c r="T832" s="6"/>
      <c r="U832" s="6"/>
      <c r="V832" s="6"/>
    </row>
    <row r="833">
      <c r="A833" s="6"/>
      <c r="B833" s="6"/>
      <c r="C833" s="74"/>
      <c r="D833" s="7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72"/>
      <c r="R833" s="6"/>
      <c r="S833" s="6"/>
      <c r="T833" s="6"/>
      <c r="U833" s="6"/>
      <c r="V833" s="6"/>
    </row>
    <row r="834">
      <c r="A834" s="6"/>
      <c r="B834" s="6"/>
      <c r="C834" s="74"/>
      <c r="D834" s="7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72"/>
      <c r="R834" s="6"/>
      <c r="S834" s="6"/>
      <c r="T834" s="6"/>
      <c r="U834" s="6"/>
      <c r="V834" s="6"/>
    </row>
    <row r="835">
      <c r="A835" s="6"/>
      <c r="B835" s="6"/>
      <c r="C835" s="74"/>
      <c r="D835" s="7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72"/>
      <c r="R835" s="6"/>
      <c r="S835" s="6"/>
      <c r="T835" s="6"/>
      <c r="U835" s="6"/>
      <c r="V835" s="6"/>
    </row>
    <row r="836">
      <c r="A836" s="6"/>
      <c r="B836" s="6"/>
      <c r="C836" s="74"/>
      <c r="D836" s="7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72"/>
      <c r="R836" s="6"/>
      <c r="S836" s="6"/>
      <c r="T836" s="6"/>
      <c r="U836" s="6"/>
      <c r="V836" s="6"/>
    </row>
    <row r="837">
      <c r="A837" s="6"/>
      <c r="B837" s="6"/>
      <c r="C837" s="74"/>
      <c r="D837" s="7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72"/>
      <c r="R837" s="6"/>
      <c r="S837" s="6"/>
      <c r="T837" s="6"/>
      <c r="U837" s="6"/>
      <c r="V837" s="6"/>
    </row>
    <row r="838">
      <c r="A838" s="6"/>
      <c r="B838" s="6"/>
      <c r="C838" s="74"/>
      <c r="D838" s="7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72"/>
      <c r="R838" s="6"/>
      <c r="S838" s="6"/>
      <c r="T838" s="6"/>
      <c r="U838" s="6"/>
      <c r="V838" s="6"/>
    </row>
    <row r="839">
      <c r="A839" s="6"/>
      <c r="B839" s="6"/>
      <c r="C839" s="74"/>
      <c r="D839" s="7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72"/>
      <c r="R839" s="6"/>
      <c r="S839" s="6"/>
      <c r="T839" s="6"/>
      <c r="U839" s="6"/>
      <c r="V839" s="6"/>
    </row>
    <row r="840">
      <c r="A840" s="6"/>
      <c r="B840" s="6"/>
      <c r="C840" s="74"/>
      <c r="D840" s="7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72"/>
      <c r="R840" s="6"/>
      <c r="S840" s="6"/>
      <c r="T840" s="6"/>
      <c r="U840" s="6"/>
      <c r="V840" s="6"/>
    </row>
    <row r="841">
      <c r="A841" s="6"/>
      <c r="B841" s="6"/>
      <c r="C841" s="74"/>
      <c r="D841" s="7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72"/>
      <c r="R841" s="6"/>
      <c r="S841" s="6"/>
      <c r="T841" s="6"/>
      <c r="U841" s="6"/>
      <c r="V841" s="6"/>
    </row>
    <row r="842">
      <c r="A842" s="6"/>
      <c r="B842" s="6"/>
      <c r="C842" s="74"/>
      <c r="D842" s="7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72"/>
      <c r="R842" s="6"/>
      <c r="S842" s="6"/>
      <c r="T842" s="6"/>
      <c r="U842" s="6"/>
      <c r="V842" s="6"/>
    </row>
    <row r="843">
      <c r="A843" s="6"/>
      <c r="B843" s="6"/>
      <c r="C843" s="74"/>
      <c r="D843" s="7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72"/>
      <c r="R843" s="6"/>
      <c r="S843" s="6"/>
      <c r="T843" s="6"/>
      <c r="U843" s="6"/>
      <c r="V843" s="6"/>
    </row>
    <row r="844">
      <c r="A844" s="6"/>
      <c r="B844" s="6"/>
      <c r="C844" s="74"/>
      <c r="D844" s="7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72"/>
      <c r="R844" s="6"/>
      <c r="S844" s="6"/>
      <c r="T844" s="6"/>
      <c r="U844" s="6"/>
      <c r="V844" s="6"/>
    </row>
    <row r="845">
      <c r="A845" s="6"/>
      <c r="B845" s="6"/>
      <c r="C845" s="74"/>
      <c r="D845" s="7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72"/>
      <c r="R845" s="6"/>
      <c r="S845" s="6"/>
      <c r="T845" s="6"/>
      <c r="U845" s="6"/>
      <c r="V845" s="6"/>
    </row>
    <row r="846">
      <c r="A846" s="6"/>
      <c r="B846" s="6"/>
      <c r="C846" s="74"/>
      <c r="D846" s="7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72"/>
      <c r="R846" s="6"/>
      <c r="S846" s="6"/>
      <c r="T846" s="6"/>
      <c r="U846" s="6"/>
      <c r="V846" s="6"/>
    </row>
    <row r="847">
      <c r="A847" s="6"/>
      <c r="B847" s="6"/>
      <c r="C847" s="74"/>
      <c r="D847" s="7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72"/>
      <c r="R847" s="6"/>
      <c r="S847" s="6"/>
      <c r="T847" s="6"/>
      <c r="U847" s="6"/>
      <c r="V847" s="6"/>
    </row>
    <row r="848">
      <c r="A848" s="6"/>
      <c r="B848" s="6"/>
      <c r="C848" s="74"/>
      <c r="D848" s="7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72"/>
      <c r="R848" s="6"/>
      <c r="S848" s="6"/>
      <c r="T848" s="6"/>
      <c r="U848" s="6"/>
      <c r="V848" s="6"/>
    </row>
    <row r="849">
      <c r="A849" s="6"/>
      <c r="B849" s="6"/>
      <c r="C849" s="74"/>
      <c r="D849" s="7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72"/>
      <c r="R849" s="6"/>
      <c r="S849" s="6"/>
      <c r="T849" s="6"/>
      <c r="U849" s="6"/>
      <c r="V849" s="6"/>
    </row>
    <row r="850">
      <c r="A850" s="6"/>
      <c r="B850" s="6"/>
      <c r="C850" s="74"/>
      <c r="D850" s="7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72"/>
      <c r="R850" s="6"/>
      <c r="S850" s="6"/>
      <c r="T850" s="6"/>
      <c r="U850" s="6"/>
      <c r="V850" s="6"/>
    </row>
    <row r="851">
      <c r="A851" s="6"/>
      <c r="B851" s="6"/>
      <c r="C851" s="74"/>
      <c r="D851" s="7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72"/>
      <c r="R851" s="6"/>
      <c r="S851" s="6"/>
      <c r="T851" s="6"/>
      <c r="U851" s="6"/>
      <c r="V851" s="6"/>
    </row>
    <row r="852">
      <c r="A852" s="6"/>
      <c r="B852" s="6"/>
      <c r="C852" s="74"/>
      <c r="D852" s="7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72"/>
      <c r="R852" s="6"/>
      <c r="S852" s="6"/>
      <c r="T852" s="6"/>
      <c r="U852" s="6"/>
      <c r="V852" s="6"/>
    </row>
    <row r="853">
      <c r="A853" s="6"/>
      <c r="B853" s="6"/>
      <c r="C853" s="74"/>
      <c r="D853" s="7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72"/>
      <c r="R853" s="6"/>
      <c r="S853" s="6"/>
      <c r="T853" s="6"/>
      <c r="U853" s="6"/>
      <c r="V853" s="6"/>
    </row>
    <row r="854">
      <c r="A854" s="6"/>
      <c r="B854" s="6"/>
      <c r="C854" s="74"/>
      <c r="D854" s="7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72"/>
      <c r="R854" s="6"/>
      <c r="S854" s="6"/>
      <c r="T854" s="6"/>
      <c r="U854" s="6"/>
      <c r="V854" s="6"/>
    </row>
    <row r="855">
      <c r="A855" s="6"/>
      <c r="B855" s="6"/>
      <c r="C855" s="74"/>
      <c r="D855" s="7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72"/>
      <c r="R855" s="6"/>
      <c r="S855" s="6"/>
      <c r="T855" s="6"/>
      <c r="U855" s="6"/>
      <c r="V855" s="6"/>
    </row>
    <row r="856">
      <c r="A856" s="6"/>
      <c r="B856" s="6"/>
      <c r="C856" s="74"/>
      <c r="D856" s="7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72"/>
      <c r="R856" s="6"/>
      <c r="S856" s="6"/>
      <c r="T856" s="6"/>
      <c r="U856" s="6"/>
      <c r="V856" s="6"/>
    </row>
    <row r="857">
      <c r="A857" s="6"/>
      <c r="B857" s="6"/>
      <c r="C857" s="74"/>
      <c r="D857" s="7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72"/>
      <c r="R857" s="6"/>
      <c r="S857" s="6"/>
      <c r="T857" s="6"/>
      <c r="U857" s="6"/>
      <c r="V857" s="6"/>
    </row>
    <row r="858">
      <c r="A858" s="6"/>
      <c r="B858" s="6"/>
      <c r="C858" s="74"/>
      <c r="D858" s="7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72"/>
      <c r="R858" s="6"/>
      <c r="S858" s="6"/>
      <c r="T858" s="6"/>
      <c r="U858" s="6"/>
      <c r="V858" s="6"/>
    </row>
    <row r="859">
      <c r="A859" s="6"/>
      <c r="B859" s="6"/>
      <c r="C859" s="74"/>
      <c r="D859" s="7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72"/>
      <c r="R859" s="6"/>
      <c r="S859" s="6"/>
      <c r="T859" s="6"/>
      <c r="U859" s="6"/>
      <c r="V859" s="6"/>
    </row>
    <row r="860">
      <c r="A860" s="6"/>
      <c r="B860" s="6"/>
      <c r="C860" s="74"/>
      <c r="D860" s="7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72"/>
      <c r="R860" s="6"/>
      <c r="S860" s="6"/>
      <c r="T860" s="6"/>
      <c r="U860" s="6"/>
      <c r="V860" s="6"/>
    </row>
    <row r="861">
      <c r="A861" s="6"/>
      <c r="B861" s="6"/>
      <c r="C861" s="74"/>
      <c r="D861" s="7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72"/>
      <c r="R861" s="6"/>
      <c r="S861" s="6"/>
      <c r="T861" s="6"/>
      <c r="U861" s="6"/>
      <c r="V861" s="6"/>
    </row>
    <row r="862">
      <c r="A862" s="6"/>
      <c r="B862" s="6"/>
      <c r="C862" s="74"/>
      <c r="D862" s="7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72"/>
      <c r="R862" s="6"/>
      <c r="S862" s="6"/>
      <c r="T862" s="6"/>
      <c r="U862" s="6"/>
      <c r="V862" s="6"/>
    </row>
    <row r="863">
      <c r="A863" s="6"/>
      <c r="B863" s="6"/>
      <c r="C863" s="74"/>
      <c r="D863" s="7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72"/>
      <c r="R863" s="6"/>
      <c r="S863" s="6"/>
      <c r="T863" s="6"/>
      <c r="U863" s="6"/>
      <c r="V863" s="6"/>
    </row>
    <row r="864">
      <c r="A864" s="6"/>
      <c r="B864" s="6"/>
      <c r="C864" s="74"/>
      <c r="D864" s="7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72"/>
      <c r="R864" s="6"/>
      <c r="S864" s="6"/>
      <c r="T864" s="6"/>
      <c r="U864" s="6"/>
      <c r="V864" s="6"/>
    </row>
    <row r="865">
      <c r="A865" s="6"/>
      <c r="B865" s="6"/>
      <c r="C865" s="74"/>
      <c r="D865" s="7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72"/>
      <c r="R865" s="6"/>
      <c r="S865" s="6"/>
      <c r="T865" s="6"/>
      <c r="U865" s="6"/>
      <c r="V865" s="6"/>
    </row>
    <row r="866">
      <c r="A866" s="6"/>
      <c r="B866" s="6"/>
      <c r="C866" s="74"/>
      <c r="D866" s="7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72"/>
      <c r="R866" s="6"/>
      <c r="S866" s="6"/>
      <c r="T866" s="6"/>
      <c r="U866" s="6"/>
      <c r="V866" s="6"/>
    </row>
    <row r="867">
      <c r="A867" s="6"/>
      <c r="B867" s="6"/>
      <c r="C867" s="74"/>
      <c r="D867" s="7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72"/>
      <c r="R867" s="6"/>
      <c r="S867" s="6"/>
      <c r="T867" s="6"/>
      <c r="U867" s="6"/>
      <c r="V867" s="6"/>
    </row>
    <row r="868">
      <c r="A868" s="6"/>
      <c r="B868" s="6"/>
      <c r="C868" s="74"/>
      <c r="D868" s="7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72"/>
      <c r="R868" s="6"/>
      <c r="S868" s="6"/>
      <c r="T868" s="6"/>
      <c r="U868" s="6"/>
      <c r="V868" s="6"/>
    </row>
    <row r="869">
      <c r="A869" s="6"/>
      <c r="B869" s="6"/>
      <c r="C869" s="74"/>
      <c r="D869" s="7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72"/>
      <c r="R869" s="6"/>
      <c r="S869" s="6"/>
      <c r="T869" s="6"/>
      <c r="U869" s="6"/>
      <c r="V869" s="6"/>
    </row>
    <row r="870">
      <c r="A870" s="6"/>
      <c r="B870" s="6"/>
      <c r="C870" s="74"/>
      <c r="D870" s="7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72"/>
      <c r="R870" s="6"/>
      <c r="S870" s="6"/>
      <c r="T870" s="6"/>
      <c r="U870" s="6"/>
      <c r="V870" s="6"/>
    </row>
    <row r="871">
      <c r="A871" s="6"/>
      <c r="B871" s="6"/>
      <c r="C871" s="74"/>
      <c r="D871" s="7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72"/>
      <c r="R871" s="6"/>
      <c r="S871" s="6"/>
      <c r="T871" s="6"/>
      <c r="U871" s="6"/>
      <c r="V871" s="6"/>
    </row>
    <row r="872">
      <c r="A872" s="6"/>
      <c r="B872" s="6"/>
      <c r="C872" s="74"/>
      <c r="D872" s="7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72"/>
      <c r="R872" s="6"/>
      <c r="S872" s="6"/>
      <c r="T872" s="6"/>
      <c r="U872" s="6"/>
      <c r="V872" s="6"/>
    </row>
    <row r="873">
      <c r="A873" s="6"/>
      <c r="B873" s="6"/>
      <c r="C873" s="74"/>
      <c r="D873" s="7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72"/>
      <c r="R873" s="6"/>
      <c r="S873" s="6"/>
      <c r="T873" s="6"/>
      <c r="U873" s="6"/>
      <c r="V873" s="6"/>
    </row>
    <row r="874">
      <c r="A874" s="6"/>
      <c r="B874" s="6"/>
      <c r="C874" s="74"/>
      <c r="D874" s="7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72"/>
      <c r="R874" s="6"/>
      <c r="S874" s="6"/>
      <c r="T874" s="6"/>
      <c r="U874" s="6"/>
      <c r="V874" s="6"/>
    </row>
    <row r="875">
      <c r="A875" s="6"/>
      <c r="B875" s="6"/>
      <c r="C875" s="74"/>
      <c r="D875" s="7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72"/>
      <c r="R875" s="6"/>
      <c r="S875" s="6"/>
      <c r="T875" s="6"/>
      <c r="U875" s="6"/>
      <c r="V875" s="6"/>
    </row>
    <row r="876">
      <c r="A876" s="6"/>
      <c r="B876" s="6"/>
      <c r="C876" s="74"/>
      <c r="D876" s="7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72"/>
      <c r="R876" s="6"/>
      <c r="S876" s="6"/>
      <c r="T876" s="6"/>
      <c r="U876" s="6"/>
      <c r="V876" s="6"/>
    </row>
    <row r="877">
      <c r="A877" s="6"/>
      <c r="B877" s="6"/>
      <c r="C877" s="74"/>
      <c r="D877" s="7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72"/>
      <c r="R877" s="6"/>
      <c r="S877" s="6"/>
      <c r="T877" s="6"/>
      <c r="U877" s="6"/>
      <c r="V877" s="6"/>
    </row>
    <row r="878">
      <c r="A878" s="6"/>
      <c r="B878" s="6"/>
      <c r="C878" s="74"/>
      <c r="D878" s="7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72"/>
      <c r="R878" s="6"/>
      <c r="S878" s="6"/>
      <c r="T878" s="6"/>
      <c r="U878" s="6"/>
      <c r="V878" s="6"/>
    </row>
    <row r="879">
      <c r="A879" s="6"/>
      <c r="B879" s="6"/>
      <c r="C879" s="74"/>
      <c r="D879" s="7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72"/>
      <c r="R879" s="6"/>
      <c r="S879" s="6"/>
      <c r="T879" s="6"/>
      <c r="U879" s="6"/>
      <c r="V879" s="6"/>
    </row>
    <row r="880">
      <c r="A880" s="6"/>
      <c r="B880" s="6"/>
      <c r="C880" s="74"/>
      <c r="D880" s="7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72"/>
      <c r="R880" s="6"/>
      <c r="S880" s="6"/>
      <c r="T880" s="6"/>
      <c r="U880" s="6"/>
      <c r="V880" s="6"/>
    </row>
    <row r="881">
      <c r="A881" s="6"/>
      <c r="B881" s="6"/>
      <c r="C881" s="74"/>
      <c r="D881" s="7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72"/>
      <c r="R881" s="6"/>
      <c r="S881" s="6"/>
      <c r="T881" s="6"/>
      <c r="U881" s="6"/>
      <c r="V881" s="6"/>
    </row>
    <row r="882">
      <c r="A882" s="6"/>
      <c r="B882" s="6"/>
      <c r="C882" s="74"/>
      <c r="D882" s="7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72"/>
      <c r="R882" s="6"/>
      <c r="S882" s="6"/>
      <c r="T882" s="6"/>
      <c r="U882" s="6"/>
      <c r="V882" s="6"/>
    </row>
    <row r="883">
      <c r="A883" s="6"/>
      <c r="B883" s="6"/>
      <c r="C883" s="74"/>
      <c r="D883" s="7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72"/>
      <c r="R883" s="6"/>
      <c r="S883" s="6"/>
      <c r="T883" s="6"/>
      <c r="U883" s="6"/>
      <c r="V883" s="6"/>
    </row>
    <row r="884">
      <c r="A884" s="6"/>
      <c r="B884" s="6"/>
      <c r="C884" s="74"/>
      <c r="D884" s="7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72"/>
      <c r="R884" s="6"/>
      <c r="S884" s="6"/>
      <c r="T884" s="6"/>
      <c r="U884" s="6"/>
      <c r="V884" s="6"/>
    </row>
    <row r="885">
      <c r="A885" s="6"/>
      <c r="B885" s="6"/>
      <c r="C885" s="74"/>
      <c r="D885" s="7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72"/>
      <c r="R885" s="6"/>
      <c r="S885" s="6"/>
      <c r="T885" s="6"/>
      <c r="U885" s="6"/>
      <c r="V885" s="6"/>
    </row>
    <row r="886">
      <c r="A886" s="6"/>
      <c r="B886" s="6"/>
      <c r="C886" s="74"/>
      <c r="D886" s="7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72"/>
      <c r="R886" s="6"/>
      <c r="S886" s="6"/>
      <c r="T886" s="6"/>
      <c r="U886" s="6"/>
      <c r="V886" s="6"/>
    </row>
    <row r="887">
      <c r="A887" s="6"/>
      <c r="B887" s="6"/>
      <c r="C887" s="74"/>
      <c r="D887" s="7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72"/>
      <c r="R887" s="6"/>
      <c r="S887" s="6"/>
      <c r="T887" s="6"/>
      <c r="U887" s="6"/>
      <c r="V887" s="6"/>
    </row>
    <row r="888">
      <c r="A888" s="6"/>
      <c r="B888" s="6"/>
      <c r="C888" s="74"/>
      <c r="D888" s="7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72"/>
      <c r="R888" s="6"/>
      <c r="S888" s="6"/>
      <c r="T888" s="6"/>
      <c r="U888" s="6"/>
      <c r="V888" s="6"/>
    </row>
    <row r="889">
      <c r="A889" s="6"/>
      <c r="B889" s="6"/>
      <c r="C889" s="74"/>
      <c r="D889" s="7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72"/>
      <c r="R889" s="6"/>
      <c r="S889" s="6"/>
      <c r="T889" s="6"/>
      <c r="U889" s="6"/>
      <c r="V889" s="6"/>
    </row>
    <row r="890">
      <c r="A890" s="6"/>
      <c r="B890" s="6"/>
      <c r="C890" s="74"/>
      <c r="D890" s="7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72"/>
      <c r="R890" s="6"/>
      <c r="S890" s="6"/>
      <c r="T890" s="6"/>
      <c r="U890" s="6"/>
      <c r="V890" s="6"/>
    </row>
    <row r="891">
      <c r="A891" s="6"/>
      <c r="B891" s="6"/>
      <c r="C891" s="74"/>
      <c r="D891" s="7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72"/>
      <c r="R891" s="6"/>
      <c r="S891" s="6"/>
      <c r="T891" s="6"/>
      <c r="U891" s="6"/>
      <c r="V891" s="6"/>
    </row>
    <row r="892">
      <c r="A892" s="6"/>
      <c r="B892" s="6"/>
      <c r="C892" s="74"/>
      <c r="D892" s="7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72"/>
      <c r="R892" s="6"/>
      <c r="S892" s="6"/>
      <c r="T892" s="6"/>
      <c r="U892" s="6"/>
      <c r="V892" s="6"/>
    </row>
    <row r="893">
      <c r="A893" s="6"/>
      <c r="B893" s="6"/>
      <c r="C893" s="74"/>
      <c r="D893" s="7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72"/>
      <c r="R893" s="6"/>
      <c r="S893" s="6"/>
      <c r="T893" s="6"/>
      <c r="U893" s="6"/>
      <c r="V893" s="6"/>
    </row>
    <row r="894">
      <c r="A894" s="6"/>
      <c r="B894" s="6"/>
      <c r="C894" s="74"/>
      <c r="D894" s="7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72"/>
      <c r="R894" s="6"/>
      <c r="S894" s="6"/>
      <c r="T894" s="6"/>
      <c r="U894" s="6"/>
      <c r="V894" s="6"/>
    </row>
    <row r="895">
      <c r="A895" s="6"/>
      <c r="B895" s="6"/>
      <c r="C895" s="74"/>
      <c r="D895" s="7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72"/>
      <c r="R895" s="6"/>
      <c r="S895" s="6"/>
      <c r="T895" s="6"/>
      <c r="U895" s="6"/>
      <c r="V895" s="6"/>
    </row>
    <row r="896">
      <c r="A896" s="6"/>
      <c r="B896" s="6"/>
      <c r="C896" s="74"/>
      <c r="D896" s="7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72"/>
      <c r="R896" s="6"/>
      <c r="S896" s="6"/>
      <c r="T896" s="6"/>
      <c r="U896" s="6"/>
      <c r="V896" s="6"/>
    </row>
    <row r="897">
      <c r="A897" s="6"/>
      <c r="B897" s="6"/>
      <c r="C897" s="74"/>
      <c r="D897" s="7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72"/>
      <c r="R897" s="6"/>
      <c r="S897" s="6"/>
      <c r="T897" s="6"/>
      <c r="U897" s="6"/>
      <c r="V897" s="6"/>
    </row>
    <row r="898">
      <c r="A898" s="6"/>
      <c r="B898" s="6"/>
      <c r="C898" s="74"/>
      <c r="D898" s="7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72"/>
      <c r="R898" s="6"/>
      <c r="S898" s="6"/>
      <c r="T898" s="6"/>
      <c r="U898" s="6"/>
      <c r="V898" s="6"/>
    </row>
    <row r="899">
      <c r="A899" s="6"/>
      <c r="B899" s="6"/>
      <c r="C899" s="74"/>
      <c r="D899" s="7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72"/>
      <c r="R899" s="6"/>
      <c r="S899" s="6"/>
      <c r="T899" s="6"/>
      <c r="U899" s="6"/>
      <c r="V899" s="6"/>
    </row>
    <row r="900">
      <c r="A900" s="6"/>
      <c r="B900" s="6"/>
      <c r="C900" s="74"/>
      <c r="D900" s="7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72"/>
      <c r="R900" s="6"/>
      <c r="S900" s="6"/>
      <c r="T900" s="6"/>
      <c r="U900" s="6"/>
      <c r="V900" s="6"/>
    </row>
    <row r="901">
      <c r="A901" s="6"/>
      <c r="B901" s="6"/>
      <c r="C901" s="74"/>
      <c r="D901" s="7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72"/>
      <c r="R901" s="6"/>
      <c r="S901" s="6"/>
      <c r="T901" s="6"/>
      <c r="U901" s="6"/>
      <c r="V901" s="6"/>
    </row>
    <row r="902">
      <c r="A902" s="6"/>
      <c r="B902" s="6"/>
      <c r="C902" s="74"/>
      <c r="D902" s="7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72"/>
      <c r="R902" s="6"/>
      <c r="S902" s="6"/>
      <c r="T902" s="6"/>
      <c r="U902" s="6"/>
      <c r="V902" s="6"/>
    </row>
    <row r="903">
      <c r="A903" s="6"/>
      <c r="B903" s="6"/>
      <c r="C903" s="74"/>
      <c r="D903" s="7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72"/>
      <c r="R903" s="6"/>
      <c r="S903" s="6"/>
      <c r="T903" s="6"/>
      <c r="U903" s="6"/>
      <c r="V903" s="6"/>
    </row>
    <row r="904">
      <c r="A904" s="6"/>
      <c r="B904" s="6"/>
      <c r="C904" s="74"/>
      <c r="D904" s="7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72"/>
      <c r="R904" s="6"/>
      <c r="S904" s="6"/>
      <c r="T904" s="6"/>
      <c r="U904" s="6"/>
      <c r="V904" s="6"/>
    </row>
    <row r="905">
      <c r="A905" s="6"/>
      <c r="B905" s="6"/>
      <c r="C905" s="74"/>
      <c r="D905" s="7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72"/>
      <c r="R905" s="6"/>
      <c r="S905" s="6"/>
      <c r="T905" s="6"/>
      <c r="U905" s="6"/>
      <c r="V905" s="6"/>
    </row>
    <row r="906">
      <c r="A906" s="6"/>
      <c r="B906" s="6"/>
      <c r="C906" s="74"/>
      <c r="D906" s="7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72"/>
      <c r="R906" s="6"/>
      <c r="S906" s="6"/>
      <c r="T906" s="6"/>
      <c r="U906" s="6"/>
      <c r="V906" s="6"/>
    </row>
    <row r="907">
      <c r="A907" s="6"/>
      <c r="B907" s="6"/>
      <c r="C907" s="74"/>
      <c r="D907" s="7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72"/>
      <c r="R907" s="6"/>
      <c r="S907" s="6"/>
      <c r="T907" s="6"/>
      <c r="U907" s="6"/>
      <c r="V907" s="6"/>
    </row>
    <row r="908">
      <c r="A908" s="6"/>
      <c r="B908" s="6"/>
      <c r="C908" s="74"/>
      <c r="D908" s="7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72"/>
      <c r="R908" s="6"/>
      <c r="S908" s="6"/>
      <c r="T908" s="6"/>
      <c r="U908" s="6"/>
      <c r="V908" s="6"/>
    </row>
    <row r="909">
      <c r="A909" s="6"/>
      <c r="B909" s="6"/>
      <c r="C909" s="74"/>
      <c r="D909" s="7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72"/>
      <c r="R909" s="6"/>
      <c r="S909" s="6"/>
      <c r="T909" s="6"/>
      <c r="U909" s="6"/>
      <c r="V909" s="6"/>
    </row>
    <row r="910">
      <c r="A910" s="6"/>
      <c r="B910" s="6"/>
      <c r="C910" s="74"/>
      <c r="D910" s="7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72"/>
      <c r="R910" s="6"/>
      <c r="S910" s="6"/>
      <c r="T910" s="6"/>
      <c r="U910" s="6"/>
      <c r="V910" s="6"/>
    </row>
    <row r="911">
      <c r="A911" s="6"/>
      <c r="B911" s="6"/>
      <c r="C911" s="74"/>
      <c r="D911" s="7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72"/>
      <c r="R911" s="6"/>
      <c r="S911" s="6"/>
      <c r="T911" s="6"/>
      <c r="U911" s="6"/>
      <c r="V911" s="6"/>
    </row>
    <row r="912">
      <c r="A912" s="6"/>
      <c r="B912" s="6"/>
      <c r="C912" s="74"/>
      <c r="D912" s="7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72"/>
      <c r="R912" s="6"/>
      <c r="S912" s="6"/>
      <c r="T912" s="6"/>
      <c r="U912" s="6"/>
      <c r="V912" s="6"/>
    </row>
    <row r="913">
      <c r="A913" s="6"/>
      <c r="B913" s="6"/>
      <c r="C913" s="74"/>
      <c r="D913" s="7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72"/>
      <c r="R913" s="6"/>
      <c r="S913" s="6"/>
      <c r="T913" s="6"/>
      <c r="U913" s="6"/>
      <c r="V91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7.25"/>
    <col customWidth="1" min="4" max="4" width="16.0"/>
    <col customWidth="1" min="5" max="6" width="17.38"/>
    <col customWidth="1" min="7" max="7" width="18.25"/>
    <col customWidth="1" min="8" max="8" width="16.88"/>
    <col customWidth="1" min="15" max="15" width="14.88"/>
  </cols>
  <sheetData>
    <row r="1">
      <c r="A1" s="79" t="s">
        <v>0</v>
      </c>
      <c r="B1" s="79" t="s">
        <v>1</v>
      </c>
      <c r="C1" s="79" t="s">
        <v>2</v>
      </c>
      <c r="D1" s="80" t="s">
        <v>3</v>
      </c>
      <c r="E1" s="81" t="s">
        <v>16</v>
      </c>
      <c r="F1" s="82" t="s">
        <v>4</v>
      </c>
      <c r="G1" s="82" t="s">
        <v>5</v>
      </c>
      <c r="H1" s="82" t="s">
        <v>6</v>
      </c>
      <c r="I1" s="83" t="s">
        <v>7</v>
      </c>
      <c r="J1" s="83" t="s">
        <v>8</v>
      </c>
      <c r="K1" s="84" t="s">
        <v>9</v>
      </c>
      <c r="L1" s="84" t="s">
        <v>10</v>
      </c>
      <c r="M1" s="85" t="s">
        <v>11</v>
      </c>
      <c r="N1" s="85" t="s">
        <v>14</v>
      </c>
      <c r="O1" s="79" t="s">
        <v>15</v>
      </c>
      <c r="P1" s="6"/>
      <c r="Q1" s="6"/>
      <c r="R1" s="6"/>
      <c r="S1" s="6"/>
      <c r="T1" s="6"/>
    </row>
    <row r="2">
      <c r="A2" s="79" t="s">
        <v>17</v>
      </c>
      <c r="B2" s="86" t="s">
        <v>18</v>
      </c>
      <c r="C2" s="86" t="s">
        <v>19</v>
      </c>
      <c r="D2" s="87" t="s">
        <v>20</v>
      </c>
      <c r="E2" s="88" t="s">
        <v>33</v>
      </c>
      <c r="F2" s="89" t="s">
        <v>21</v>
      </c>
      <c r="G2" s="90" t="s">
        <v>22</v>
      </c>
      <c r="H2" s="90" t="s">
        <v>22</v>
      </c>
      <c r="I2" s="91" t="s">
        <v>24</v>
      </c>
      <c r="J2" s="91" t="s">
        <v>25</v>
      </c>
      <c r="K2" s="84" t="s">
        <v>9</v>
      </c>
      <c r="L2" s="84" t="s">
        <v>10</v>
      </c>
      <c r="M2" s="85" t="s">
        <v>11</v>
      </c>
      <c r="N2" s="85" t="s">
        <v>14</v>
      </c>
      <c r="O2" s="86" t="s">
        <v>32</v>
      </c>
      <c r="P2" s="6"/>
      <c r="Q2" s="6"/>
      <c r="R2" s="6"/>
      <c r="S2" s="6"/>
      <c r="T2" s="6"/>
    </row>
    <row r="3">
      <c r="A3" s="92" t="s">
        <v>34</v>
      </c>
      <c r="B3" s="92" t="s">
        <v>35</v>
      </c>
      <c r="C3" s="92" t="s">
        <v>36</v>
      </c>
      <c r="D3" s="93">
        <f t="shared" ref="D3:D265" si="1">(C3-C4)/C4</f>
        <v>0.03292845547</v>
      </c>
      <c r="E3" s="92" t="s">
        <v>40</v>
      </c>
      <c r="F3" s="94" t="s">
        <v>34</v>
      </c>
      <c r="G3" s="95">
        <f t="shared" ref="G3:G266" si="2">(H3+B3)/A3</f>
        <v>98.3242359</v>
      </c>
      <c r="H3" s="29">
        <v>8.417215653965919E13</v>
      </c>
      <c r="I3" s="96">
        <v>2024.0</v>
      </c>
      <c r="J3" s="97" t="s">
        <v>37</v>
      </c>
      <c r="K3" s="98">
        <v>91.0</v>
      </c>
      <c r="L3" s="98" t="s">
        <v>38</v>
      </c>
      <c r="M3" s="99">
        <v>23.6602096848236</v>
      </c>
      <c r="N3" s="99">
        <v>21.6148974043115</v>
      </c>
      <c r="O3" s="92" t="s">
        <v>39</v>
      </c>
      <c r="P3" s="6"/>
      <c r="Q3" s="6"/>
      <c r="R3" s="6"/>
      <c r="S3" s="6"/>
      <c r="T3" s="6"/>
    </row>
    <row r="4">
      <c r="A4" s="92" t="s">
        <v>41</v>
      </c>
      <c r="B4" s="92" t="s">
        <v>42</v>
      </c>
      <c r="C4" s="92" t="s">
        <v>43</v>
      </c>
      <c r="D4" s="93">
        <f t="shared" si="1"/>
        <v>0.1465927749</v>
      </c>
      <c r="E4" s="92" t="s">
        <v>45</v>
      </c>
      <c r="F4" s="94" t="s">
        <v>41</v>
      </c>
      <c r="G4" s="95">
        <f t="shared" si="2"/>
        <v>82.92625037</v>
      </c>
      <c r="H4" s="29">
        <v>5.8959101427036164E13</v>
      </c>
      <c r="I4" s="96">
        <v>2023.0</v>
      </c>
      <c r="J4" s="97" t="s">
        <v>37</v>
      </c>
      <c r="K4" s="98" t="s">
        <v>38</v>
      </c>
      <c r="L4" s="98">
        <v>78.0</v>
      </c>
      <c r="M4" s="99">
        <v>21.6148974043115</v>
      </c>
      <c r="N4" s="99">
        <v>18.1756591237636</v>
      </c>
      <c r="O4" s="92" t="s">
        <v>44</v>
      </c>
      <c r="P4" s="6"/>
      <c r="Q4" s="6"/>
      <c r="R4" s="6"/>
      <c r="S4" s="6"/>
      <c r="T4" s="6"/>
    </row>
    <row r="5">
      <c r="A5" s="92" t="s">
        <v>46</v>
      </c>
      <c r="B5" s="92" t="s">
        <v>47</v>
      </c>
      <c r="C5" s="92" t="s">
        <v>48</v>
      </c>
      <c r="D5" s="93">
        <f t="shared" si="1"/>
        <v>0.1852903494</v>
      </c>
      <c r="E5" s="92" t="s">
        <v>50</v>
      </c>
      <c r="F5" s="94" t="s">
        <v>46</v>
      </c>
      <c r="G5" s="95">
        <f t="shared" si="2"/>
        <v>60.29625947</v>
      </c>
      <c r="H5" s="29">
        <v>3.610316336076707E13</v>
      </c>
      <c r="I5" s="96">
        <v>2022.0</v>
      </c>
      <c r="J5" s="97" t="s">
        <v>37</v>
      </c>
      <c r="K5" s="98">
        <v>78.0</v>
      </c>
      <c r="L5" s="98">
        <v>71.0</v>
      </c>
      <c r="M5" s="99">
        <v>18.1756591237636</v>
      </c>
      <c r="N5" s="99">
        <v>12.1839371970674</v>
      </c>
      <c r="O5" s="92" t="s">
        <v>49</v>
      </c>
      <c r="P5" s="6"/>
      <c r="Q5" s="6"/>
      <c r="R5" s="6"/>
      <c r="S5" s="6"/>
      <c r="T5" s="6"/>
    </row>
    <row r="6">
      <c r="A6" s="92" t="s">
        <v>51</v>
      </c>
      <c r="B6" s="92" t="s">
        <v>52</v>
      </c>
      <c r="C6" s="92" t="s">
        <v>53</v>
      </c>
      <c r="D6" s="93">
        <f t="shared" si="1"/>
        <v>0.3102429425</v>
      </c>
      <c r="E6" s="92" t="s">
        <v>55</v>
      </c>
      <c r="F6" s="94" t="s">
        <v>51</v>
      </c>
      <c r="G6" s="95">
        <f t="shared" si="2"/>
        <v>69.88418246</v>
      </c>
      <c r="H6" s="29">
        <v>3.639990202655112E13</v>
      </c>
      <c r="I6" s="96">
        <v>2021.0</v>
      </c>
      <c r="J6" s="97" t="s">
        <v>37</v>
      </c>
      <c r="K6" s="98">
        <v>71.0</v>
      </c>
      <c r="L6" s="98">
        <v>65.0</v>
      </c>
      <c r="M6" s="99">
        <v>12.1839371970674</v>
      </c>
      <c r="N6" s="99">
        <v>12.2738906719289</v>
      </c>
      <c r="O6" s="92" t="s">
        <v>54</v>
      </c>
      <c r="P6" s="6"/>
      <c r="Q6" s="6"/>
      <c r="R6" s="6"/>
      <c r="S6" s="6"/>
      <c r="T6" s="6"/>
    </row>
    <row r="7">
      <c r="A7" s="92" t="s">
        <v>56</v>
      </c>
      <c r="B7" s="92" t="s">
        <v>57</v>
      </c>
      <c r="C7" s="92" t="s">
        <v>58</v>
      </c>
      <c r="D7" s="93">
        <f t="shared" si="1"/>
        <v>0.2261094738</v>
      </c>
      <c r="E7" s="92" t="s">
        <v>60</v>
      </c>
      <c r="F7" s="94" t="s">
        <v>56</v>
      </c>
      <c r="G7" s="95">
        <f t="shared" si="2"/>
        <v>41.96267084</v>
      </c>
      <c r="H7" s="29">
        <v>1.8244588489885074E13</v>
      </c>
      <c r="I7" s="96">
        <v>2020.0</v>
      </c>
      <c r="J7" s="97" t="s">
        <v>37</v>
      </c>
      <c r="K7" s="98">
        <v>65.0</v>
      </c>
      <c r="L7" s="98">
        <v>63.0</v>
      </c>
      <c r="M7" s="99">
        <v>12.2738906719289</v>
      </c>
      <c r="N7" s="99">
        <v>11.3076296512967</v>
      </c>
      <c r="O7" s="92" t="s">
        <v>59</v>
      </c>
      <c r="P7" s="6"/>
      <c r="Q7" s="6"/>
      <c r="R7" s="6"/>
      <c r="S7" s="6"/>
      <c r="T7" s="6"/>
    </row>
    <row r="8">
      <c r="A8" s="92" t="s">
        <v>61</v>
      </c>
      <c r="B8" s="92" t="s">
        <v>62</v>
      </c>
      <c r="C8" s="92" t="s">
        <v>63</v>
      </c>
      <c r="D8" s="93">
        <f t="shared" si="1"/>
        <v>0.1952962522</v>
      </c>
      <c r="E8" s="92" t="s">
        <v>66</v>
      </c>
      <c r="F8" s="94" t="s">
        <v>61</v>
      </c>
      <c r="G8" s="95">
        <f t="shared" si="2"/>
        <v>23.93820585</v>
      </c>
      <c r="H8" s="29">
        <v>8.82489850883776E12</v>
      </c>
      <c r="I8" s="97">
        <v>2019.0</v>
      </c>
      <c r="J8" s="97" t="s">
        <v>37</v>
      </c>
      <c r="K8" s="98">
        <v>63.0</v>
      </c>
      <c r="L8" s="98" t="s">
        <v>64</v>
      </c>
      <c r="M8" s="99">
        <v>11.3076296512967</v>
      </c>
      <c r="N8" s="99">
        <v>11.3396223992414</v>
      </c>
      <c r="O8" s="92" t="s">
        <v>65</v>
      </c>
      <c r="P8" s="6"/>
      <c r="Q8" s="6"/>
      <c r="R8" s="6"/>
      <c r="S8" s="6"/>
      <c r="T8" s="6"/>
    </row>
    <row r="9">
      <c r="A9" s="92" t="s">
        <v>67</v>
      </c>
      <c r="B9" s="92" t="s">
        <v>68</v>
      </c>
      <c r="C9" s="92" t="s">
        <v>69</v>
      </c>
      <c r="D9" s="93">
        <f t="shared" si="1"/>
        <v>0.1595439454</v>
      </c>
      <c r="E9" s="92" t="s">
        <v>71</v>
      </c>
      <c r="F9" s="94" t="s">
        <v>67</v>
      </c>
      <c r="G9" s="95">
        <f t="shared" si="2"/>
        <v>22.27061829</v>
      </c>
      <c r="H9" s="29">
        <v>7.026139557428437E12</v>
      </c>
      <c r="I9" s="96">
        <v>2018.0</v>
      </c>
      <c r="J9" s="97" t="s">
        <v>37</v>
      </c>
      <c r="K9" s="98" t="s">
        <v>64</v>
      </c>
      <c r="L9" s="98">
        <v>55.0</v>
      </c>
      <c r="M9" s="99">
        <v>11.3396223992414</v>
      </c>
      <c r="N9" s="99">
        <v>12.4741307475021</v>
      </c>
      <c r="O9" s="92" t="s">
        <v>70</v>
      </c>
      <c r="P9" s="6"/>
      <c r="Q9" s="6"/>
      <c r="R9" s="6"/>
      <c r="S9" s="6"/>
      <c r="T9" s="6"/>
    </row>
    <row r="10">
      <c r="A10" s="92" t="s">
        <v>72</v>
      </c>
      <c r="B10" s="92" t="s">
        <v>73</v>
      </c>
      <c r="C10" s="92" t="s">
        <v>74</v>
      </c>
      <c r="D10" s="93">
        <f t="shared" si="1"/>
        <v>0.4493232459</v>
      </c>
      <c r="E10" s="92" t="s">
        <v>76</v>
      </c>
      <c r="F10" s="94" t="s">
        <v>72</v>
      </c>
      <c r="G10" s="95">
        <f t="shared" si="2"/>
        <v>23.17232566</v>
      </c>
      <c r="H10" s="29">
        <v>6.31998051600113E12</v>
      </c>
      <c r="I10" s="96">
        <v>2017.0</v>
      </c>
      <c r="J10" s="97" t="s">
        <v>37</v>
      </c>
      <c r="K10" s="98">
        <v>55.0</v>
      </c>
      <c r="L10" s="98">
        <v>44.0</v>
      </c>
      <c r="M10" s="99">
        <v>12.4741307475021</v>
      </c>
      <c r="N10" s="99">
        <v>14.0523361024415</v>
      </c>
      <c r="O10" s="92" t="s">
        <v>75</v>
      </c>
      <c r="P10" s="6"/>
      <c r="Q10" s="6"/>
      <c r="R10" s="6"/>
      <c r="S10" s="6"/>
      <c r="T10" s="6"/>
    </row>
    <row r="11">
      <c r="A11" s="92" t="s">
        <v>77</v>
      </c>
      <c r="B11" s="92" t="s">
        <v>78</v>
      </c>
      <c r="C11" s="92" t="s">
        <v>79</v>
      </c>
      <c r="D11" s="93">
        <f t="shared" si="1"/>
        <v>0.2176118446</v>
      </c>
      <c r="E11" s="92" t="s">
        <v>81</v>
      </c>
      <c r="F11" s="94" t="s">
        <v>77</v>
      </c>
      <c r="G11" s="95">
        <f t="shared" si="2"/>
        <v>13.83949878</v>
      </c>
      <c r="H11" s="29">
        <v>3.014408050992657E12</v>
      </c>
      <c r="I11" s="96">
        <v>2016.0</v>
      </c>
      <c r="J11" s="97" t="s">
        <v>37</v>
      </c>
      <c r="K11" s="98">
        <v>44.0</v>
      </c>
      <c r="L11" s="98">
        <v>41.0</v>
      </c>
      <c r="M11" s="99">
        <v>14.0523361024415</v>
      </c>
      <c r="N11" s="99">
        <v>19.6496007142997</v>
      </c>
      <c r="O11" s="92" t="s">
        <v>80</v>
      </c>
      <c r="P11" s="6"/>
      <c r="Q11" s="6"/>
      <c r="R11" s="6"/>
      <c r="S11" s="6"/>
      <c r="T11" s="6"/>
    </row>
    <row r="12">
      <c r="A12" s="92" t="s">
        <v>82</v>
      </c>
      <c r="B12" s="92" t="s">
        <v>83</v>
      </c>
      <c r="C12" s="92" t="s">
        <v>84</v>
      </c>
      <c r="D12" s="93">
        <f t="shared" si="1"/>
        <v>0.01181789211</v>
      </c>
      <c r="E12" s="92" t="s">
        <v>86</v>
      </c>
      <c r="F12" s="94" t="s">
        <v>82</v>
      </c>
      <c r="G12" s="95">
        <f t="shared" si="2"/>
        <v>16.23963089</v>
      </c>
      <c r="H12" s="29">
        <v>3.082917633170064E12</v>
      </c>
      <c r="I12" s="96">
        <v>2015.0</v>
      </c>
      <c r="J12" s="97" t="s">
        <v>37</v>
      </c>
      <c r="K12" s="98">
        <v>41.0</v>
      </c>
      <c r="L12" s="98">
        <v>39.0</v>
      </c>
      <c r="M12" s="99">
        <v>19.6496007142997</v>
      </c>
      <c r="N12" s="99">
        <v>28.846600976154</v>
      </c>
      <c r="O12" s="92" t="s">
        <v>85</v>
      </c>
      <c r="P12" s="6"/>
      <c r="Q12" s="6"/>
      <c r="R12" s="6"/>
      <c r="S12" s="6"/>
      <c r="T12" s="6"/>
    </row>
    <row r="13">
      <c r="A13" s="92" t="s">
        <v>87</v>
      </c>
      <c r="B13" s="92" t="s">
        <v>88</v>
      </c>
      <c r="C13" s="92" t="s">
        <v>89</v>
      </c>
      <c r="D13" s="93">
        <f t="shared" si="1"/>
        <v>-0.9688643728</v>
      </c>
      <c r="E13" s="92" t="s">
        <v>91</v>
      </c>
      <c r="F13" s="94" t="s">
        <v>87</v>
      </c>
      <c r="G13" s="95">
        <f t="shared" si="2"/>
        <v>13.72158126</v>
      </c>
      <c r="H13" s="29">
        <v>2.297317600401257E12</v>
      </c>
      <c r="I13" s="96">
        <v>2014.0</v>
      </c>
      <c r="J13" s="97" t="s">
        <v>37</v>
      </c>
      <c r="K13" s="98">
        <v>39.0</v>
      </c>
      <c r="L13" s="100"/>
      <c r="M13" s="99">
        <v>28.846600976154</v>
      </c>
      <c r="N13" s="101"/>
      <c r="O13" s="92" t="s">
        <v>90</v>
      </c>
      <c r="P13" s="6"/>
      <c r="Q13" s="6"/>
      <c r="R13" s="6"/>
      <c r="S13" s="6"/>
      <c r="T13" s="6"/>
    </row>
    <row r="14">
      <c r="A14" s="92" t="s">
        <v>92</v>
      </c>
      <c r="B14" s="92" t="s">
        <v>93</v>
      </c>
      <c r="C14" s="92" t="s">
        <v>94</v>
      </c>
      <c r="D14" s="93">
        <f t="shared" si="1"/>
        <v>0.1712252272</v>
      </c>
      <c r="E14" s="92" t="s">
        <v>99</v>
      </c>
      <c r="F14" s="94" t="s">
        <v>92</v>
      </c>
      <c r="G14" s="95">
        <f t="shared" si="2"/>
        <v>186.1481243</v>
      </c>
      <c r="H14" s="102">
        <v>1.5504947788E14</v>
      </c>
      <c r="I14" s="96">
        <v>2024.0</v>
      </c>
      <c r="J14" s="97" t="s">
        <v>95</v>
      </c>
      <c r="K14" s="98" t="s">
        <v>96</v>
      </c>
      <c r="L14" s="103" t="s">
        <v>97</v>
      </c>
      <c r="M14" s="99">
        <v>23.6602096848236</v>
      </c>
      <c r="N14" s="99">
        <v>21.6148974043115</v>
      </c>
      <c r="O14" s="92" t="s">
        <v>98</v>
      </c>
      <c r="P14" s="6"/>
      <c r="Q14" s="6"/>
      <c r="R14" s="6"/>
      <c r="S14" s="6"/>
      <c r="T14" s="6"/>
    </row>
    <row r="15">
      <c r="A15" s="92" t="s">
        <v>100</v>
      </c>
      <c r="B15" s="92" t="s">
        <v>101</v>
      </c>
      <c r="C15" s="92" t="s">
        <v>102</v>
      </c>
      <c r="D15" s="93">
        <f t="shared" si="1"/>
        <v>0.5858324742</v>
      </c>
      <c r="E15" s="92" t="s">
        <v>105</v>
      </c>
      <c r="F15" s="94" t="s">
        <v>100</v>
      </c>
      <c r="G15" s="95">
        <f t="shared" si="2"/>
        <v>255.5522925</v>
      </c>
      <c r="H15" s="102">
        <v>1.7010152776E14</v>
      </c>
      <c r="I15" s="96">
        <v>2023.0</v>
      </c>
      <c r="J15" s="97" t="s">
        <v>95</v>
      </c>
      <c r="K15" s="98" t="s">
        <v>97</v>
      </c>
      <c r="L15" s="103" t="s">
        <v>103</v>
      </c>
      <c r="M15" s="99">
        <v>21.6148974043115</v>
      </c>
      <c r="N15" s="99">
        <v>18.1756591237636</v>
      </c>
      <c r="O15" s="92" t="s">
        <v>104</v>
      </c>
      <c r="P15" s="6"/>
      <c r="Q15" s="6"/>
      <c r="R15" s="6"/>
      <c r="S15" s="6"/>
      <c r="T15" s="6"/>
    </row>
    <row r="16">
      <c r="A16" s="92" t="s">
        <v>106</v>
      </c>
      <c r="B16" s="92" t="s">
        <v>107</v>
      </c>
      <c r="C16" s="92" t="s">
        <v>108</v>
      </c>
      <c r="D16" s="93">
        <f t="shared" si="1"/>
        <v>-0.1901081465</v>
      </c>
      <c r="E16" s="92" t="s">
        <v>110</v>
      </c>
      <c r="F16" s="94" t="s">
        <v>106</v>
      </c>
      <c r="G16" s="95">
        <f t="shared" si="2"/>
        <v>355.31648</v>
      </c>
      <c r="H16" s="102">
        <v>2.0472055624E14</v>
      </c>
      <c r="I16" s="96">
        <v>2022.0</v>
      </c>
      <c r="J16" s="97" t="s">
        <v>95</v>
      </c>
      <c r="K16" s="98" t="s">
        <v>103</v>
      </c>
      <c r="L16" s="103">
        <v>84.0</v>
      </c>
      <c r="M16" s="99">
        <v>18.1756591237636</v>
      </c>
      <c r="N16" s="99">
        <v>12.1839371970674</v>
      </c>
      <c r="O16" s="92" t="s">
        <v>109</v>
      </c>
      <c r="P16" s="6"/>
      <c r="Q16" s="6"/>
      <c r="R16" s="6"/>
      <c r="S16" s="6"/>
      <c r="T16" s="6"/>
    </row>
    <row r="17">
      <c r="A17" s="92" t="s">
        <v>111</v>
      </c>
      <c r="B17" s="92" t="s">
        <v>112</v>
      </c>
      <c r="C17" s="92" t="s">
        <v>113</v>
      </c>
      <c r="D17" s="93">
        <f t="shared" si="1"/>
        <v>0.1375493933</v>
      </c>
      <c r="E17" s="92" t="s">
        <v>116</v>
      </c>
      <c r="F17" s="94" t="s">
        <v>111</v>
      </c>
      <c r="G17" s="95">
        <f t="shared" si="2"/>
        <v>751.5164273</v>
      </c>
      <c r="H17" s="102">
        <v>3.2166915006E14</v>
      </c>
      <c r="I17" s="96">
        <v>2021.0</v>
      </c>
      <c r="J17" s="97" t="s">
        <v>95</v>
      </c>
      <c r="K17" s="98">
        <v>84.0</v>
      </c>
      <c r="L17" s="103" t="s">
        <v>114</v>
      </c>
      <c r="M17" s="99">
        <v>12.1839371970674</v>
      </c>
      <c r="N17" s="99">
        <v>12.2738906719289</v>
      </c>
      <c r="O17" s="92" t="s">
        <v>115</v>
      </c>
      <c r="P17" s="6"/>
      <c r="Q17" s="6"/>
      <c r="R17" s="6"/>
      <c r="S17" s="6"/>
      <c r="T17" s="6"/>
    </row>
    <row r="18">
      <c r="A18" s="92" t="s">
        <v>117</v>
      </c>
      <c r="B18" s="92" t="s">
        <v>118</v>
      </c>
      <c r="C18" s="92" t="s">
        <v>119</v>
      </c>
      <c r="D18" s="93">
        <f t="shared" si="1"/>
        <v>-0.1503120589</v>
      </c>
      <c r="E18" s="92" t="s">
        <v>122</v>
      </c>
      <c r="F18" s="94" t="s">
        <v>117</v>
      </c>
      <c r="G18" s="95">
        <f t="shared" si="2"/>
        <v>765.9764023</v>
      </c>
      <c r="H18" s="102">
        <v>3.239821463644299E14</v>
      </c>
      <c r="I18" s="96">
        <v>2020.0</v>
      </c>
      <c r="J18" s="97" t="s">
        <v>95</v>
      </c>
      <c r="K18" s="98" t="s">
        <v>114</v>
      </c>
      <c r="L18" s="103" t="s">
        <v>120</v>
      </c>
      <c r="M18" s="99">
        <v>12.2738906719289</v>
      </c>
      <c r="N18" s="99">
        <v>11.3076296512967</v>
      </c>
      <c r="O18" s="92" t="s">
        <v>121</v>
      </c>
      <c r="P18" s="6"/>
      <c r="Q18" s="6"/>
      <c r="R18" s="6"/>
      <c r="S18" s="6"/>
      <c r="T18" s="6"/>
    </row>
    <row r="19">
      <c r="A19" s="92" t="s">
        <v>123</v>
      </c>
      <c r="B19" s="92" t="s">
        <v>124</v>
      </c>
      <c r="C19" s="92" t="s">
        <v>125</v>
      </c>
      <c r="D19" s="93">
        <f t="shared" si="1"/>
        <v>0.06679234594</v>
      </c>
      <c r="E19" s="92" t="s">
        <v>128</v>
      </c>
      <c r="F19" s="94" t="s">
        <v>123</v>
      </c>
      <c r="G19" s="95">
        <f t="shared" si="2"/>
        <v>808.7808874</v>
      </c>
      <c r="H19" s="102">
        <v>3.26254652337382E14</v>
      </c>
      <c r="I19" s="97">
        <v>2019.0</v>
      </c>
      <c r="J19" s="97" t="s">
        <v>95</v>
      </c>
      <c r="K19" s="98" t="s">
        <v>120</v>
      </c>
      <c r="L19" s="103" t="s">
        <v>126</v>
      </c>
      <c r="M19" s="99">
        <v>11.3076296512967</v>
      </c>
      <c r="N19" s="99">
        <v>11.3396223992414</v>
      </c>
      <c r="O19" s="92" t="s">
        <v>127</v>
      </c>
      <c r="P19" s="6"/>
      <c r="Q19" s="6"/>
      <c r="R19" s="6"/>
      <c r="S19" s="6"/>
      <c r="T19" s="6"/>
    </row>
    <row r="20">
      <c r="A20" s="92" t="s">
        <v>129</v>
      </c>
      <c r="B20" s="92" t="s">
        <v>130</v>
      </c>
      <c r="C20" s="92" t="s">
        <v>131</v>
      </c>
      <c r="D20" s="93">
        <f t="shared" si="1"/>
        <v>0.3642343</v>
      </c>
      <c r="E20" s="92" t="s">
        <v>134</v>
      </c>
      <c r="F20" s="94" t="s">
        <v>129</v>
      </c>
      <c r="G20" s="95">
        <f t="shared" si="2"/>
        <v>776.1578198</v>
      </c>
      <c r="H20" s="102">
        <v>2.23443199500352E14</v>
      </c>
      <c r="I20" s="96">
        <v>2018.0</v>
      </c>
      <c r="J20" s="97" t="s">
        <v>95</v>
      </c>
      <c r="K20" s="98" t="s">
        <v>126</v>
      </c>
      <c r="L20" s="103" t="s">
        <v>132</v>
      </c>
      <c r="M20" s="99">
        <v>11.3396223992414</v>
      </c>
      <c r="N20" s="99">
        <v>12.4741307475021</v>
      </c>
      <c r="O20" s="92" t="s">
        <v>133</v>
      </c>
      <c r="P20" s="6"/>
      <c r="Q20" s="6"/>
      <c r="R20" s="6"/>
      <c r="S20" s="6"/>
      <c r="T20" s="6"/>
    </row>
    <row r="21">
      <c r="A21" s="92" t="s">
        <v>135</v>
      </c>
      <c r="B21" s="92" t="s">
        <v>136</v>
      </c>
      <c r="C21" s="92" t="s">
        <v>137</v>
      </c>
      <c r="D21" s="93">
        <f t="shared" si="1"/>
        <v>0.5508299308</v>
      </c>
      <c r="E21" s="92" t="s">
        <v>140</v>
      </c>
      <c r="F21" s="94" t="s">
        <v>135</v>
      </c>
      <c r="G21" s="95">
        <f t="shared" si="2"/>
        <v>701.3646824</v>
      </c>
      <c r="H21" s="102">
        <v>1.4978496309039725E14</v>
      </c>
      <c r="I21" s="96">
        <v>2017.0</v>
      </c>
      <c r="J21" s="97" t="s">
        <v>95</v>
      </c>
      <c r="K21" s="98" t="s">
        <v>132</v>
      </c>
      <c r="L21" s="103" t="s">
        <v>138</v>
      </c>
      <c r="M21" s="99">
        <v>12.4741307475021</v>
      </c>
      <c r="N21" s="99">
        <v>14.0523361024415</v>
      </c>
      <c r="O21" s="92" t="s">
        <v>139</v>
      </c>
      <c r="P21" s="6"/>
      <c r="Q21" s="6"/>
      <c r="R21" s="6"/>
      <c r="S21" s="6"/>
      <c r="T21" s="6"/>
    </row>
    <row r="22">
      <c r="A22" s="92" t="s">
        <v>141</v>
      </c>
      <c r="B22" s="92" t="s">
        <v>142</v>
      </c>
      <c r="C22" s="92" t="s">
        <v>143</v>
      </c>
      <c r="D22" s="93">
        <f t="shared" si="1"/>
        <v>0.6921522753</v>
      </c>
      <c r="E22" s="92" t="s">
        <v>146</v>
      </c>
      <c r="F22" s="94" t="s">
        <v>141</v>
      </c>
      <c r="G22" s="95">
        <f t="shared" si="2"/>
        <v>314.898705</v>
      </c>
      <c r="H22" s="102">
        <v>5.764105255041928E13</v>
      </c>
      <c r="I22" s="96">
        <v>2016.0</v>
      </c>
      <c r="J22" s="97" t="s">
        <v>95</v>
      </c>
      <c r="K22" s="98" t="s">
        <v>138</v>
      </c>
      <c r="L22" s="103" t="s">
        <v>144</v>
      </c>
      <c r="M22" s="99">
        <v>14.0523361024415</v>
      </c>
      <c r="N22" s="99">
        <v>19.6496007142997</v>
      </c>
      <c r="O22" s="92" t="s">
        <v>145</v>
      </c>
      <c r="P22" s="6"/>
      <c r="Q22" s="6"/>
      <c r="R22" s="6"/>
      <c r="S22" s="6"/>
      <c r="T22" s="6"/>
    </row>
    <row r="23">
      <c r="A23" s="92" t="s">
        <v>147</v>
      </c>
      <c r="B23" s="92" t="s">
        <v>148</v>
      </c>
      <c r="C23" s="92" t="s">
        <v>149</v>
      </c>
      <c r="D23" s="93">
        <f t="shared" si="1"/>
        <v>0.2281206384</v>
      </c>
      <c r="E23" s="92" t="s">
        <v>151</v>
      </c>
      <c r="F23" s="94" t="s">
        <v>147</v>
      </c>
      <c r="G23" s="95">
        <f t="shared" si="2"/>
        <v>247.4731729</v>
      </c>
      <c r="H23" s="102">
        <v>3.59128292581896E13</v>
      </c>
      <c r="I23" s="96">
        <v>2015.0</v>
      </c>
      <c r="J23" s="97" t="s">
        <v>95</v>
      </c>
      <c r="K23" s="98" t="s">
        <v>144</v>
      </c>
      <c r="L23" s="103">
        <v>54.0</v>
      </c>
      <c r="M23" s="99">
        <v>19.6496007142997</v>
      </c>
      <c r="N23" s="99">
        <v>28.846600976154</v>
      </c>
      <c r="O23" s="92" t="s">
        <v>150</v>
      </c>
      <c r="P23" s="6"/>
      <c r="Q23" s="6"/>
      <c r="R23" s="6"/>
      <c r="S23" s="6"/>
      <c r="T23" s="6"/>
    </row>
    <row r="24">
      <c r="A24" s="92" t="s">
        <v>152</v>
      </c>
      <c r="B24" s="92" t="s">
        <v>153</v>
      </c>
      <c r="C24" s="92" t="s">
        <v>154</v>
      </c>
      <c r="D24" s="93">
        <f t="shared" si="1"/>
        <v>-0.6666939973</v>
      </c>
      <c r="E24" s="92" t="s">
        <v>156</v>
      </c>
      <c r="F24" s="94" t="s">
        <v>152</v>
      </c>
      <c r="G24" s="95">
        <f t="shared" si="2"/>
        <v>212.1218597</v>
      </c>
      <c r="H24" s="102">
        <v>1.9043159296999848E13</v>
      </c>
      <c r="I24" s="96">
        <v>2014.0</v>
      </c>
      <c r="J24" s="97" t="s">
        <v>95</v>
      </c>
      <c r="K24" s="98">
        <v>54.0</v>
      </c>
      <c r="L24" s="100"/>
      <c r="M24" s="99">
        <v>28.846600976154</v>
      </c>
      <c r="N24" s="101"/>
      <c r="O24" s="92" t="s">
        <v>155</v>
      </c>
      <c r="P24" s="6"/>
      <c r="Q24" s="6"/>
      <c r="R24" s="6"/>
      <c r="S24" s="6"/>
      <c r="T24" s="6"/>
    </row>
    <row r="25">
      <c r="A25" s="92" t="s">
        <v>157</v>
      </c>
      <c r="B25" s="92" t="s">
        <v>158</v>
      </c>
      <c r="C25" s="92" t="s">
        <v>159</v>
      </c>
      <c r="D25" s="93">
        <f t="shared" si="1"/>
        <v>0.06295206493</v>
      </c>
      <c r="E25" s="92" t="s">
        <v>164</v>
      </c>
      <c r="F25" s="94" t="s">
        <v>157</v>
      </c>
      <c r="G25" s="95">
        <f t="shared" si="2"/>
        <v>393.8587477</v>
      </c>
      <c r="H25" s="102">
        <v>5.802069987E13</v>
      </c>
      <c r="I25" s="96">
        <v>2024.0</v>
      </c>
      <c r="J25" s="97" t="s">
        <v>160</v>
      </c>
      <c r="K25" s="98" t="s">
        <v>161</v>
      </c>
      <c r="L25" s="103" t="s">
        <v>162</v>
      </c>
      <c r="M25" s="99">
        <v>23.6602096848236</v>
      </c>
      <c r="N25" s="99">
        <v>21.6148974043115</v>
      </c>
      <c r="O25" s="92" t="s">
        <v>163</v>
      </c>
      <c r="P25" s="6"/>
      <c r="Q25" s="6"/>
      <c r="R25" s="6"/>
      <c r="S25" s="6"/>
      <c r="T25" s="6"/>
    </row>
    <row r="26">
      <c r="A26" s="92" t="s">
        <v>165</v>
      </c>
      <c r="B26" s="92" t="s">
        <v>166</v>
      </c>
      <c r="C26" s="92" t="s">
        <v>167</v>
      </c>
      <c r="D26" s="93">
        <f t="shared" si="1"/>
        <v>0.02706936578</v>
      </c>
      <c r="E26" s="92" t="s">
        <v>170</v>
      </c>
      <c r="F26" s="94" t="s">
        <v>165</v>
      </c>
      <c r="G26" s="95">
        <f t="shared" si="2"/>
        <v>431.5766989</v>
      </c>
      <c r="H26" s="102">
        <v>6.349812608E13</v>
      </c>
      <c r="I26" s="96">
        <v>2023.0</v>
      </c>
      <c r="J26" s="97" t="s">
        <v>160</v>
      </c>
      <c r="K26" s="98" t="s">
        <v>162</v>
      </c>
      <c r="L26" s="103" t="s">
        <v>168</v>
      </c>
      <c r="M26" s="99">
        <v>21.6148974043115</v>
      </c>
      <c r="N26" s="99">
        <v>18.1756591237636</v>
      </c>
      <c r="O26" s="92" t="s">
        <v>169</v>
      </c>
      <c r="P26" s="6"/>
      <c r="Q26" s="6"/>
      <c r="R26" s="6"/>
      <c r="S26" s="6"/>
      <c r="T26" s="6"/>
    </row>
    <row r="27">
      <c r="A27" s="92" t="s">
        <v>171</v>
      </c>
      <c r="B27" s="92" t="s">
        <v>172</v>
      </c>
      <c r="C27" s="92" t="s">
        <v>173</v>
      </c>
      <c r="D27" s="93">
        <f t="shared" si="1"/>
        <v>-0.14035558</v>
      </c>
      <c r="E27" s="92" t="s">
        <v>175</v>
      </c>
      <c r="F27" s="94" t="s">
        <v>171</v>
      </c>
      <c r="G27" s="95">
        <f t="shared" si="2"/>
        <v>450.0934337</v>
      </c>
      <c r="H27" s="102">
        <v>6.351276686E13</v>
      </c>
      <c r="I27" s="96">
        <v>2022.0</v>
      </c>
      <c r="J27" s="97" t="s">
        <v>160</v>
      </c>
      <c r="K27" s="98" t="s">
        <v>168</v>
      </c>
      <c r="L27" s="103">
        <v>77.0</v>
      </c>
      <c r="M27" s="99">
        <v>18.1756591237636</v>
      </c>
      <c r="N27" s="99">
        <v>12.1839371970674</v>
      </c>
      <c r="O27" s="92" t="s">
        <v>174</v>
      </c>
      <c r="P27" s="6"/>
      <c r="Q27" s="6"/>
      <c r="R27" s="6"/>
      <c r="S27" s="6"/>
      <c r="T27" s="6"/>
    </row>
    <row r="28">
      <c r="A28" s="92" t="s">
        <v>176</v>
      </c>
      <c r="B28" s="92" t="s">
        <v>177</v>
      </c>
      <c r="C28" s="92" t="s">
        <v>178</v>
      </c>
      <c r="D28" s="93">
        <f t="shared" si="1"/>
        <v>0.1477762617</v>
      </c>
      <c r="E28" s="92" t="s">
        <v>181</v>
      </c>
      <c r="F28" s="94" t="s">
        <v>176</v>
      </c>
      <c r="G28" s="95">
        <f t="shared" si="2"/>
        <v>886.613147</v>
      </c>
      <c r="H28" s="102">
        <v>1.1171237232E14</v>
      </c>
      <c r="I28" s="96">
        <v>2021.0</v>
      </c>
      <c r="J28" s="97" t="s">
        <v>160</v>
      </c>
      <c r="K28" s="98">
        <v>77.0</v>
      </c>
      <c r="L28" s="103" t="s">
        <v>179</v>
      </c>
      <c r="M28" s="99">
        <v>12.1839371970674</v>
      </c>
      <c r="N28" s="99">
        <v>12.2738906719289</v>
      </c>
      <c r="O28" s="92" t="s">
        <v>180</v>
      </c>
      <c r="P28" s="6"/>
      <c r="Q28" s="6"/>
      <c r="R28" s="6"/>
      <c r="S28" s="6"/>
      <c r="T28" s="6"/>
    </row>
    <row r="29">
      <c r="A29" s="92" t="s">
        <v>182</v>
      </c>
      <c r="B29" s="92" t="s">
        <v>183</v>
      </c>
      <c r="C29" s="92" t="s">
        <v>184</v>
      </c>
      <c r="D29" s="93">
        <f t="shared" si="1"/>
        <v>1.067184991</v>
      </c>
      <c r="E29" s="92" t="s">
        <v>187</v>
      </c>
      <c r="F29" s="94" t="s">
        <v>182</v>
      </c>
      <c r="G29" s="95">
        <f t="shared" si="2"/>
        <v>972.1853275</v>
      </c>
      <c r="H29" s="102">
        <v>1.1242668114666672E14</v>
      </c>
      <c r="I29" s="96">
        <v>2020.0</v>
      </c>
      <c r="J29" s="97" t="s">
        <v>160</v>
      </c>
      <c r="K29" s="98" t="s">
        <v>179</v>
      </c>
      <c r="L29" s="103" t="s">
        <v>185</v>
      </c>
      <c r="M29" s="99">
        <v>12.2738906719289</v>
      </c>
      <c r="N29" s="99">
        <v>11.3076296512967</v>
      </c>
      <c r="O29" s="92" t="s">
        <v>186</v>
      </c>
      <c r="P29" s="6"/>
      <c r="Q29" s="6"/>
      <c r="R29" s="6"/>
      <c r="S29" s="6"/>
      <c r="T29" s="6"/>
    </row>
    <row r="30">
      <c r="A30" s="92" t="s">
        <v>188</v>
      </c>
      <c r="B30" s="92" t="s">
        <v>189</v>
      </c>
      <c r="C30" s="92" t="s">
        <v>190</v>
      </c>
      <c r="D30" s="93">
        <f t="shared" si="1"/>
        <v>-0.02182723263</v>
      </c>
      <c r="E30" s="92" t="s">
        <v>193</v>
      </c>
      <c r="F30" s="94" t="s">
        <v>188</v>
      </c>
      <c r="G30" s="95">
        <f t="shared" si="2"/>
        <v>1222.492405</v>
      </c>
      <c r="H30" s="102">
        <v>1.188997415291325E14</v>
      </c>
      <c r="I30" s="97">
        <v>2019.0</v>
      </c>
      <c r="J30" s="97" t="s">
        <v>160</v>
      </c>
      <c r="K30" s="98" t="s">
        <v>185</v>
      </c>
      <c r="L30" s="103" t="s">
        <v>191</v>
      </c>
      <c r="M30" s="99">
        <v>11.3076296512967</v>
      </c>
      <c r="N30" s="99">
        <v>11.3396223992414</v>
      </c>
      <c r="O30" s="92" t="s">
        <v>192</v>
      </c>
      <c r="P30" s="6"/>
      <c r="Q30" s="6"/>
      <c r="R30" s="6"/>
      <c r="S30" s="6"/>
      <c r="T30" s="6"/>
    </row>
    <row r="31">
      <c r="A31" s="92" t="s">
        <v>194</v>
      </c>
      <c r="B31" s="92" t="s">
        <v>195</v>
      </c>
      <c r="C31" s="92" t="s">
        <v>196</v>
      </c>
      <c r="D31" s="93">
        <f t="shared" si="1"/>
        <v>0.01507074068</v>
      </c>
      <c r="E31" s="92" t="s">
        <v>199</v>
      </c>
      <c r="F31" s="94" t="s">
        <v>194</v>
      </c>
      <c r="G31" s="95">
        <f t="shared" si="2"/>
        <v>1518.65988</v>
      </c>
      <c r="H31" s="102">
        <v>9.80424497664158E13</v>
      </c>
      <c r="I31" s="96">
        <v>2018.0</v>
      </c>
      <c r="J31" s="97" t="s">
        <v>160</v>
      </c>
      <c r="K31" s="98" t="s">
        <v>191</v>
      </c>
      <c r="L31" s="103" t="s">
        <v>197</v>
      </c>
      <c r="M31" s="99">
        <v>11.3396223992414</v>
      </c>
      <c r="N31" s="99">
        <v>12.4741307475021</v>
      </c>
      <c r="O31" s="92" t="s">
        <v>198</v>
      </c>
      <c r="P31" s="6"/>
      <c r="Q31" s="6"/>
      <c r="R31" s="6"/>
      <c r="S31" s="6"/>
      <c r="T31" s="6"/>
    </row>
    <row r="32">
      <c r="A32" s="92" t="s">
        <v>200</v>
      </c>
      <c r="B32" s="92" t="s">
        <v>201</v>
      </c>
      <c r="C32" s="92" t="s">
        <v>202</v>
      </c>
      <c r="D32" s="93">
        <f t="shared" si="1"/>
        <v>-0.1311039936</v>
      </c>
      <c r="E32" s="92" t="s">
        <v>205</v>
      </c>
      <c r="F32" s="94" t="s">
        <v>200</v>
      </c>
      <c r="G32" s="95">
        <f t="shared" si="2"/>
        <v>687.2389239</v>
      </c>
      <c r="H32" s="102">
        <v>4.361596976673144E13</v>
      </c>
      <c r="I32" s="96">
        <v>2017.0</v>
      </c>
      <c r="J32" s="97" t="s">
        <v>160</v>
      </c>
      <c r="K32" s="98" t="s">
        <v>197</v>
      </c>
      <c r="L32" s="103" t="s">
        <v>203</v>
      </c>
      <c r="M32" s="99">
        <v>12.4741307475021</v>
      </c>
      <c r="N32" s="99">
        <v>14.0523361024415</v>
      </c>
      <c r="O32" s="92" t="s">
        <v>204</v>
      </c>
      <c r="P32" s="6"/>
      <c r="Q32" s="6"/>
      <c r="R32" s="6"/>
      <c r="S32" s="6"/>
      <c r="T32" s="6"/>
    </row>
    <row r="33">
      <c r="A33" s="92" t="s">
        <v>206</v>
      </c>
      <c r="B33" s="92" t="s">
        <v>207</v>
      </c>
      <c r="C33" s="92" t="s">
        <v>208</v>
      </c>
      <c r="D33" s="93">
        <f t="shared" si="1"/>
        <v>0.4136242789</v>
      </c>
      <c r="E33" s="92" t="s">
        <v>211</v>
      </c>
      <c r="F33" s="94" t="s">
        <v>206</v>
      </c>
      <c r="G33" s="95">
        <f t="shared" si="2"/>
        <v>316.1590304</v>
      </c>
      <c r="H33" s="102">
        <v>2.3039225019016367E13</v>
      </c>
      <c r="I33" s="96">
        <v>2016.0</v>
      </c>
      <c r="J33" s="97" t="s">
        <v>160</v>
      </c>
      <c r="K33" s="98" t="s">
        <v>203</v>
      </c>
      <c r="L33" s="103" t="s">
        <v>209</v>
      </c>
      <c r="M33" s="99">
        <v>14.0523361024415</v>
      </c>
      <c r="N33" s="99">
        <v>19.6496007142997</v>
      </c>
      <c r="O33" s="92" t="s">
        <v>210</v>
      </c>
      <c r="P33" s="6"/>
      <c r="Q33" s="6"/>
      <c r="R33" s="6"/>
      <c r="S33" s="6"/>
      <c r="T33" s="6"/>
    </row>
    <row r="34">
      <c r="A34" s="92" t="s">
        <v>212</v>
      </c>
      <c r="B34" s="92" t="s">
        <v>213</v>
      </c>
      <c r="C34" s="92" t="s">
        <v>214</v>
      </c>
      <c r="D34" s="93">
        <f t="shared" si="1"/>
        <v>0.9000379283</v>
      </c>
      <c r="E34" s="92" t="s">
        <v>217</v>
      </c>
      <c r="F34" s="94" t="s">
        <v>212</v>
      </c>
      <c r="G34" s="95">
        <f t="shared" si="2"/>
        <v>253.4704221</v>
      </c>
      <c r="H34" s="102">
        <v>1.8167033135030062E13</v>
      </c>
      <c r="I34" s="96">
        <v>2015.0</v>
      </c>
      <c r="J34" s="97" t="s">
        <v>160</v>
      </c>
      <c r="K34" s="98" t="s">
        <v>209</v>
      </c>
      <c r="L34" s="103" t="s">
        <v>215</v>
      </c>
      <c r="M34" s="99">
        <v>19.6496007142997</v>
      </c>
      <c r="N34" s="99">
        <v>28.846600976154</v>
      </c>
      <c r="O34" s="92" t="s">
        <v>216</v>
      </c>
      <c r="P34" s="6"/>
      <c r="Q34" s="6"/>
      <c r="R34" s="6"/>
      <c r="S34" s="6"/>
      <c r="T34" s="6"/>
    </row>
    <row r="35">
      <c r="A35" s="92" t="s">
        <v>218</v>
      </c>
      <c r="B35" s="92" t="s">
        <v>219</v>
      </c>
      <c r="C35" s="92" t="s">
        <v>220</v>
      </c>
      <c r="D35" s="93">
        <f t="shared" si="1"/>
        <v>-0.8839085306</v>
      </c>
      <c r="E35" s="92" t="s">
        <v>222</v>
      </c>
      <c r="F35" s="94" t="s">
        <v>218</v>
      </c>
      <c r="G35" s="95">
        <f t="shared" si="2"/>
        <v>284.8267659</v>
      </c>
      <c r="H35" s="102">
        <v>1.5054838175898877E13</v>
      </c>
      <c r="I35" s="96">
        <v>2014.0</v>
      </c>
      <c r="J35" s="97" t="s">
        <v>160</v>
      </c>
      <c r="K35" s="96" t="s">
        <v>215</v>
      </c>
      <c r="L35" s="100"/>
      <c r="M35" s="99">
        <v>28.846600976154</v>
      </c>
      <c r="N35" s="101"/>
      <c r="O35" s="92" t="s">
        <v>221</v>
      </c>
      <c r="P35" s="6"/>
      <c r="Q35" s="6"/>
      <c r="R35" s="6"/>
      <c r="S35" s="6"/>
      <c r="T35" s="6"/>
    </row>
    <row r="36">
      <c r="A36" s="92" t="s">
        <v>223</v>
      </c>
      <c r="B36" s="92" t="s">
        <v>224</v>
      </c>
      <c r="C36" s="92" t="s">
        <v>225</v>
      </c>
      <c r="D36" s="93">
        <f t="shared" si="1"/>
        <v>0.1673104467</v>
      </c>
      <c r="E36" s="92" t="s">
        <v>230</v>
      </c>
      <c r="F36" s="94" t="s">
        <v>223</v>
      </c>
      <c r="G36" s="95">
        <f t="shared" si="2"/>
        <v>575.7345898</v>
      </c>
      <c r="H36" s="102">
        <v>1.2913664743282036E14</v>
      </c>
      <c r="I36" s="96">
        <v>2024.0</v>
      </c>
      <c r="J36" s="97" t="s">
        <v>226</v>
      </c>
      <c r="K36" s="98" t="s">
        <v>227</v>
      </c>
      <c r="L36" s="103" t="s">
        <v>228</v>
      </c>
      <c r="M36" s="99">
        <v>23.6602096848236</v>
      </c>
      <c r="N36" s="99">
        <v>21.6148974043115</v>
      </c>
      <c r="O36" s="92" t="s">
        <v>229</v>
      </c>
      <c r="P36" s="6"/>
      <c r="Q36" s="6"/>
      <c r="R36" s="6"/>
      <c r="S36" s="6"/>
      <c r="T36" s="6"/>
    </row>
    <row r="37">
      <c r="A37" s="92" t="s">
        <v>231</v>
      </c>
      <c r="B37" s="92" t="s">
        <v>232</v>
      </c>
      <c r="C37" s="92" t="s">
        <v>233</v>
      </c>
      <c r="D37" s="93">
        <f t="shared" si="1"/>
        <v>-0.158803209</v>
      </c>
      <c r="E37" s="92" t="s">
        <v>236</v>
      </c>
      <c r="F37" s="94" t="s">
        <v>231</v>
      </c>
      <c r="G37" s="95">
        <f t="shared" si="2"/>
        <v>656.1236244</v>
      </c>
      <c r="H37" s="102">
        <v>1.2312364511970952E14</v>
      </c>
      <c r="I37" s="96">
        <v>2023.0</v>
      </c>
      <c r="J37" s="97" t="s">
        <v>226</v>
      </c>
      <c r="K37" s="98" t="s">
        <v>228</v>
      </c>
      <c r="L37" s="103" t="s">
        <v>234</v>
      </c>
      <c r="M37" s="99">
        <v>21.6148974043115</v>
      </c>
      <c r="N37" s="99">
        <v>18.1756591237636</v>
      </c>
      <c r="O37" s="92" t="s">
        <v>235</v>
      </c>
      <c r="P37" s="6"/>
      <c r="Q37" s="6"/>
      <c r="R37" s="6"/>
      <c r="S37" s="6"/>
      <c r="T37" s="6"/>
    </row>
    <row r="38">
      <c r="A38" s="92" t="s">
        <v>237</v>
      </c>
      <c r="B38" s="92" t="s">
        <v>238</v>
      </c>
      <c r="C38" s="92" t="s">
        <v>239</v>
      </c>
      <c r="D38" s="93">
        <f t="shared" si="1"/>
        <v>-0.05525472423</v>
      </c>
      <c r="E38" s="92" t="s">
        <v>242</v>
      </c>
      <c r="F38" s="94" t="s">
        <v>237</v>
      </c>
      <c r="G38" s="95">
        <f t="shared" si="2"/>
        <v>358.5194928</v>
      </c>
      <c r="H38" s="102">
        <v>6.099438223804104E13</v>
      </c>
      <c r="I38" s="96">
        <v>2022.0</v>
      </c>
      <c r="J38" s="97" t="s">
        <v>226</v>
      </c>
      <c r="K38" s="98" t="s">
        <v>234</v>
      </c>
      <c r="L38" s="103" t="s">
        <v>240</v>
      </c>
      <c r="M38" s="99">
        <v>18.1756591237636</v>
      </c>
      <c r="N38" s="99">
        <v>12.1839371970674</v>
      </c>
      <c r="O38" s="92" t="s">
        <v>241</v>
      </c>
      <c r="P38" s="6"/>
      <c r="Q38" s="6"/>
      <c r="R38" s="6"/>
      <c r="S38" s="6"/>
      <c r="T38" s="6"/>
    </row>
    <row r="39">
      <c r="A39" s="92" t="s">
        <v>243</v>
      </c>
      <c r="B39" s="92" t="s">
        <v>244</v>
      </c>
      <c r="C39" s="92" t="s">
        <v>245</v>
      </c>
      <c r="D39" s="93">
        <f t="shared" si="1"/>
        <v>0.6609218339</v>
      </c>
      <c r="E39" s="92" t="s">
        <v>248</v>
      </c>
      <c r="F39" s="94" t="s">
        <v>243</v>
      </c>
      <c r="G39" s="95">
        <f t="shared" si="2"/>
        <v>495.0300621</v>
      </c>
      <c r="H39" s="102">
        <v>8.814493143755975E13</v>
      </c>
      <c r="I39" s="96">
        <v>2021.0</v>
      </c>
      <c r="J39" s="97" t="s">
        <v>226</v>
      </c>
      <c r="K39" s="98" t="s">
        <v>240</v>
      </c>
      <c r="L39" s="103" t="s">
        <v>246</v>
      </c>
      <c r="M39" s="99">
        <v>12.1839371970674</v>
      </c>
      <c r="N39" s="99">
        <v>12.2738906719289</v>
      </c>
      <c r="O39" s="92" t="s">
        <v>247</v>
      </c>
      <c r="P39" s="6"/>
      <c r="Q39" s="6"/>
      <c r="R39" s="6"/>
      <c r="S39" s="6"/>
      <c r="T39" s="6"/>
    </row>
    <row r="40">
      <c r="A40" s="92" t="s">
        <v>249</v>
      </c>
      <c r="B40" s="92" t="s">
        <v>250</v>
      </c>
      <c r="C40" s="92" t="s">
        <v>251</v>
      </c>
      <c r="D40" s="93">
        <f t="shared" si="1"/>
        <v>0.4156622996</v>
      </c>
      <c r="E40" s="92" t="s">
        <v>254</v>
      </c>
      <c r="F40" s="94" t="s">
        <v>249</v>
      </c>
      <c r="G40" s="95">
        <f t="shared" si="2"/>
        <v>368.1047518</v>
      </c>
      <c r="H40" s="102">
        <v>4.8337692271040445E13</v>
      </c>
      <c r="I40" s="96">
        <v>2020.0</v>
      </c>
      <c r="J40" s="97" t="s">
        <v>226</v>
      </c>
      <c r="K40" s="98" t="s">
        <v>246</v>
      </c>
      <c r="L40" s="103" t="s">
        <v>252</v>
      </c>
      <c r="M40" s="99">
        <v>12.2738906719289</v>
      </c>
      <c r="N40" s="99">
        <v>11.3076296512967</v>
      </c>
      <c r="O40" s="92" t="s">
        <v>253</v>
      </c>
      <c r="P40" s="6"/>
      <c r="Q40" s="6"/>
      <c r="R40" s="6"/>
      <c r="S40" s="6"/>
      <c r="T40" s="6"/>
    </row>
    <row r="41">
      <c r="A41" s="92" t="s">
        <v>255</v>
      </c>
      <c r="B41" s="92" t="s">
        <v>256</v>
      </c>
      <c r="C41" s="92" t="s">
        <v>257</v>
      </c>
      <c r="D41" s="93">
        <f t="shared" si="1"/>
        <v>0.1400829229</v>
      </c>
      <c r="E41" s="92" t="s">
        <v>259</v>
      </c>
      <c r="F41" s="94" t="s">
        <v>255</v>
      </c>
      <c r="G41" s="95">
        <f t="shared" si="2"/>
        <v>170.5083431</v>
      </c>
      <c r="H41" s="102">
        <v>1.729967286123392E13</v>
      </c>
      <c r="I41" s="97">
        <v>2019.0</v>
      </c>
      <c r="J41" s="97" t="s">
        <v>226</v>
      </c>
      <c r="K41" s="98" t="s">
        <v>252</v>
      </c>
      <c r="L41" s="103" t="s">
        <v>197</v>
      </c>
      <c r="M41" s="99">
        <v>11.3076296512967</v>
      </c>
      <c r="N41" s="99">
        <v>11.3396223992414</v>
      </c>
      <c r="O41" s="92" t="s">
        <v>258</v>
      </c>
      <c r="P41" s="6"/>
      <c r="Q41" s="6"/>
      <c r="R41" s="6"/>
      <c r="S41" s="6"/>
      <c r="T41" s="6"/>
    </row>
    <row r="42">
      <c r="A42" s="92" t="s">
        <v>260</v>
      </c>
      <c r="B42" s="92" t="s">
        <v>261</v>
      </c>
      <c r="C42" s="92" t="s">
        <v>262</v>
      </c>
      <c r="D42" s="93">
        <f t="shared" si="1"/>
        <v>0.2095843204</v>
      </c>
      <c r="E42" s="92" t="s">
        <v>265</v>
      </c>
      <c r="F42" s="94" t="s">
        <v>260</v>
      </c>
      <c r="G42" s="95">
        <f t="shared" si="2"/>
        <v>160.5195991</v>
      </c>
      <c r="H42" s="102">
        <v>1.251872577448554E13</v>
      </c>
      <c r="I42" s="96">
        <v>2018.0</v>
      </c>
      <c r="J42" s="97" t="s">
        <v>226</v>
      </c>
      <c r="K42" s="98" t="s">
        <v>197</v>
      </c>
      <c r="L42" s="103" t="s">
        <v>263</v>
      </c>
      <c r="M42" s="99">
        <v>11.3396223992414</v>
      </c>
      <c r="N42" s="99">
        <v>12.4741307475021</v>
      </c>
      <c r="O42" s="92" t="s">
        <v>264</v>
      </c>
      <c r="P42" s="6"/>
      <c r="Q42" s="6"/>
      <c r="R42" s="6"/>
      <c r="S42" s="6"/>
      <c r="T42" s="6"/>
    </row>
    <row r="43">
      <c r="A43" s="92" t="s">
        <v>266</v>
      </c>
      <c r="B43" s="92" t="s">
        <v>267</v>
      </c>
      <c r="C43" s="92" t="s">
        <v>268</v>
      </c>
      <c r="D43" s="93">
        <f t="shared" si="1"/>
        <v>0.3869362778</v>
      </c>
      <c r="E43" s="92" t="s">
        <v>271</v>
      </c>
      <c r="F43" s="94" t="s">
        <v>266</v>
      </c>
      <c r="G43" s="95">
        <f t="shared" si="2"/>
        <v>142.2223894</v>
      </c>
      <c r="H43" s="102">
        <v>7.520317205219788E12</v>
      </c>
      <c r="I43" s="96">
        <v>2017.0</v>
      </c>
      <c r="J43" s="97" t="s">
        <v>226</v>
      </c>
      <c r="K43" s="98" t="s">
        <v>263</v>
      </c>
      <c r="L43" s="103" t="s">
        <v>269</v>
      </c>
      <c r="M43" s="99">
        <v>12.4741307475021</v>
      </c>
      <c r="N43" s="99">
        <v>14.0523361024415</v>
      </c>
      <c r="O43" s="92" t="s">
        <v>270</v>
      </c>
      <c r="P43" s="6"/>
      <c r="Q43" s="6"/>
      <c r="R43" s="6"/>
      <c r="S43" s="6"/>
      <c r="T43" s="6"/>
    </row>
    <row r="44">
      <c r="A44" s="92" t="s">
        <v>272</v>
      </c>
      <c r="B44" s="92" t="s">
        <v>273</v>
      </c>
      <c r="C44" s="92" t="s">
        <v>274</v>
      </c>
      <c r="D44" s="93">
        <f t="shared" si="1"/>
        <v>0.2123736008</v>
      </c>
      <c r="E44" s="92" t="s">
        <v>277</v>
      </c>
      <c r="F44" s="94" t="s">
        <v>272</v>
      </c>
      <c r="G44" s="95">
        <f t="shared" si="2"/>
        <v>113.5431096</v>
      </c>
      <c r="H44" s="102">
        <v>3.759269779982132E12</v>
      </c>
      <c r="I44" s="96">
        <v>2016.0</v>
      </c>
      <c r="J44" s="97" t="s">
        <v>226</v>
      </c>
      <c r="K44" s="98" t="s">
        <v>269</v>
      </c>
      <c r="L44" s="103" t="s">
        <v>275</v>
      </c>
      <c r="M44" s="99">
        <v>14.0523361024415</v>
      </c>
      <c r="N44" s="99">
        <v>19.6496007142997</v>
      </c>
      <c r="O44" s="92" t="s">
        <v>276</v>
      </c>
      <c r="P44" s="6"/>
      <c r="Q44" s="6"/>
      <c r="R44" s="6"/>
      <c r="S44" s="6"/>
      <c r="T44" s="6"/>
    </row>
    <row r="45">
      <c r="A45" s="92" t="s">
        <v>278</v>
      </c>
      <c r="B45" s="92" t="s">
        <v>279</v>
      </c>
      <c r="C45" s="92" t="s">
        <v>280</v>
      </c>
      <c r="D45" s="93">
        <f t="shared" si="1"/>
        <v>0.07551643287</v>
      </c>
      <c r="E45" s="92" t="s">
        <v>283</v>
      </c>
      <c r="F45" s="94" t="s">
        <v>278</v>
      </c>
      <c r="G45" s="95">
        <f t="shared" si="2"/>
        <v>55.7091186</v>
      </c>
      <c r="H45" s="102">
        <v>1.4099195709409905E12</v>
      </c>
      <c r="I45" s="96">
        <v>2015.0</v>
      </c>
      <c r="J45" s="97" t="s">
        <v>226</v>
      </c>
      <c r="K45" s="98" t="s">
        <v>275</v>
      </c>
      <c r="L45" s="103" t="s">
        <v>281</v>
      </c>
      <c r="M45" s="99">
        <v>19.6496007142997</v>
      </c>
      <c r="N45" s="99">
        <v>28.846600976154</v>
      </c>
      <c r="O45" s="92" t="s">
        <v>282</v>
      </c>
      <c r="P45" s="6"/>
      <c r="Q45" s="6"/>
      <c r="R45" s="6"/>
      <c r="S45" s="6"/>
      <c r="T45" s="6"/>
    </row>
    <row r="46">
      <c r="A46" s="92" t="s">
        <v>284</v>
      </c>
      <c r="B46" s="92" t="s">
        <v>285</v>
      </c>
      <c r="C46" s="92" t="s">
        <v>286</v>
      </c>
      <c r="D46" s="93">
        <f t="shared" si="1"/>
        <v>-0.6508124342</v>
      </c>
      <c r="E46" s="92" t="s">
        <v>288</v>
      </c>
      <c r="F46" s="94" t="s">
        <v>284</v>
      </c>
      <c r="G46" s="95">
        <f t="shared" si="2"/>
        <v>66.08669331</v>
      </c>
      <c r="H46" s="102">
        <v>1.4496721032966963E12</v>
      </c>
      <c r="I46" s="96">
        <v>2014.0</v>
      </c>
      <c r="J46" s="97" t="s">
        <v>226</v>
      </c>
      <c r="K46" s="98" t="s">
        <v>281</v>
      </c>
      <c r="L46" s="100"/>
      <c r="M46" s="99">
        <v>28.846600976154</v>
      </c>
      <c r="N46" s="101"/>
      <c r="O46" s="92" t="s">
        <v>287</v>
      </c>
      <c r="P46" s="6"/>
      <c r="Q46" s="6"/>
      <c r="R46" s="6"/>
      <c r="S46" s="6"/>
      <c r="T46" s="6"/>
    </row>
    <row r="47">
      <c r="A47" s="92" t="s">
        <v>289</v>
      </c>
      <c r="B47" s="92" t="s">
        <v>290</v>
      </c>
      <c r="C47" s="92" t="s">
        <v>291</v>
      </c>
      <c r="D47" s="93">
        <f t="shared" si="1"/>
        <v>0.134063297</v>
      </c>
      <c r="E47" s="92" t="s">
        <v>296</v>
      </c>
      <c r="F47" s="94" t="s">
        <v>289</v>
      </c>
      <c r="G47" s="95">
        <f t="shared" si="2"/>
        <v>85.34938517</v>
      </c>
      <c r="H47" s="102">
        <v>2.0135449328521466E14</v>
      </c>
      <c r="I47" s="96">
        <v>2024.0</v>
      </c>
      <c r="J47" s="97" t="s">
        <v>292</v>
      </c>
      <c r="K47" s="98" t="s">
        <v>293</v>
      </c>
      <c r="L47" s="103" t="s">
        <v>294</v>
      </c>
      <c r="M47" s="99">
        <v>23.6602096848236</v>
      </c>
      <c r="N47" s="99">
        <v>21.6148974043115</v>
      </c>
      <c r="O47" s="92" t="s">
        <v>295</v>
      </c>
      <c r="P47" s="6"/>
      <c r="Q47" s="6"/>
      <c r="R47" s="6"/>
      <c r="S47" s="6"/>
      <c r="T47" s="6"/>
    </row>
    <row r="48">
      <c r="A48" s="92" t="s">
        <v>297</v>
      </c>
      <c r="B48" s="92" t="s">
        <v>298</v>
      </c>
      <c r="C48" s="92" t="s">
        <v>299</v>
      </c>
      <c r="D48" s="93">
        <f t="shared" si="1"/>
        <v>0.1295097499</v>
      </c>
      <c r="E48" s="92" t="s">
        <v>302</v>
      </c>
      <c r="F48" s="94" t="s">
        <v>297</v>
      </c>
      <c r="G48" s="95">
        <f t="shared" si="2"/>
        <v>56.06536876</v>
      </c>
      <c r="H48" s="102">
        <v>1.120524895901969E14</v>
      </c>
      <c r="I48" s="96">
        <v>2023.0</v>
      </c>
      <c r="J48" s="97" t="s">
        <v>292</v>
      </c>
      <c r="K48" s="98" t="s">
        <v>294</v>
      </c>
      <c r="L48" s="103" t="s">
        <v>300</v>
      </c>
      <c r="M48" s="99">
        <v>21.6148974043115</v>
      </c>
      <c r="N48" s="99">
        <v>18.1756591237636</v>
      </c>
      <c r="O48" s="92" t="s">
        <v>301</v>
      </c>
      <c r="P48" s="6"/>
      <c r="Q48" s="6"/>
      <c r="R48" s="6"/>
      <c r="S48" s="6"/>
      <c r="T48" s="6"/>
    </row>
    <row r="49">
      <c r="A49" s="92" t="s">
        <v>303</v>
      </c>
      <c r="B49" s="92" t="s">
        <v>304</v>
      </c>
      <c r="C49" s="92" t="s">
        <v>305</v>
      </c>
      <c r="D49" s="93">
        <f t="shared" si="1"/>
        <v>0.1579891831</v>
      </c>
      <c r="E49" s="92" t="s">
        <v>307</v>
      </c>
      <c r="F49" s="94" t="s">
        <v>303</v>
      </c>
      <c r="G49" s="95">
        <f t="shared" si="2"/>
        <v>72.36232539</v>
      </c>
      <c r="H49" s="102">
        <v>1.2918926603963464E14</v>
      </c>
      <c r="I49" s="96">
        <v>2022.0</v>
      </c>
      <c r="J49" s="97" t="s">
        <v>292</v>
      </c>
      <c r="K49" s="98" t="s">
        <v>300</v>
      </c>
      <c r="L49" s="103">
        <v>88.0</v>
      </c>
      <c r="M49" s="99">
        <v>18.1756591237636</v>
      </c>
      <c r="N49" s="99">
        <v>12.1839371970674</v>
      </c>
      <c r="O49" s="92" t="s">
        <v>306</v>
      </c>
      <c r="P49" s="6"/>
      <c r="Q49" s="6"/>
      <c r="R49" s="6"/>
      <c r="S49" s="6"/>
      <c r="T49" s="6"/>
    </row>
    <row r="50">
      <c r="A50" s="92" t="s">
        <v>308</v>
      </c>
      <c r="B50" s="92" t="s">
        <v>309</v>
      </c>
      <c r="C50" s="92" t="s">
        <v>310</v>
      </c>
      <c r="D50" s="93">
        <f t="shared" si="1"/>
        <v>0.148637699</v>
      </c>
      <c r="E50" s="92" t="s">
        <v>313</v>
      </c>
      <c r="F50" s="94" t="s">
        <v>308</v>
      </c>
      <c r="G50" s="95">
        <f t="shared" si="2"/>
        <v>76.84335607</v>
      </c>
      <c r="H50" s="102">
        <v>1.1625437788733106E14</v>
      </c>
      <c r="I50" s="96">
        <v>2021.0</v>
      </c>
      <c r="J50" s="97" t="s">
        <v>292</v>
      </c>
      <c r="K50" s="98">
        <v>88.0</v>
      </c>
      <c r="L50" s="103" t="s">
        <v>311</v>
      </c>
      <c r="M50" s="99">
        <v>12.1839371970674</v>
      </c>
      <c r="N50" s="99">
        <v>12.2738906719289</v>
      </c>
      <c r="O50" s="92" t="s">
        <v>312</v>
      </c>
      <c r="P50" s="6"/>
      <c r="Q50" s="6"/>
      <c r="R50" s="6"/>
      <c r="S50" s="6"/>
      <c r="T50" s="6"/>
    </row>
    <row r="51">
      <c r="A51" s="92" t="s">
        <v>314</v>
      </c>
      <c r="B51" s="92" t="s">
        <v>315</v>
      </c>
      <c r="C51" s="92" t="s">
        <v>316</v>
      </c>
      <c r="D51" s="93">
        <f t="shared" si="1"/>
        <v>0.1174800685</v>
      </c>
      <c r="E51" s="92" t="s">
        <v>319</v>
      </c>
      <c r="F51" s="94" t="s">
        <v>314</v>
      </c>
      <c r="G51" s="95">
        <f t="shared" si="2"/>
        <v>65.31689072</v>
      </c>
      <c r="H51" s="102">
        <v>8.63671898823233E13</v>
      </c>
      <c r="I51" s="96">
        <v>2020.0</v>
      </c>
      <c r="J51" s="97" t="s">
        <v>292</v>
      </c>
      <c r="K51" s="98" t="s">
        <v>311</v>
      </c>
      <c r="L51" s="103" t="s">
        <v>317</v>
      </c>
      <c r="M51" s="99">
        <v>12.2738906719289</v>
      </c>
      <c r="N51" s="99">
        <v>11.3076296512967</v>
      </c>
      <c r="O51" s="92" t="s">
        <v>318</v>
      </c>
      <c r="P51" s="6"/>
      <c r="Q51" s="6"/>
      <c r="R51" s="6"/>
      <c r="S51" s="6"/>
      <c r="T51" s="6"/>
    </row>
    <row r="52">
      <c r="A52" s="92" t="s">
        <v>320</v>
      </c>
      <c r="B52" s="92" t="s">
        <v>321</v>
      </c>
      <c r="C52" s="92" t="s">
        <v>322</v>
      </c>
      <c r="D52" s="93">
        <f t="shared" si="1"/>
        <v>0.4663948212</v>
      </c>
      <c r="E52" s="92" t="s">
        <v>324</v>
      </c>
      <c r="F52" s="94" t="s">
        <v>320</v>
      </c>
      <c r="G52" s="95">
        <f t="shared" si="2"/>
        <v>49.00693084</v>
      </c>
      <c r="H52" s="102">
        <v>5.964010479180057E13</v>
      </c>
      <c r="I52" s="97">
        <v>2019.0</v>
      </c>
      <c r="J52" s="97" t="s">
        <v>292</v>
      </c>
      <c r="K52" s="98" t="s">
        <v>317</v>
      </c>
      <c r="L52" s="103">
        <v>79.0</v>
      </c>
      <c r="M52" s="99">
        <v>11.3076296512967</v>
      </c>
      <c r="N52" s="99">
        <v>11.3396223992414</v>
      </c>
      <c r="O52" s="92" t="s">
        <v>323</v>
      </c>
      <c r="P52" s="6"/>
      <c r="Q52" s="6"/>
      <c r="R52" s="6"/>
      <c r="S52" s="6"/>
      <c r="T52" s="6"/>
    </row>
    <row r="53">
      <c r="A53" s="92" t="s">
        <v>325</v>
      </c>
      <c r="B53" s="92" t="s">
        <v>326</v>
      </c>
      <c r="C53" s="92" t="s">
        <v>327</v>
      </c>
      <c r="D53" s="93">
        <f t="shared" si="1"/>
        <v>-0.1238097832</v>
      </c>
      <c r="E53" s="92" t="s">
        <v>330</v>
      </c>
      <c r="F53" s="94" t="s">
        <v>325</v>
      </c>
      <c r="G53" s="95">
        <f t="shared" si="2"/>
        <v>45.1814856</v>
      </c>
      <c r="H53" s="102">
        <v>5.150736322928316E13</v>
      </c>
      <c r="I53" s="96">
        <v>2018.0</v>
      </c>
      <c r="J53" s="97" t="s">
        <v>292</v>
      </c>
      <c r="K53" s="98">
        <v>79.0</v>
      </c>
      <c r="L53" s="103" t="s">
        <v>328</v>
      </c>
      <c r="M53" s="99">
        <v>11.3396223992414</v>
      </c>
      <c r="N53" s="99">
        <v>12.4741307475021</v>
      </c>
      <c r="O53" s="92" t="s">
        <v>329</v>
      </c>
      <c r="P53" s="6"/>
      <c r="Q53" s="6"/>
      <c r="R53" s="6"/>
      <c r="S53" s="6"/>
      <c r="T53" s="6"/>
    </row>
    <row r="54">
      <c r="A54" s="92" t="s">
        <v>331</v>
      </c>
      <c r="B54" s="92" t="s">
        <v>332</v>
      </c>
      <c r="C54" s="92" t="s">
        <v>333</v>
      </c>
      <c r="D54" s="93">
        <f t="shared" si="1"/>
        <v>0.1995043176</v>
      </c>
      <c r="E54" s="92" t="s">
        <v>336</v>
      </c>
      <c r="F54" s="94" t="s">
        <v>331</v>
      </c>
      <c r="G54" s="95">
        <f t="shared" si="2"/>
        <v>44.37699669</v>
      </c>
      <c r="H54" s="102">
        <v>4.756421580503274E13</v>
      </c>
      <c r="I54" s="96">
        <v>2017.0</v>
      </c>
      <c r="J54" s="97" t="s">
        <v>292</v>
      </c>
      <c r="K54" s="98" t="s">
        <v>328</v>
      </c>
      <c r="L54" s="103" t="s">
        <v>334</v>
      </c>
      <c r="M54" s="99">
        <v>12.4741307475021</v>
      </c>
      <c r="N54" s="99">
        <v>14.0523361024415</v>
      </c>
      <c r="O54" s="92" t="s">
        <v>335</v>
      </c>
      <c r="P54" s="6"/>
      <c r="Q54" s="6"/>
      <c r="R54" s="6"/>
      <c r="S54" s="6"/>
      <c r="T54" s="6"/>
    </row>
    <row r="55">
      <c r="A55" s="92" t="s">
        <v>337</v>
      </c>
      <c r="B55" s="92" t="s">
        <v>338</v>
      </c>
      <c r="C55" s="92" t="s">
        <v>339</v>
      </c>
      <c r="D55" s="93">
        <f t="shared" si="1"/>
        <v>0.2151776447</v>
      </c>
      <c r="E55" s="92" t="s">
        <v>342</v>
      </c>
      <c r="F55" s="94" t="s">
        <v>337</v>
      </c>
      <c r="G55" s="95">
        <f t="shared" si="2"/>
        <v>45.63054193</v>
      </c>
      <c r="H55" s="102">
        <v>4.240135092564901E13</v>
      </c>
      <c r="I55" s="96">
        <v>2016.0</v>
      </c>
      <c r="J55" s="97" t="s">
        <v>292</v>
      </c>
      <c r="K55" s="98" t="s">
        <v>334</v>
      </c>
      <c r="L55" s="103" t="s">
        <v>340</v>
      </c>
      <c r="M55" s="99">
        <v>14.0523361024415</v>
      </c>
      <c r="N55" s="99">
        <v>19.6496007142997</v>
      </c>
      <c r="O55" s="92" t="s">
        <v>341</v>
      </c>
      <c r="P55" s="6"/>
      <c r="Q55" s="6"/>
      <c r="R55" s="6"/>
      <c r="S55" s="6"/>
      <c r="T55" s="6"/>
    </row>
    <row r="56">
      <c r="A56" s="92" t="s">
        <v>343</v>
      </c>
      <c r="B56" s="92" t="s">
        <v>344</v>
      </c>
      <c r="C56" s="92" t="s">
        <v>345</v>
      </c>
      <c r="D56" s="93">
        <f t="shared" si="1"/>
        <v>0.05313301689</v>
      </c>
      <c r="E56" s="92" t="s">
        <v>347</v>
      </c>
      <c r="F56" s="94" t="s">
        <v>343</v>
      </c>
      <c r="G56" s="95">
        <f t="shared" si="2"/>
        <v>44.94257274</v>
      </c>
      <c r="H56" s="102">
        <v>3.4308619969408305E13</v>
      </c>
      <c r="I56" s="96">
        <v>2015.0</v>
      </c>
      <c r="J56" s="97" t="s">
        <v>292</v>
      </c>
      <c r="K56" s="98" t="s">
        <v>340</v>
      </c>
      <c r="L56" s="103">
        <v>65.0</v>
      </c>
      <c r="M56" s="99">
        <v>19.6496007142997</v>
      </c>
      <c r="N56" s="99">
        <v>28.846600976154</v>
      </c>
      <c r="O56" s="92" t="s">
        <v>346</v>
      </c>
      <c r="P56" s="6"/>
      <c r="Q56" s="6"/>
      <c r="R56" s="6"/>
      <c r="S56" s="6"/>
      <c r="T56" s="6"/>
    </row>
    <row r="57">
      <c r="A57" s="92" t="s">
        <v>348</v>
      </c>
      <c r="B57" s="92" t="s">
        <v>349</v>
      </c>
      <c r="C57" s="92" t="s">
        <v>350</v>
      </c>
      <c r="D57" s="93">
        <f t="shared" si="1"/>
        <v>-0.6902672008</v>
      </c>
      <c r="E57" s="92" t="s">
        <v>352</v>
      </c>
      <c r="F57" s="94" t="s">
        <v>348</v>
      </c>
      <c r="G57" s="95">
        <f t="shared" si="2"/>
        <v>46.24802702</v>
      </c>
      <c r="H57" s="102">
        <v>2.9975142634102156E13</v>
      </c>
      <c r="I57" s="96">
        <v>2014.0</v>
      </c>
      <c r="J57" s="97" t="s">
        <v>292</v>
      </c>
      <c r="K57" s="98">
        <v>65.0</v>
      </c>
      <c r="L57" s="100"/>
      <c r="M57" s="99">
        <v>28.846600976154</v>
      </c>
      <c r="N57" s="101"/>
      <c r="O57" s="92" t="s">
        <v>351</v>
      </c>
      <c r="P57" s="6"/>
      <c r="Q57" s="6"/>
      <c r="R57" s="6"/>
      <c r="S57" s="6"/>
      <c r="T57" s="6"/>
    </row>
    <row r="58">
      <c r="A58" s="92" t="s">
        <v>353</v>
      </c>
      <c r="B58" s="92" t="s">
        <v>354</v>
      </c>
      <c r="C58" s="92" t="s">
        <v>355</v>
      </c>
      <c r="D58" s="93">
        <f t="shared" si="1"/>
        <v>0.1944375082</v>
      </c>
      <c r="E58" s="92" t="s">
        <v>360</v>
      </c>
      <c r="F58" s="94" t="s">
        <v>353</v>
      </c>
      <c r="G58" s="95">
        <f t="shared" si="2"/>
        <v>2319.67656</v>
      </c>
      <c r="H58" s="102">
        <v>1.66980429861702E14</v>
      </c>
      <c r="I58" s="96">
        <v>2024.0</v>
      </c>
      <c r="J58" s="97" t="s">
        <v>356</v>
      </c>
      <c r="K58" s="98" t="s">
        <v>357</v>
      </c>
      <c r="L58" s="103" t="s">
        <v>358</v>
      </c>
      <c r="M58" s="99">
        <v>23.6602096848236</v>
      </c>
      <c r="N58" s="99">
        <v>21.6148974043115</v>
      </c>
      <c r="O58" s="92" t="s">
        <v>359</v>
      </c>
      <c r="P58" s="6"/>
      <c r="Q58" s="6"/>
      <c r="R58" s="6"/>
      <c r="S58" s="6"/>
      <c r="T58" s="6"/>
    </row>
    <row r="59">
      <c r="A59" s="92" t="s">
        <v>361</v>
      </c>
      <c r="B59" s="92" t="s">
        <v>362</v>
      </c>
      <c r="C59" s="92" t="s">
        <v>363</v>
      </c>
      <c r="D59" s="93">
        <f t="shared" si="1"/>
        <v>0.1956024888</v>
      </c>
      <c r="E59" s="92" t="s">
        <v>366</v>
      </c>
      <c r="F59" s="94" t="s">
        <v>361</v>
      </c>
      <c r="G59" s="95">
        <f t="shared" si="2"/>
        <v>1294.83589</v>
      </c>
      <c r="H59" s="102">
        <v>7.8026018823585E13</v>
      </c>
      <c r="I59" s="96">
        <v>2023.0</v>
      </c>
      <c r="J59" s="97" t="s">
        <v>356</v>
      </c>
      <c r="K59" s="98" t="s">
        <v>358</v>
      </c>
      <c r="L59" s="103" t="s">
        <v>364</v>
      </c>
      <c r="M59" s="99">
        <v>21.6148974043115</v>
      </c>
      <c r="N59" s="99">
        <v>18.1756591237636</v>
      </c>
      <c r="O59" s="92" t="s">
        <v>365</v>
      </c>
      <c r="P59" s="6"/>
      <c r="Q59" s="6"/>
      <c r="R59" s="6"/>
      <c r="S59" s="6"/>
      <c r="T59" s="6"/>
    </row>
    <row r="60">
      <c r="A60" s="92" t="s">
        <v>367</v>
      </c>
      <c r="B60" s="92" t="s">
        <v>368</v>
      </c>
      <c r="C60" s="92" t="s">
        <v>369</v>
      </c>
      <c r="D60" s="93">
        <f t="shared" si="1"/>
        <v>0.2342374187</v>
      </c>
      <c r="E60" s="92" t="s">
        <v>372</v>
      </c>
      <c r="F60" s="94" t="s">
        <v>367</v>
      </c>
      <c r="G60" s="95">
        <f t="shared" si="2"/>
        <v>851.4750546</v>
      </c>
      <c r="H60" s="102">
        <v>4.395273606363E13</v>
      </c>
      <c r="I60" s="96">
        <v>2022.0</v>
      </c>
      <c r="J60" s="97" t="s">
        <v>356</v>
      </c>
      <c r="K60" s="98" t="s">
        <v>364</v>
      </c>
      <c r="L60" s="103" t="s">
        <v>370</v>
      </c>
      <c r="M60" s="99">
        <v>18.1756591237636</v>
      </c>
      <c r="N60" s="99">
        <v>12.1839371970674</v>
      </c>
      <c r="O60" s="92" t="s">
        <v>371</v>
      </c>
      <c r="P60" s="6"/>
      <c r="Q60" s="6"/>
      <c r="R60" s="6"/>
      <c r="S60" s="6"/>
      <c r="T60" s="6"/>
    </row>
    <row r="61">
      <c r="A61" s="92" t="s">
        <v>373</v>
      </c>
      <c r="B61" s="92" t="s">
        <v>374</v>
      </c>
      <c r="C61" s="92" t="s">
        <v>375</v>
      </c>
      <c r="D61" s="93">
        <f t="shared" si="1"/>
        <v>0.1953330131</v>
      </c>
      <c r="E61" s="92" t="s">
        <v>378</v>
      </c>
      <c r="F61" s="94" t="s">
        <v>373</v>
      </c>
      <c r="G61" s="95">
        <f t="shared" si="2"/>
        <v>705.0031091</v>
      </c>
      <c r="H61" s="102">
        <v>3.7824935329035E13</v>
      </c>
      <c r="I61" s="96">
        <v>2021.0</v>
      </c>
      <c r="J61" s="97" t="s">
        <v>356</v>
      </c>
      <c r="K61" s="98" t="s">
        <v>370</v>
      </c>
      <c r="L61" s="103" t="s">
        <v>376</v>
      </c>
      <c r="M61" s="99">
        <v>12.1839371970674</v>
      </c>
      <c r="N61" s="99">
        <v>12.2738906719289</v>
      </c>
      <c r="O61" s="92" t="s">
        <v>377</v>
      </c>
      <c r="P61" s="6"/>
      <c r="Q61" s="6"/>
      <c r="R61" s="6"/>
      <c r="S61" s="6"/>
      <c r="T61" s="6"/>
    </row>
    <row r="62">
      <c r="A62" s="92" t="s">
        <v>379</v>
      </c>
      <c r="B62" s="92" t="s">
        <v>380</v>
      </c>
      <c r="C62" s="92" t="s">
        <v>381</v>
      </c>
      <c r="D62" s="93">
        <f t="shared" si="1"/>
        <v>0.07625079963</v>
      </c>
      <c r="E62" s="92" t="s">
        <v>384</v>
      </c>
      <c r="F62" s="94" t="s">
        <v>379</v>
      </c>
      <c r="G62" s="95">
        <f t="shared" si="2"/>
        <v>425.5370467</v>
      </c>
      <c r="H62" s="102">
        <v>1.7736372001115E13</v>
      </c>
      <c r="I62" s="96">
        <v>2020.0</v>
      </c>
      <c r="J62" s="97" t="s">
        <v>356</v>
      </c>
      <c r="K62" s="98" t="s">
        <v>376</v>
      </c>
      <c r="L62" s="103" t="s">
        <v>382</v>
      </c>
      <c r="M62" s="99">
        <v>12.2738906719289</v>
      </c>
      <c r="N62" s="99">
        <v>11.3076296512967</v>
      </c>
      <c r="O62" s="92" t="s">
        <v>383</v>
      </c>
      <c r="P62" s="6"/>
      <c r="Q62" s="6"/>
      <c r="R62" s="6"/>
      <c r="S62" s="6"/>
      <c r="T62" s="6"/>
    </row>
    <row r="63">
      <c r="A63" s="92" t="s">
        <v>385</v>
      </c>
      <c r="B63" s="92" t="s">
        <v>386</v>
      </c>
      <c r="C63" s="92" t="s">
        <v>387</v>
      </c>
      <c r="D63" s="93">
        <f t="shared" si="1"/>
        <v>0.1939998769</v>
      </c>
      <c r="E63" s="92" t="s">
        <v>389</v>
      </c>
      <c r="F63" s="94" t="s">
        <v>385</v>
      </c>
      <c r="G63" s="95">
        <f t="shared" si="2"/>
        <v>397.5502069</v>
      </c>
      <c r="H63" s="102">
        <v>1.325926203717E13</v>
      </c>
      <c r="I63" s="97">
        <v>2019.0</v>
      </c>
      <c r="J63" s="97" t="s">
        <v>356</v>
      </c>
      <c r="K63" s="98" t="s">
        <v>382</v>
      </c>
      <c r="L63" s="103" t="s">
        <v>382</v>
      </c>
      <c r="M63" s="99">
        <v>11.3076296512967</v>
      </c>
      <c r="N63" s="99">
        <v>11.3396223992414</v>
      </c>
      <c r="O63" s="92" t="s">
        <v>388</v>
      </c>
      <c r="P63" s="6"/>
      <c r="Q63" s="6"/>
      <c r="R63" s="6"/>
      <c r="S63" s="6"/>
      <c r="T63" s="6"/>
    </row>
    <row r="64">
      <c r="A64" s="92" t="s">
        <v>390</v>
      </c>
      <c r="B64" s="92" t="s">
        <v>391</v>
      </c>
      <c r="C64" s="92" t="s">
        <v>392</v>
      </c>
      <c r="D64" s="93">
        <f t="shared" si="1"/>
        <v>-0.455829986</v>
      </c>
      <c r="E64" s="92" t="s">
        <v>394</v>
      </c>
      <c r="F64" s="94" t="s">
        <v>390</v>
      </c>
      <c r="G64" s="95">
        <f t="shared" si="2"/>
        <v>244.8831363</v>
      </c>
      <c r="H64" s="102">
        <v>7.272021833944E12</v>
      </c>
      <c r="I64" s="96">
        <v>2018.0</v>
      </c>
      <c r="J64" s="97" t="s">
        <v>356</v>
      </c>
      <c r="K64" s="98" t="s">
        <v>382</v>
      </c>
      <c r="L64" s="103" t="s">
        <v>382</v>
      </c>
      <c r="M64" s="99">
        <v>11.3396223992414</v>
      </c>
      <c r="N64" s="99">
        <v>12.4741307475021</v>
      </c>
      <c r="O64" s="92" t="s">
        <v>393</v>
      </c>
      <c r="P64" s="6"/>
      <c r="Q64" s="6"/>
      <c r="R64" s="6"/>
      <c r="S64" s="6"/>
      <c r="T64" s="6"/>
    </row>
    <row r="65">
      <c r="A65" s="92" t="s">
        <v>395</v>
      </c>
      <c r="B65" s="92" t="s">
        <v>396</v>
      </c>
      <c r="C65" s="92" t="s">
        <v>397</v>
      </c>
      <c r="D65" s="93">
        <f t="shared" si="1"/>
        <v>0.07910513529</v>
      </c>
      <c r="E65" s="92" t="s">
        <v>400</v>
      </c>
      <c r="F65" s="94" t="s">
        <v>395</v>
      </c>
      <c r="G65" s="95">
        <f t="shared" si="2"/>
        <v>282.5559435</v>
      </c>
      <c r="H65" s="102">
        <v>7.052045992666E12</v>
      </c>
      <c r="I65" s="96">
        <v>2017.0</v>
      </c>
      <c r="J65" s="97" t="s">
        <v>356</v>
      </c>
      <c r="K65" s="98" t="s">
        <v>382</v>
      </c>
      <c r="L65" s="103" t="s">
        <v>398</v>
      </c>
      <c r="M65" s="99">
        <v>12.4741307475021</v>
      </c>
      <c r="N65" s="99">
        <v>14.0523361024415</v>
      </c>
      <c r="O65" s="92" t="s">
        <v>399</v>
      </c>
      <c r="P65" s="6"/>
      <c r="Q65" s="6"/>
      <c r="R65" s="6"/>
      <c r="S65" s="6"/>
      <c r="T65" s="6"/>
    </row>
    <row r="66">
      <c r="A66" s="92" t="s">
        <v>401</v>
      </c>
      <c r="B66" s="92" t="s">
        <v>402</v>
      </c>
      <c r="C66" s="92" t="s">
        <v>403</v>
      </c>
      <c r="D66" s="93">
        <f t="shared" si="1"/>
        <v>0.0414062798</v>
      </c>
      <c r="E66" s="92" t="s">
        <v>405</v>
      </c>
      <c r="F66" s="94" t="s">
        <v>401</v>
      </c>
      <c r="G66" s="95">
        <f t="shared" si="2"/>
        <v>132.1153248</v>
      </c>
      <c r="H66" s="102">
        <v>3.923045887668E12</v>
      </c>
      <c r="I66" s="96">
        <v>2016.0</v>
      </c>
      <c r="J66" s="97" t="s">
        <v>356</v>
      </c>
      <c r="K66" s="98" t="s">
        <v>398</v>
      </c>
      <c r="L66" s="103" t="s">
        <v>398</v>
      </c>
      <c r="M66" s="99">
        <v>14.0523361024415</v>
      </c>
      <c r="N66" s="99">
        <v>19.6496007142997</v>
      </c>
      <c r="O66" s="92" t="s">
        <v>404</v>
      </c>
      <c r="P66" s="6"/>
      <c r="Q66" s="6"/>
      <c r="R66" s="6"/>
      <c r="S66" s="6"/>
      <c r="T66" s="6"/>
    </row>
    <row r="67">
      <c r="A67" s="92" t="s">
        <v>406</v>
      </c>
      <c r="B67" s="92" t="s">
        <v>407</v>
      </c>
      <c r="C67" s="92" t="s">
        <v>408</v>
      </c>
      <c r="D67" s="93">
        <f t="shared" si="1"/>
        <v>0.1628150818</v>
      </c>
      <c r="E67" s="92" t="s">
        <v>410</v>
      </c>
      <c r="F67" s="94" t="s">
        <v>406</v>
      </c>
      <c r="G67" s="95">
        <f t="shared" si="2"/>
        <v>119.5240315</v>
      </c>
      <c r="H67" s="102">
        <v>3.097210442711E12</v>
      </c>
      <c r="I67" s="96">
        <v>2015.0</v>
      </c>
      <c r="J67" s="97" t="s">
        <v>356</v>
      </c>
      <c r="K67" s="98" t="s">
        <v>398</v>
      </c>
      <c r="L67" s="103" t="s">
        <v>398</v>
      </c>
      <c r="M67" s="99">
        <v>19.6496007142997</v>
      </c>
      <c r="N67" s="99">
        <v>28.846600976154</v>
      </c>
      <c r="O67" s="92" t="s">
        <v>409</v>
      </c>
      <c r="P67" s="6"/>
      <c r="Q67" s="6"/>
      <c r="R67" s="6"/>
      <c r="S67" s="6"/>
      <c r="T67" s="6"/>
    </row>
    <row r="68">
      <c r="A68" s="92" t="s">
        <v>411</v>
      </c>
      <c r="B68" s="92" t="s">
        <v>412</v>
      </c>
      <c r="C68" s="92" t="s">
        <v>413</v>
      </c>
      <c r="D68" s="93">
        <f t="shared" si="1"/>
        <v>-0.6847879913</v>
      </c>
      <c r="E68" s="92" t="s">
        <v>415</v>
      </c>
      <c r="F68" s="94" t="s">
        <v>411</v>
      </c>
      <c r="G68" s="95">
        <f t="shared" si="2"/>
        <v>91.30823118</v>
      </c>
      <c r="H68" s="102">
        <v>2.05549278251E12</v>
      </c>
      <c r="I68" s="96">
        <v>2014.0</v>
      </c>
      <c r="J68" s="97" t="s">
        <v>356</v>
      </c>
      <c r="K68" s="98" t="s">
        <v>398</v>
      </c>
      <c r="L68" s="100"/>
      <c r="M68" s="99">
        <v>28.846600976154</v>
      </c>
      <c r="N68" s="101"/>
      <c r="O68" s="92" t="s">
        <v>414</v>
      </c>
      <c r="P68" s="6"/>
      <c r="Q68" s="6"/>
      <c r="R68" s="6"/>
      <c r="S68" s="6"/>
      <c r="T68" s="6"/>
    </row>
    <row r="69">
      <c r="A69" s="92" t="s">
        <v>416</v>
      </c>
      <c r="B69" s="92" t="s">
        <v>417</v>
      </c>
      <c r="C69" s="92" t="s">
        <v>418</v>
      </c>
      <c r="D69" s="93">
        <f t="shared" si="1"/>
        <v>0.1513021566</v>
      </c>
      <c r="E69" s="92" t="s">
        <v>423</v>
      </c>
      <c r="F69" s="94" t="s">
        <v>416</v>
      </c>
      <c r="G69" s="95">
        <f t="shared" si="2"/>
        <v>1800.494489</v>
      </c>
      <c r="H69" s="102">
        <v>1.4735897896126384E14</v>
      </c>
      <c r="I69" s="96">
        <v>2024.0</v>
      </c>
      <c r="J69" s="97" t="s">
        <v>419</v>
      </c>
      <c r="K69" s="98" t="s">
        <v>420</v>
      </c>
      <c r="L69" s="103" t="s">
        <v>421</v>
      </c>
      <c r="M69" s="99">
        <v>23.6602096848236</v>
      </c>
      <c r="N69" s="99">
        <v>21.6148974043115</v>
      </c>
      <c r="O69" s="92" t="s">
        <v>422</v>
      </c>
      <c r="P69" s="6"/>
      <c r="Q69" s="6"/>
      <c r="R69" s="6"/>
      <c r="S69" s="6"/>
      <c r="T69" s="6"/>
    </row>
    <row r="70">
      <c r="A70" s="92" t="s">
        <v>424</v>
      </c>
      <c r="B70" s="92" t="s">
        <v>425</v>
      </c>
      <c r="C70" s="92" t="s">
        <v>426</v>
      </c>
      <c r="D70" s="93">
        <f t="shared" si="1"/>
        <v>-0.1069227881</v>
      </c>
      <c r="E70" s="92" t="s">
        <v>429</v>
      </c>
      <c r="F70" s="94" t="s">
        <v>424</v>
      </c>
      <c r="G70" s="95">
        <f t="shared" si="2"/>
        <v>1414.222688</v>
      </c>
      <c r="H70" s="102">
        <v>1.2408188587597419E14</v>
      </c>
      <c r="I70" s="96">
        <v>2023.0</v>
      </c>
      <c r="J70" s="97" t="s">
        <v>419</v>
      </c>
      <c r="K70" s="98" t="s">
        <v>421</v>
      </c>
      <c r="L70" s="103" t="s">
        <v>427</v>
      </c>
      <c r="M70" s="99">
        <v>21.6148974043115</v>
      </c>
      <c r="N70" s="99">
        <v>18.1756591237636</v>
      </c>
      <c r="O70" s="92" t="s">
        <v>428</v>
      </c>
      <c r="P70" s="6"/>
      <c r="Q70" s="6"/>
      <c r="R70" s="6"/>
      <c r="S70" s="6"/>
      <c r="T70" s="6"/>
    </row>
    <row r="71">
      <c r="A71" s="92" t="s">
        <v>430</v>
      </c>
      <c r="B71" s="92" t="s">
        <v>431</v>
      </c>
      <c r="C71" s="92" t="s">
        <v>432</v>
      </c>
      <c r="D71" s="93">
        <f t="shared" si="1"/>
        <v>0.2751082408</v>
      </c>
      <c r="E71" s="92" t="s">
        <v>435</v>
      </c>
      <c r="F71" s="94" t="s">
        <v>430</v>
      </c>
      <c r="G71" s="95">
        <f t="shared" si="2"/>
        <v>1623.251425</v>
      </c>
      <c r="H71" s="102">
        <v>1.3416077919395986E14</v>
      </c>
      <c r="I71" s="96">
        <v>2022.0</v>
      </c>
      <c r="J71" s="97" t="s">
        <v>419</v>
      </c>
      <c r="K71" s="98" t="s">
        <v>427</v>
      </c>
      <c r="L71" s="103" t="s">
        <v>433</v>
      </c>
      <c r="M71" s="99">
        <v>18.1756591237636</v>
      </c>
      <c r="N71" s="99">
        <v>12.1839371970674</v>
      </c>
      <c r="O71" s="92" t="s">
        <v>434</v>
      </c>
      <c r="P71" s="6"/>
      <c r="Q71" s="6"/>
      <c r="R71" s="6"/>
      <c r="S71" s="6"/>
      <c r="T71" s="6"/>
    </row>
    <row r="72">
      <c r="A72" s="92" t="s">
        <v>436</v>
      </c>
      <c r="B72" s="92" t="s">
        <v>437</v>
      </c>
      <c r="C72" s="92" t="s">
        <v>438</v>
      </c>
      <c r="D72" s="93">
        <f t="shared" si="1"/>
        <v>0.2316550812</v>
      </c>
      <c r="E72" s="92" t="s">
        <v>440</v>
      </c>
      <c r="F72" s="94" t="s">
        <v>436</v>
      </c>
      <c r="G72" s="95">
        <f t="shared" si="2"/>
        <v>1571.779788</v>
      </c>
      <c r="H72" s="102">
        <v>1.2377949238402675E14</v>
      </c>
      <c r="I72" s="96">
        <v>2021.0</v>
      </c>
      <c r="J72" s="97" t="s">
        <v>419</v>
      </c>
      <c r="K72" s="98" t="s">
        <v>433</v>
      </c>
      <c r="L72" s="103">
        <v>81.0</v>
      </c>
      <c r="M72" s="99">
        <v>12.1839371970674</v>
      </c>
      <c r="N72" s="99">
        <v>12.2738906719289</v>
      </c>
      <c r="O72" s="92" t="s">
        <v>439</v>
      </c>
      <c r="P72" s="6"/>
      <c r="Q72" s="6"/>
      <c r="R72" s="6"/>
      <c r="S72" s="6"/>
      <c r="T72" s="6"/>
    </row>
    <row r="73">
      <c r="A73" s="92" t="s">
        <v>441</v>
      </c>
      <c r="B73" s="92" t="s">
        <v>442</v>
      </c>
      <c r="C73" s="92" t="s">
        <v>443</v>
      </c>
      <c r="D73" s="93">
        <f t="shared" si="1"/>
        <v>-0.1449275198</v>
      </c>
      <c r="E73" s="92" t="s">
        <v>446</v>
      </c>
      <c r="F73" s="94" t="s">
        <v>441</v>
      </c>
      <c r="G73" s="95">
        <f t="shared" si="2"/>
        <v>1709.107841</v>
      </c>
      <c r="H73" s="102">
        <v>1.0801626512651111E14</v>
      </c>
      <c r="I73" s="96">
        <v>2020.0</v>
      </c>
      <c r="J73" s="97" t="s">
        <v>419</v>
      </c>
      <c r="K73" s="98">
        <v>81.0</v>
      </c>
      <c r="L73" s="103" t="s">
        <v>444</v>
      </c>
      <c r="M73" s="99">
        <v>12.2738906719289</v>
      </c>
      <c r="N73" s="99">
        <v>11.3076296512967</v>
      </c>
      <c r="O73" s="92" t="s">
        <v>445</v>
      </c>
      <c r="P73" s="6"/>
      <c r="Q73" s="6"/>
      <c r="R73" s="6"/>
      <c r="S73" s="6"/>
      <c r="T73" s="6"/>
    </row>
    <row r="74">
      <c r="A74" s="92" t="s">
        <v>447</v>
      </c>
      <c r="B74" s="92" t="s">
        <v>448</v>
      </c>
      <c r="C74" s="92" t="s">
        <v>449</v>
      </c>
      <c r="D74" s="93">
        <f t="shared" si="1"/>
        <v>-0.008017942949</v>
      </c>
      <c r="E74" s="92" t="s">
        <v>452</v>
      </c>
      <c r="F74" s="94" t="s">
        <v>447</v>
      </c>
      <c r="G74" s="95">
        <f t="shared" si="2"/>
        <v>1791.983321</v>
      </c>
      <c r="H74" s="102">
        <v>1.1141078564640764E14</v>
      </c>
      <c r="I74" s="97">
        <v>2019.0</v>
      </c>
      <c r="J74" s="97" t="s">
        <v>419</v>
      </c>
      <c r="K74" s="98" t="s">
        <v>444</v>
      </c>
      <c r="L74" s="103" t="s">
        <v>450</v>
      </c>
      <c r="M74" s="99">
        <v>11.3076296512967</v>
      </c>
      <c r="N74" s="99">
        <v>11.3396223992414</v>
      </c>
      <c r="O74" s="92" t="s">
        <v>451</v>
      </c>
      <c r="P74" s="6"/>
      <c r="Q74" s="6"/>
      <c r="R74" s="6"/>
      <c r="S74" s="6"/>
      <c r="T74" s="6"/>
    </row>
    <row r="75">
      <c r="A75" s="92" t="s">
        <v>453</v>
      </c>
      <c r="B75" s="92" t="s">
        <v>454</v>
      </c>
      <c r="C75" s="92" t="s">
        <v>455</v>
      </c>
      <c r="D75" s="93">
        <f t="shared" si="1"/>
        <v>0.1718643172</v>
      </c>
      <c r="E75" s="92" t="s">
        <v>458</v>
      </c>
      <c r="F75" s="94" t="s">
        <v>453</v>
      </c>
      <c r="G75" s="95">
        <f t="shared" si="2"/>
        <v>1596.83086</v>
      </c>
      <c r="H75" s="102">
        <v>9.996889126428045E13</v>
      </c>
      <c r="I75" s="96">
        <v>2018.0</v>
      </c>
      <c r="J75" s="97" t="s">
        <v>419</v>
      </c>
      <c r="K75" s="98" t="s">
        <v>450</v>
      </c>
      <c r="L75" s="103" t="s">
        <v>456</v>
      </c>
      <c r="M75" s="99">
        <v>11.3396223992414</v>
      </c>
      <c r="N75" s="99">
        <v>12.4741307475021</v>
      </c>
      <c r="O75" s="92" t="s">
        <v>457</v>
      </c>
      <c r="P75" s="6"/>
      <c r="Q75" s="6"/>
      <c r="R75" s="6"/>
      <c r="S75" s="6"/>
      <c r="T75" s="6"/>
    </row>
    <row r="76">
      <c r="A76" s="92" t="s">
        <v>459</v>
      </c>
      <c r="B76" s="92" t="s">
        <v>460</v>
      </c>
      <c r="C76" s="92" t="s">
        <v>461</v>
      </c>
      <c r="D76" s="93">
        <f t="shared" si="1"/>
        <v>0.09219022938</v>
      </c>
      <c r="E76" s="92" t="s">
        <v>463</v>
      </c>
      <c r="F76" s="94" t="s">
        <v>459</v>
      </c>
      <c r="G76" s="95">
        <f t="shared" si="2"/>
        <v>1741.744054</v>
      </c>
      <c r="H76" s="102">
        <v>1.0777677791026586E14</v>
      </c>
      <c r="I76" s="96">
        <v>2017.0</v>
      </c>
      <c r="J76" s="97" t="s">
        <v>419</v>
      </c>
      <c r="K76" s="98" t="s">
        <v>456</v>
      </c>
      <c r="L76" s="103" t="s">
        <v>126</v>
      </c>
      <c r="M76" s="99">
        <v>12.4741307475021</v>
      </c>
      <c r="N76" s="99">
        <v>14.0523361024415</v>
      </c>
      <c r="O76" s="92" t="s">
        <v>462</v>
      </c>
      <c r="P76" s="6"/>
      <c r="Q76" s="6"/>
      <c r="R76" s="6"/>
      <c r="S76" s="6"/>
      <c r="T76" s="6"/>
    </row>
    <row r="77">
      <c r="A77" s="92" t="s">
        <v>464</v>
      </c>
      <c r="B77" s="92" t="s">
        <v>465</v>
      </c>
      <c r="C77" s="92" t="s">
        <v>466</v>
      </c>
      <c r="D77" s="93">
        <f t="shared" si="1"/>
        <v>-0.08124407908</v>
      </c>
      <c r="E77" s="92" t="s">
        <v>468</v>
      </c>
      <c r="F77" s="94" t="s">
        <v>464</v>
      </c>
      <c r="G77" s="95">
        <f t="shared" si="2"/>
        <v>1105.114154</v>
      </c>
      <c r="H77" s="102">
        <v>6.270357681606348E13</v>
      </c>
      <c r="I77" s="96">
        <v>2016.0</v>
      </c>
      <c r="J77" s="97" t="s">
        <v>419</v>
      </c>
      <c r="K77" s="98" t="s">
        <v>126</v>
      </c>
      <c r="L77" s="103">
        <v>66.0</v>
      </c>
      <c r="M77" s="99">
        <v>14.0523361024415</v>
      </c>
      <c r="N77" s="99">
        <v>19.6496007142997</v>
      </c>
      <c r="O77" s="92" t="s">
        <v>467</v>
      </c>
      <c r="P77" s="6"/>
      <c r="Q77" s="6"/>
      <c r="R77" s="6"/>
      <c r="S77" s="6"/>
      <c r="T77" s="6"/>
    </row>
    <row r="78">
      <c r="A78" s="92" t="s">
        <v>469</v>
      </c>
      <c r="B78" s="92" t="s">
        <v>470</v>
      </c>
      <c r="C78" s="92" t="s">
        <v>471</v>
      </c>
      <c r="D78" s="93">
        <f t="shared" si="1"/>
        <v>-0.1236786928</v>
      </c>
      <c r="E78" s="92" t="s">
        <v>474</v>
      </c>
      <c r="F78" s="94" t="s">
        <v>469</v>
      </c>
      <c r="G78" s="95">
        <f t="shared" si="2"/>
        <v>605.9805891</v>
      </c>
      <c r="H78" s="102">
        <v>3.435412498420178E13</v>
      </c>
      <c r="I78" s="96">
        <v>2015.0</v>
      </c>
      <c r="J78" s="97" t="s">
        <v>419</v>
      </c>
      <c r="K78" s="98">
        <v>66.0</v>
      </c>
      <c r="L78" s="103" t="s">
        <v>472</v>
      </c>
      <c r="M78" s="99">
        <v>19.6496007142997</v>
      </c>
      <c r="N78" s="99">
        <v>28.846600976154</v>
      </c>
      <c r="O78" s="92" t="s">
        <v>473</v>
      </c>
      <c r="P78" s="6"/>
      <c r="Q78" s="6"/>
      <c r="R78" s="6"/>
      <c r="S78" s="6"/>
      <c r="T78" s="6"/>
    </row>
    <row r="79">
      <c r="A79" s="92" t="s">
        <v>475</v>
      </c>
      <c r="B79" s="92" t="s">
        <v>476</v>
      </c>
      <c r="C79" s="92" t="s">
        <v>477</v>
      </c>
      <c r="D79" s="93">
        <f t="shared" si="1"/>
        <v>0.4088994959</v>
      </c>
      <c r="E79" s="92" t="s">
        <v>479</v>
      </c>
      <c r="F79" s="94" t="s">
        <v>475</v>
      </c>
      <c r="G79" s="95">
        <f t="shared" si="2"/>
        <v>1203.518986</v>
      </c>
      <c r="H79" s="102">
        <v>6.4722867986774914E13</v>
      </c>
      <c r="I79" s="96">
        <v>2014.0</v>
      </c>
      <c r="J79" s="97" t="s">
        <v>419</v>
      </c>
      <c r="K79" s="98" t="s">
        <v>472</v>
      </c>
      <c r="L79" s="100"/>
      <c r="M79" s="99">
        <v>28.846600976154</v>
      </c>
      <c r="N79" s="101"/>
      <c r="O79" s="92" t="s">
        <v>478</v>
      </c>
      <c r="P79" s="6"/>
      <c r="Q79" s="6"/>
      <c r="R79" s="6"/>
      <c r="S79" s="6"/>
      <c r="T79" s="6"/>
    </row>
    <row r="80">
      <c r="A80" s="92" t="s">
        <v>480</v>
      </c>
      <c r="B80" s="92" t="s">
        <v>481</v>
      </c>
      <c r="C80" s="92" t="s">
        <v>482</v>
      </c>
      <c r="D80" s="93">
        <f t="shared" si="1"/>
        <v>0.1619533785</v>
      </c>
      <c r="E80" s="92" t="s">
        <v>485</v>
      </c>
      <c r="F80" s="94" t="s">
        <v>480</v>
      </c>
      <c r="G80" s="95">
        <f t="shared" si="2"/>
        <v>76.73751399</v>
      </c>
      <c r="H80" s="102">
        <v>8.5609645802263E13</v>
      </c>
      <c r="I80" s="96">
        <v>2024.0</v>
      </c>
      <c r="J80" s="97" t="s">
        <v>483</v>
      </c>
      <c r="K80" s="98">
        <v>84.0</v>
      </c>
      <c r="L80" s="103">
        <v>77.0</v>
      </c>
      <c r="M80" s="99">
        <v>23.6602096848236</v>
      </c>
      <c r="N80" s="99">
        <v>21.6148974043115</v>
      </c>
      <c r="O80" s="92" t="s">
        <v>484</v>
      </c>
      <c r="P80" s="6"/>
      <c r="Q80" s="6"/>
      <c r="R80" s="6"/>
      <c r="S80" s="6"/>
      <c r="T80" s="6"/>
    </row>
    <row r="81">
      <c r="A81" s="92" t="s">
        <v>486</v>
      </c>
      <c r="B81" s="92" t="s">
        <v>487</v>
      </c>
      <c r="C81" s="92" t="s">
        <v>488</v>
      </c>
      <c r="D81" s="93">
        <f t="shared" si="1"/>
        <v>0.03466933906</v>
      </c>
      <c r="E81" s="92" t="s">
        <v>490</v>
      </c>
      <c r="F81" s="94" t="s">
        <v>486</v>
      </c>
      <c r="G81" s="95">
        <f t="shared" si="2"/>
        <v>58.17161555</v>
      </c>
      <c r="H81" s="102">
        <v>5.4121237373462E13</v>
      </c>
      <c r="I81" s="96">
        <v>2023.0</v>
      </c>
      <c r="J81" s="97" t="s">
        <v>483</v>
      </c>
      <c r="K81" s="98">
        <v>77.0</v>
      </c>
      <c r="L81" s="103">
        <v>72.0</v>
      </c>
      <c r="M81" s="99">
        <v>21.6148974043115</v>
      </c>
      <c r="N81" s="99">
        <v>18.1756591237636</v>
      </c>
      <c r="O81" s="92" t="s">
        <v>489</v>
      </c>
      <c r="P81" s="6"/>
      <c r="Q81" s="6"/>
      <c r="R81" s="6"/>
      <c r="S81" s="6"/>
      <c r="T81" s="6"/>
    </row>
    <row r="82">
      <c r="A82" s="92" t="s">
        <v>491</v>
      </c>
      <c r="B82" s="92" t="s">
        <v>492</v>
      </c>
      <c r="C82" s="92" t="s">
        <v>493</v>
      </c>
      <c r="D82" s="93">
        <f t="shared" si="1"/>
        <v>0.2905876831</v>
      </c>
      <c r="E82" s="92" t="s">
        <v>495</v>
      </c>
      <c r="F82" s="94" t="s">
        <v>491</v>
      </c>
      <c r="G82" s="95">
        <f t="shared" si="2"/>
        <v>49.03291701</v>
      </c>
      <c r="H82" s="102">
        <v>3.5073148229428E13</v>
      </c>
      <c r="I82" s="96">
        <v>2022.0</v>
      </c>
      <c r="J82" s="97" t="s">
        <v>483</v>
      </c>
      <c r="K82" s="98">
        <v>72.0</v>
      </c>
      <c r="L82" s="103">
        <v>66.0</v>
      </c>
      <c r="M82" s="99">
        <v>18.1756591237636</v>
      </c>
      <c r="N82" s="99">
        <v>12.1839371970674</v>
      </c>
      <c r="O82" s="92" t="s">
        <v>494</v>
      </c>
      <c r="P82" s="6"/>
      <c r="Q82" s="6"/>
      <c r="R82" s="6"/>
      <c r="S82" s="6"/>
      <c r="T82" s="6"/>
    </row>
    <row r="83">
      <c r="A83" s="92" t="s">
        <v>496</v>
      </c>
      <c r="B83" s="92" t="s">
        <v>497</v>
      </c>
      <c r="C83" s="92" t="s">
        <v>498</v>
      </c>
      <c r="D83" s="93">
        <f t="shared" si="1"/>
        <v>0.3116530713</v>
      </c>
      <c r="E83" s="92" t="s">
        <v>500</v>
      </c>
      <c r="F83" s="94" t="s">
        <v>496</v>
      </c>
      <c r="G83" s="95">
        <f t="shared" si="2"/>
        <v>61.16305135</v>
      </c>
      <c r="H83" s="102">
        <v>3.6589906230919E13</v>
      </c>
      <c r="I83" s="96">
        <v>2021.0</v>
      </c>
      <c r="J83" s="97" t="s">
        <v>483</v>
      </c>
      <c r="K83" s="98">
        <v>66.0</v>
      </c>
      <c r="L83" s="103">
        <v>61.0</v>
      </c>
      <c r="M83" s="99">
        <v>12.1839371970674</v>
      </c>
      <c r="N83" s="99">
        <v>12.2738906719289</v>
      </c>
      <c r="O83" s="92" t="s">
        <v>499</v>
      </c>
      <c r="P83" s="6"/>
      <c r="Q83" s="6"/>
      <c r="R83" s="6"/>
      <c r="S83" s="6"/>
      <c r="T83" s="6"/>
    </row>
    <row r="84">
      <c r="A84" s="92" t="s">
        <v>501</v>
      </c>
      <c r="B84" s="92" t="s">
        <v>502</v>
      </c>
      <c r="C84" s="92" t="s">
        <v>503</v>
      </c>
      <c r="D84" s="93">
        <f t="shared" si="1"/>
        <v>0.1387137255</v>
      </c>
      <c r="E84" s="92" t="s">
        <v>505</v>
      </c>
      <c r="F84" s="94" t="s">
        <v>501</v>
      </c>
      <c r="G84" s="95">
        <f t="shared" si="2"/>
        <v>37.50532907</v>
      </c>
      <c r="H84" s="102">
        <v>1.8119586202349E13</v>
      </c>
      <c r="I84" s="96">
        <v>2020.0</v>
      </c>
      <c r="J84" s="97" t="s">
        <v>483</v>
      </c>
      <c r="K84" s="98">
        <v>61.0</v>
      </c>
      <c r="L84" s="103">
        <v>58.0</v>
      </c>
      <c r="M84" s="99">
        <v>12.2738906719289</v>
      </c>
      <c r="N84" s="99">
        <v>11.3076296512967</v>
      </c>
      <c r="O84" s="92" t="s">
        <v>504</v>
      </c>
      <c r="P84" s="6"/>
      <c r="Q84" s="6"/>
      <c r="R84" s="6"/>
      <c r="S84" s="6"/>
      <c r="T84" s="6"/>
    </row>
    <row r="85">
      <c r="A85" s="92" t="s">
        <v>506</v>
      </c>
      <c r="B85" s="92" t="s">
        <v>507</v>
      </c>
      <c r="C85" s="92" t="s">
        <v>508</v>
      </c>
      <c r="D85" s="93">
        <f t="shared" si="1"/>
        <v>0.2561762907</v>
      </c>
      <c r="E85" s="92" t="s">
        <v>510</v>
      </c>
      <c r="F85" s="94" t="s">
        <v>506</v>
      </c>
      <c r="G85" s="95">
        <f t="shared" si="2"/>
        <v>32.43313364</v>
      </c>
      <c r="H85" s="102">
        <v>1.2974229752025E13</v>
      </c>
      <c r="I85" s="97">
        <v>2019.0</v>
      </c>
      <c r="J85" s="97" t="s">
        <v>483</v>
      </c>
      <c r="K85" s="98">
        <v>58.0</v>
      </c>
      <c r="L85" s="103">
        <v>54.0</v>
      </c>
      <c r="M85" s="99">
        <v>11.3076296512967</v>
      </c>
      <c r="N85" s="99">
        <v>11.3396223992414</v>
      </c>
      <c r="O85" s="92" t="s">
        <v>509</v>
      </c>
      <c r="P85" s="6"/>
      <c r="Q85" s="6"/>
      <c r="R85" s="6"/>
      <c r="S85" s="6"/>
      <c r="T85" s="6"/>
    </row>
    <row r="86">
      <c r="A86" s="92" t="s">
        <v>511</v>
      </c>
      <c r="B86" s="92" t="s">
        <v>512</v>
      </c>
      <c r="C86" s="92" t="s">
        <v>513</v>
      </c>
      <c r="D86" s="93">
        <f t="shared" si="1"/>
        <v>0.4091117212</v>
      </c>
      <c r="E86" s="92" t="s">
        <v>515</v>
      </c>
      <c r="F86" s="94" t="s">
        <v>511</v>
      </c>
      <c r="G86" s="95">
        <f t="shared" si="2"/>
        <v>26.26918667</v>
      </c>
      <c r="H86" s="102">
        <v>9.189832486571E12</v>
      </c>
      <c r="I86" s="96">
        <v>2018.0</v>
      </c>
      <c r="J86" s="97" t="s">
        <v>483</v>
      </c>
      <c r="K86" s="98">
        <v>54.0</v>
      </c>
      <c r="L86" s="103">
        <v>50.0</v>
      </c>
      <c r="M86" s="99">
        <v>11.3396223992414</v>
      </c>
      <c r="N86" s="99">
        <v>12.4741307475021</v>
      </c>
      <c r="O86" s="92" t="s">
        <v>514</v>
      </c>
      <c r="P86" s="6"/>
      <c r="Q86" s="6"/>
      <c r="R86" s="6"/>
      <c r="S86" s="6"/>
      <c r="T86" s="6"/>
    </row>
    <row r="87">
      <c r="A87" s="92" t="s">
        <v>516</v>
      </c>
      <c r="B87" s="92" t="s">
        <v>517</v>
      </c>
      <c r="C87" s="92" t="s">
        <v>518</v>
      </c>
      <c r="D87" s="93">
        <f t="shared" si="1"/>
        <v>0.4302951845</v>
      </c>
      <c r="E87" s="92" t="s">
        <v>520</v>
      </c>
      <c r="F87" s="94" t="s">
        <v>516</v>
      </c>
      <c r="G87" s="95">
        <f t="shared" si="2"/>
        <v>31.21725152</v>
      </c>
      <c r="H87" s="102">
        <v>9.514126446079E12</v>
      </c>
      <c r="I87" s="96">
        <v>2017.0</v>
      </c>
      <c r="J87" s="97" t="s">
        <v>483</v>
      </c>
      <c r="K87" s="98">
        <v>50.0</v>
      </c>
      <c r="L87" s="103">
        <v>46.0</v>
      </c>
      <c r="M87" s="99">
        <v>12.4741307475021</v>
      </c>
      <c r="N87" s="99">
        <v>14.0523361024415</v>
      </c>
      <c r="O87" s="92" t="s">
        <v>519</v>
      </c>
      <c r="P87" s="6"/>
      <c r="Q87" s="6"/>
      <c r="R87" s="6"/>
      <c r="S87" s="6"/>
      <c r="T87" s="6"/>
    </row>
    <row r="88">
      <c r="A88" s="92" t="s">
        <v>521</v>
      </c>
      <c r="B88" s="92" t="s">
        <v>522</v>
      </c>
      <c r="C88" s="92" t="s">
        <v>523</v>
      </c>
      <c r="D88" s="93">
        <f t="shared" si="1"/>
        <v>0.08839867818</v>
      </c>
      <c r="E88" s="92" t="s">
        <v>525</v>
      </c>
      <c r="F88" s="94" t="s">
        <v>521</v>
      </c>
      <c r="G88" s="95">
        <f t="shared" si="2"/>
        <v>18.35697891</v>
      </c>
      <c r="H88" s="102">
        <v>4.474461826667E12</v>
      </c>
      <c r="I88" s="96">
        <v>2016.0</v>
      </c>
      <c r="J88" s="97" t="s">
        <v>483</v>
      </c>
      <c r="K88" s="98">
        <v>46.0</v>
      </c>
      <c r="L88" s="103">
        <v>42.0</v>
      </c>
      <c r="M88" s="99">
        <v>14.0523361024415</v>
      </c>
      <c r="N88" s="99">
        <v>19.6496007142997</v>
      </c>
      <c r="O88" s="92" t="s">
        <v>524</v>
      </c>
      <c r="P88" s="6"/>
      <c r="Q88" s="6"/>
      <c r="R88" s="6"/>
      <c r="S88" s="6"/>
      <c r="T88" s="6"/>
    </row>
    <row r="89">
      <c r="A89" s="92" t="s">
        <v>526</v>
      </c>
      <c r="B89" s="92" t="s">
        <v>527</v>
      </c>
      <c r="C89" s="92" t="s">
        <v>528</v>
      </c>
      <c r="D89" s="93">
        <f t="shared" si="1"/>
        <v>0.03408826257</v>
      </c>
      <c r="E89" s="92" t="s">
        <v>530</v>
      </c>
      <c r="F89" s="94" t="s">
        <v>526</v>
      </c>
      <c r="G89" s="95">
        <f t="shared" si="2"/>
        <v>15.42720832</v>
      </c>
      <c r="H89" s="102">
        <v>3.212201931579E12</v>
      </c>
      <c r="I89" s="96">
        <v>2015.0</v>
      </c>
      <c r="J89" s="97" t="s">
        <v>483</v>
      </c>
      <c r="K89" s="98">
        <v>42.0</v>
      </c>
      <c r="L89" s="103">
        <v>38.0</v>
      </c>
      <c r="M89" s="99">
        <v>19.6496007142997</v>
      </c>
      <c r="N89" s="99">
        <v>28.846600976154</v>
      </c>
      <c r="O89" s="92" t="s">
        <v>529</v>
      </c>
      <c r="P89" s="6"/>
      <c r="Q89" s="6"/>
      <c r="R89" s="6"/>
      <c r="S89" s="6"/>
      <c r="T89" s="6"/>
    </row>
    <row r="90">
      <c r="A90" s="92" t="s">
        <v>531</v>
      </c>
      <c r="B90" s="92" t="s">
        <v>532</v>
      </c>
      <c r="C90" s="92" t="s">
        <v>533</v>
      </c>
      <c r="D90" s="93">
        <f t="shared" si="1"/>
        <v>-0.8803238939</v>
      </c>
      <c r="E90" s="92" t="s">
        <v>535</v>
      </c>
      <c r="F90" s="94" t="s">
        <v>531</v>
      </c>
      <c r="G90" s="95">
        <f t="shared" si="2"/>
        <v>14.02787663</v>
      </c>
      <c r="H90" s="102">
        <v>2.629096425806E12</v>
      </c>
      <c r="I90" s="96">
        <v>2014.0</v>
      </c>
      <c r="J90" s="97" t="s">
        <v>483</v>
      </c>
      <c r="K90" s="98">
        <v>38.0</v>
      </c>
      <c r="L90" s="100"/>
      <c r="M90" s="99">
        <v>28.846600976154</v>
      </c>
      <c r="N90" s="101"/>
      <c r="O90" s="92" t="s">
        <v>534</v>
      </c>
      <c r="P90" s="6"/>
      <c r="Q90" s="6"/>
      <c r="R90" s="6"/>
      <c r="S90" s="6"/>
      <c r="T90" s="6"/>
    </row>
    <row r="91">
      <c r="A91" s="92" t="s">
        <v>536</v>
      </c>
      <c r="B91" s="92" t="s">
        <v>537</v>
      </c>
      <c r="C91" s="92" t="s">
        <v>538</v>
      </c>
      <c r="D91" s="93">
        <f t="shared" si="1"/>
        <v>0.0103520449</v>
      </c>
      <c r="E91" s="92" t="s">
        <v>541</v>
      </c>
      <c r="F91" s="94" t="s">
        <v>536</v>
      </c>
      <c r="G91" s="95">
        <f t="shared" si="2"/>
        <v>163.1797004</v>
      </c>
      <c r="H91" s="102">
        <v>3.384825521055197E14</v>
      </c>
      <c r="I91" s="96">
        <v>2024.0</v>
      </c>
      <c r="J91" s="97" t="s">
        <v>539</v>
      </c>
      <c r="K91" s="98">
        <v>87.0</v>
      </c>
      <c r="L91" s="103">
        <v>82.0</v>
      </c>
      <c r="M91" s="99">
        <v>23.6602096848236</v>
      </c>
      <c r="N91" s="99">
        <v>21.6148974043115</v>
      </c>
      <c r="O91" s="92" t="s">
        <v>540</v>
      </c>
      <c r="P91" s="6"/>
      <c r="Q91" s="6"/>
      <c r="R91" s="6"/>
      <c r="S91" s="6"/>
      <c r="T91" s="6"/>
    </row>
    <row r="92">
      <c r="A92" s="92" t="s">
        <v>542</v>
      </c>
      <c r="B92" s="92" t="s">
        <v>543</v>
      </c>
      <c r="C92" s="92" t="s">
        <v>544</v>
      </c>
      <c r="D92" s="93">
        <f t="shared" si="1"/>
        <v>-0.009055183236</v>
      </c>
      <c r="E92" s="92" t="s">
        <v>546</v>
      </c>
      <c r="F92" s="94" t="s">
        <v>542</v>
      </c>
      <c r="G92" s="95">
        <f t="shared" si="2"/>
        <v>138.0790027</v>
      </c>
      <c r="H92" s="102">
        <v>2.5235268837749125E14</v>
      </c>
      <c r="I92" s="96">
        <v>2023.0</v>
      </c>
      <c r="J92" s="97" t="s">
        <v>539</v>
      </c>
      <c r="K92" s="98">
        <v>82.0</v>
      </c>
      <c r="L92" s="103">
        <v>77.0</v>
      </c>
      <c r="M92" s="99">
        <v>21.6148974043115</v>
      </c>
      <c r="N92" s="99">
        <v>18.1756591237636</v>
      </c>
      <c r="O92" s="92" t="s">
        <v>545</v>
      </c>
      <c r="P92" s="6"/>
      <c r="Q92" s="6"/>
      <c r="R92" s="6"/>
      <c r="S92" s="6"/>
      <c r="T92" s="6"/>
    </row>
    <row r="93">
      <c r="A93" s="92" t="s">
        <v>547</v>
      </c>
      <c r="B93" s="92" t="s">
        <v>548</v>
      </c>
      <c r="C93" s="92" t="s">
        <v>549</v>
      </c>
      <c r="D93" s="93">
        <f t="shared" si="1"/>
        <v>0.2164886564</v>
      </c>
      <c r="E93" s="92" t="s">
        <v>551</v>
      </c>
      <c r="F93" s="94" t="s">
        <v>547</v>
      </c>
      <c r="G93" s="95">
        <f t="shared" si="2"/>
        <v>92.90444208</v>
      </c>
      <c r="H93" s="102">
        <v>1.6683331731583353E14</v>
      </c>
      <c r="I93" s="96">
        <v>2022.0</v>
      </c>
      <c r="J93" s="97" t="s">
        <v>539</v>
      </c>
      <c r="K93" s="98">
        <v>77.0</v>
      </c>
      <c r="L93" s="103">
        <v>74.0</v>
      </c>
      <c r="M93" s="99">
        <v>18.1756591237636</v>
      </c>
      <c r="N93" s="99">
        <v>12.1839371970674</v>
      </c>
      <c r="O93" s="92" t="s">
        <v>550</v>
      </c>
      <c r="P93" s="6"/>
      <c r="Q93" s="6"/>
      <c r="R93" s="6"/>
      <c r="S93" s="6"/>
      <c r="T93" s="6"/>
    </row>
    <row r="94">
      <c r="A94" s="92" t="s">
        <v>552</v>
      </c>
      <c r="B94" s="92" t="s">
        <v>553</v>
      </c>
      <c r="C94" s="92" t="s">
        <v>554</v>
      </c>
      <c r="D94" s="93">
        <f t="shared" si="1"/>
        <v>0.1561079281</v>
      </c>
      <c r="E94" s="92" t="s">
        <v>556</v>
      </c>
      <c r="F94" s="94" t="s">
        <v>552</v>
      </c>
      <c r="G94" s="95">
        <f t="shared" si="2"/>
        <v>117.0588169</v>
      </c>
      <c r="H94" s="102">
        <v>1.6433081755609653E14</v>
      </c>
      <c r="I94" s="96">
        <v>2021.0</v>
      </c>
      <c r="J94" s="97" t="s">
        <v>539</v>
      </c>
      <c r="K94" s="98">
        <v>74.0</v>
      </c>
      <c r="L94" s="103">
        <v>69.0</v>
      </c>
      <c r="M94" s="99">
        <v>12.1839371970674</v>
      </c>
      <c r="N94" s="99">
        <v>12.2738906719289</v>
      </c>
      <c r="O94" s="92" t="s">
        <v>555</v>
      </c>
      <c r="P94" s="6"/>
      <c r="Q94" s="6"/>
      <c r="R94" s="6"/>
      <c r="S94" s="6"/>
      <c r="T94" s="6"/>
    </row>
    <row r="95">
      <c r="A95" s="92" t="s">
        <v>557</v>
      </c>
      <c r="B95" s="92" t="s">
        <v>558</v>
      </c>
      <c r="C95" s="92" t="s">
        <v>559</v>
      </c>
      <c r="D95" s="93">
        <f t="shared" si="1"/>
        <v>0.1043556551</v>
      </c>
      <c r="E95" s="92" t="s">
        <v>561</v>
      </c>
      <c r="F95" s="94" t="s">
        <v>557</v>
      </c>
      <c r="G95" s="95">
        <f t="shared" si="2"/>
        <v>120.1093257</v>
      </c>
      <c r="H95" s="102">
        <v>1.5806046699859828E14</v>
      </c>
      <c r="I95" s="96">
        <v>2020.0</v>
      </c>
      <c r="J95" s="97" t="s">
        <v>539</v>
      </c>
      <c r="K95" s="98">
        <v>69.0</v>
      </c>
      <c r="L95" s="103">
        <v>65.0</v>
      </c>
      <c r="M95" s="99">
        <v>12.2738906719289</v>
      </c>
      <c r="N95" s="99">
        <v>11.3076296512967</v>
      </c>
      <c r="O95" s="92" t="s">
        <v>560</v>
      </c>
      <c r="P95" s="6"/>
      <c r="Q95" s="6"/>
      <c r="R95" s="6"/>
      <c r="S95" s="6"/>
      <c r="T95" s="6"/>
    </row>
    <row r="96">
      <c r="A96" s="92" t="s">
        <v>562</v>
      </c>
      <c r="B96" s="92" t="s">
        <v>563</v>
      </c>
      <c r="C96" s="92" t="s">
        <v>564</v>
      </c>
      <c r="D96" s="93">
        <f t="shared" si="1"/>
        <v>0.2345197706</v>
      </c>
      <c r="E96" s="92" t="s">
        <v>566</v>
      </c>
      <c r="F96" s="94" t="s">
        <v>562</v>
      </c>
      <c r="G96" s="95">
        <f t="shared" si="2"/>
        <v>115.5247334</v>
      </c>
      <c r="H96" s="102">
        <v>1.4012336639538586E14</v>
      </c>
      <c r="I96" s="97">
        <v>2019.0</v>
      </c>
      <c r="J96" s="97" t="s">
        <v>539</v>
      </c>
      <c r="K96" s="98">
        <v>65.0</v>
      </c>
      <c r="L96" s="103">
        <v>60.0</v>
      </c>
      <c r="M96" s="99">
        <v>11.3076296512967</v>
      </c>
      <c r="N96" s="99">
        <v>11.3396223992414</v>
      </c>
      <c r="O96" s="92" t="s">
        <v>565</v>
      </c>
      <c r="P96" s="6"/>
      <c r="Q96" s="6"/>
      <c r="R96" s="6"/>
      <c r="S96" s="6"/>
      <c r="T96" s="6"/>
    </row>
    <row r="97">
      <c r="A97" s="92" t="s">
        <v>567</v>
      </c>
      <c r="B97" s="92" t="s">
        <v>568</v>
      </c>
      <c r="C97" s="92" t="s">
        <v>569</v>
      </c>
      <c r="D97" s="93">
        <f t="shared" si="1"/>
        <v>0.2725900033</v>
      </c>
      <c r="E97" s="92" t="s">
        <v>571</v>
      </c>
      <c r="F97" s="94" t="s">
        <v>567</v>
      </c>
      <c r="G97" s="95">
        <f t="shared" si="2"/>
        <v>78.32461151</v>
      </c>
      <c r="H97" s="102">
        <v>8.311086587752886E13</v>
      </c>
      <c r="I97" s="96">
        <v>2018.0</v>
      </c>
      <c r="J97" s="97" t="s">
        <v>539</v>
      </c>
      <c r="K97" s="98">
        <v>60.0</v>
      </c>
      <c r="L97" s="103">
        <v>55.0</v>
      </c>
      <c r="M97" s="99">
        <v>11.3396223992414</v>
      </c>
      <c r="N97" s="99">
        <v>12.4741307475021</v>
      </c>
      <c r="O97" s="92" t="s">
        <v>570</v>
      </c>
      <c r="P97" s="6"/>
      <c r="Q97" s="6"/>
      <c r="R97" s="6"/>
      <c r="S97" s="6"/>
      <c r="T97" s="6"/>
    </row>
    <row r="98">
      <c r="A98" s="92" t="s">
        <v>572</v>
      </c>
      <c r="B98" s="92" t="s">
        <v>573</v>
      </c>
      <c r="C98" s="92" t="s">
        <v>574</v>
      </c>
      <c r="D98" s="93">
        <f t="shared" si="1"/>
        <v>0.1781498236</v>
      </c>
      <c r="E98" s="92" t="s">
        <v>576</v>
      </c>
      <c r="F98" s="94" t="s">
        <v>572</v>
      </c>
      <c r="G98" s="95">
        <f t="shared" si="2"/>
        <v>81.39264429</v>
      </c>
      <c r="H98" s="102">
        <v>8.32825225938715E13</v>
      </c>
      <c r="I98" s="96">
        <v>2017.0</v>
      </c>
      <c r="J98" s="97" t="s">
        <v>539</v>
      </c>
      <c r="K98" s="98">
        <v>55.0</v>
      </c>
      <c r="L98" s="103">
        <v>49.0</v>
      </c>
      <c r="M98" s="99">
        <v>12.4741307475021</v>
      </c>
      <c r="N98" s="99">
        <v>14.0523361024415</v>
      </c>
      <c r="O98" s="92" t="s">
        <v>575</v>
      </c>
      <c r="P98" s="6"/>
      <c r="Q98" s="6"/>
      <c r="R98" s="6"/>
      <c r="S98" s="6"/>
      <c r="T98" s="6"/>
    </row>
    <row r="99">
      <c r="A99" s="92" t="s">
        <v>577</v>
      </c>
      <c r="B99" s="92" t="s">
        <v>578</v>
      </c>
      <c r="C99" s="92" t="s">
        <v>579</v>
      </c>
      <c r="D99" s="93">
        <f t="shared" si="1"/>
        <v>0.1895171587</v>
      </c>
      <c r="E99" s="92" t="s">
        <v>581</v>
      </c>
      <c r="F99" s="94" t="s">
        <v>577</v>
      </c>
      <c r="G99" s="95">
        <f t="shared" si="2"/>
        <v>50.96909452</v>
      </c>
      <c r="H99" s="102">
        <v>3.942054844501541E13</v>
      </c>
      <c r="I99" s="96">
        <v>2016.0</v>
      </c>
      <c r="J99" s="97" t="s">
        <v>539</v>
      </c>
      <c r="K99" s="98">
        <v>49.0</v>
      </c>
      <c r="L99" s="103">
        <v>45.0</v>
      </c>
      <c r="M99" s="99">
        <v>14.0523361024415</v>
      </c>
      <c r="N99" s="99">
        <v>19.6496007142997</v>
      </c>
      <c r="O99" s="92" t="s">
        <v>580</v>
      </c>
      <c r="P99" s="6"/>
      <c r="Q99" s="6"/>
      <c r="R99" s="6"/>
      <c r="S99" s="6"/>
      <c r="T99" s="6"/>
    </row>
    <row r="100">
      <c r="A100" s="92" t="s">
        <v>582</v>
      </c>
      <c r="B100" s="92" t="s">
        <v>583</v>
      </c>
      <c r="C100" s="92" t="s">
        <v>584</v>
      </c>
      <c r="D100" s="93">
        <f t="shared" si="1"/>
        <v>0.2588990463</v>
      </c>
      <c r="E100" s="92" t="s">
        <v>586</v>
      </c>
      <c r="F100" s="94" t="s">
        <v>582</v>
      </c>
      <c r="G100" s="95">
        <f t="shared" si="2"/>
        <v>53.49079986</v>
      </c>
      <c r="H100" s="102">
        <v>3.544468641686888E13</v>
      </c>
      <c r="I100" s="96">
        <v>2015.0</v>
      </c>
      <c r="J100" s="97" t="s">
        <v>539</v>
      </c>
      <c r="K100" s="98">
        <v>45.0</v>
      </c>
      <c r="L100" s="103">
        <v>41.0</v>
      </c>
      <c r="M100" s="99">
        <v>19.6496007142997</v>
      </c>
      <c r="N100" s="99">
        <v>28.846600976154</v>
      </c>
      <c r="O100" s="92" t="s">
        <v>585</v>
      </c>
      <c r="P100" s="6"/>
      <c r="Q100" s="6"/>
      <c r="R100" s="6"/>
      <c r="S100" s="6"/>
      <c r="T100" s="6"/>
    </row>
    <row r="101">
      <c r="A101" s="92" t="s">
        <v>587</v>
      </c>
      <c r="B101" s="92" t="s">
        <v>588</v>
      </c>
      <c r="C101" s="92" t="s">
        <v>589</v>
      </c>
      <c r="D101" s="93">
        <f t="shared" si="1"/>
        <v>-0.7525255712</v>
      </c>
      <c r="E101" s="92" t="s">
        <v>591</v>
      </c>
      <c r="F101" s="94" t="s">
        <v>587</v>
      </c>
      <c r="G101" s="95">
        <f t="shared" si="2"/>
        <v>38.91281959</v>
      </c>
      <c r="H101" s="102">
        <v>2.1919003844675254E13</v>
      </c>
      <c r="I101" s="96">
        <v>2014.0</v>
      </c>
      <c r="J101" s="97" t="s">
        <v>539</v>
      </c>
      <c r="K101" s="98">
        <v>41.0</v>
      </c>
      <c r="L101" s="100"/>
      <c r="M101" s="99">
        <v>28.846600976154</v>
      </c>
      <c r="N101" s="101"/>
      <c r="O101" s="92" t="s">
        <v>590</v>
      </c>
      <c r="P101" s="6"/>
      <c r="Q101" s="6"/>
      <c r="R101" s="6"/>
      <c r="S101" s="6"/>
      <c r="T101" s="6"/>
    </row>
    <row r="102">
      <c r="A102" s="92" t="s">
        <v>592</v>
      </c>
      <c r="B102" s="92" t="s">
        <v>593</v>
      </c>
      <c r="C102" s="92" t="s">
        <v>594</v>
      </c>
      <c r="D102" s="93">
        <f t="shared" si="1"/>
        <v>0.02341758178</v>
      </c>
      <c r="E102" s="92" t="s">
        <v>599</v>
      </c>
      <c r="F102" s="94" t="s">
        <v>592</v>
      </c>
      <c r="G102" s="95">
        <f t="shared" si="2"/>
        <v>2220.880071</v>
      </c>
      <c r="H102" s="104">
        <v>1.2223848903087358E14</v>
      </c>
      <c r="I102" s="96">
        <v>2024.0</v>
      </c>
      <c r="J102" s="97" t="s">
        <v>595</v>
      </c>
      <c r="K102" s="96" t="s">
        <v>596</v>
      </c>
      <c r="L102" s="103" t="s">
        <v>597</v>
      </c>
      <c r="M102" s="99">
        <v>23.6602096848236</v>
      </c>
      <c r="N102" s="99">
        <v>21.6148974043115</v>
      </c>
      <c r="O102" s="92" t="s">
        <v>598</v>
      </c>
      <c r="P102" s="6"/>
      <c r="Q102" s="6"/>
      <c r="R102" s="6"/>
      <c r="S102" s="6"/>
      <c r="T102" s="6"/>
    </row>
    <row r="103">
      <c r="A103" s="92" t="s">
        <v>600</v>
      </c>
      <c r="B103" s="92" t="s">
        <v>601</v>
      </c>
      <c r="C103" s="92" t="s">
        <v>602</v>
      </c>
      <c r="D103" s="93">
        <f t="shared" si="1"/>
        <v>0.006882824298</v>
      </c>
      <c r="E103" s="92" t="s">
        <v>605</v>
      </c>
      <c r="F103" s="94" t="s">
        <v>600</v>
      </c>
      <c r="G103" s="95">
        <f t="shared" si="2"/>
        <v>2342.743176</v>
      </c>
      <c r="H103" s="104">
        <v>1.2338253308590145E14</v>
      </c>
      <c r="I103" s="96">
        <v>2023.0</v>
      </c>
      <c r="J103" s="97" t="s">
        <v>595</v>
      </c>
      <c r="K103" s="96" t="s">
        <v>597</v>
      </c>
      <c r="L103" s="103" t="s">
        <v>603</v>
      </c>
      <c r="M103" s="99">
        <v>21.6148974043115</v>
      </c>
      <c r="N103" s="99">
        <v>18.1756591237636</v>
      </c>
      <c r="O103" s="92" t="s">
        <v>604</v>
      </c>
      <c r="P103" s="6"/>
      <c r="Q103" s="6"/>
      <c r="R103" s="6"/>
      <c r="S103" s="6"/>
      <c r="T103" s="6"/>
    </row>
    <row r="104">
      <c r="A104" s="92" t="s">
        <v>606</v>
      </c>
      <c r="B104" s="92" t="s">
        <v>607</v>
      </c>
      <c r="C104" s="92" t="s">
        <v>608</v>
      </c>
      <c r="D104" s="93">
        <f t="shared" si="1"/>
        <v>-0.01580648145</v>
      </c>
      <c r="E104" s="92" t="s">
        <v>611</v>
      </c>
      <c r="F104" s="94" t="s">
        <v>606</v>
      </c>
      <c r="G104" s="95">
        <f t="shared" si="2"/>
        <v>2752.573523</v>
      </c>
      <c r="H104" s="104">
        <v>1.3343643177639308E14</v>
      </c>
      <c r="I104" s="96">
        <v>2022.0</v>
      </c>
      <c r="J104" s="97" t="s">
        <v>595</v>
      </c>
      <c r="K104" s="96" t="s">
        <v>603</v>
      </c>
      <c r="L104" s="103" t="s">
        <v>609</v>
      </c>
      <c r="M104" s="99">
        <v>18.1756591237636</v>
      </c>
      <c r="N104" s="99">
        <v>12.1839371970674</v>
      </c>
      <c r="O104" s="92" t="s">
        <v>610</v>
      </c>
      <c r="P104" s="6"/>
      <c r="Q104" s="6"/>
      <c r="R104" s="6"/>
      <c r="S104" s="6"/>
      <c r="T104" s="6"/>
    </row>
    <row r="105">
      <c r="A105" s="92" t="s">
        <v>612</v>
      </c>
      <c r="B105" s="92" t="s">
        <v>613</v>
      </c>
      <c r="C105" s="92" t="s">
        <v>614</v>
      </c>
      <c r="D105" s="93">
        <f t="shared" si="1"/>
        <v>0.0215117121</v>
      </c>
      <c r="E105" s="92" t="s">
        <v>616</v>
      </c>
      <c r="F105" s="94" t="s">
        <v>612</v>
      </c>
      <c r="G105" s="95">
        <f t="shared" si="2"/>
        <v>2653.922614</v>
      </c>
      <c r="H105" s="104">
        <v>1.4152258927542944E14</v>
      </c>
      <c r="I105" s="96">
        <v>2021.0</v>
      </c>
      <c r="J105" s="97" t="s">
        <v>595</v>
      </c>
      <c r="K105" s="96" t="s">
        <v>609</v>
      </c>
      <c r="L105" s="103" t="s">
        <v>97</v>
      </c>
      <c r="M105" s="99">
        <v>12.1839371970674</v>
      </c>
      <c r="N105" s="99">
        <v>12.2738906719289</v>
      </c>
      <c r="O105" s="92" t="s">
        <v>615</v>
      </c>
      <c r="P105" s="6"/>
      <c r="Q105" s="6"/>
      <c r="R105" s="6"/>
      <c r="S105" s="6"/>
      <c r="T105" s="6"/>
    </row>
    <row r="106">
      <c r="A106" s="92" t="s">
        <v>617</v>
      </c>
      <c r="B106" s="92" t="s">
        <v>618</v>
      </c>
      <c r="C106" s="92" t="s">
        <v>619</v>
      </c>
      <c r="D106" s="93">
        <f t="shared" si="1"/>
        <v>0.05891821851</v>
      </c>
      <c r="E106" s="92" t="s">
        <v>622</v>
      </c>
      <c r="F106" s="94" t="s">
        <v>617</v>
      </c>
      <c r="G106" s="95">
        <f t="shared" si="2"/>
        <v>2987.095058</v>
      </c>
      <c r="H106" s="104">
        <v>1.446576383047993E14</v>
      </c>
      <c r="I106" s="96">
        <v>2020.0</v>
      </c>
      <c r="J106" s="97" t="s">
        <v>595</v>
      </c>
      <c r="K106" s="96" t="s">
        <v>97</v>
      </c>
      <c r="L106" s="103" t="s">
        <v>620</v>
      </c>
      <c r="M106" s="99">
        <v>12.2738906719289</v>
      </c>
      <c r="N106" s="99">
        <v>11.3076296512967</v>
      </c>
      <c r="O106" s="92" t="s">
        <v>621</v>
      </c>
      <c r="P106" s="6"/>
      <c r="Q106" s="6"/>
      <c r="R106" s="6"/>
      <c r="S106" s="6"/>
      <c r="T106" s="6"/>
    </row>
    <row r="107">
      <c r="A107" s="92" t="s">
        <v>623</v>
      </c>
      <c r="B107" s="92" t="s">
        <v>624</v>
      </c>
      <c r="C107" s="92" t="s">
        <v>625</v>
      </c>
      <c r="D107" s="93">
        <f t="shared" si="1"/>
        <v>0.07146182351</v>
      </c>
      <c r="E107" s="92" t="s">
        <v>628</v>
      </c>
      <c r="F107" s="94" t="s">
        <v>623</v>
      </c>
      <c r="G107" s="95">
        <f t="shared" si="2"/>
        <v>2813.627531</v>
      </c>
      <c r="H107" s="104">
        <v>1.2575382575443323E14</v>
      </c>
      <c r="I107" s="97">
        <v>2019.0</v>
      </c>
      <c r="J107" s="97" t="s">
        <v>595</v>
      </c>
      <c r="K107" s="96" t="s">
        <v>620</v>
      </c>
      <c r="L107" s="103" t="s">
        <v>626</v>
      </c>
      <c r="M107" s="99">
        <v>11.3076296512967</v>
      </c>
      <c r="N107" s="99">
        <v>11.3396223992414</v>
      </c>
      <c r="O107" s="92" t="s">
        <v>627</v>
      </c>
      <c r="P107" s="6"/>
      <c r="Q107" s="6"/>
      <c r="R107" s="6"/>
      <c r="S107" s="6"/>
      <c r="T107" s="6"/>
    </row>
    <row r="108">
      <c r="A108" s="92" t="s">
        <v>629</v>
      </c>
      <c r="B108" s="92" t="s">
        <v>630</v>
      </c>
      <c r="C108" s="92" t="s">
        <v>631</v>
      </c>
      <c r="D108" s="93">
        <f t="shared" si="1"/>
        <v>0.02979706167</v>
      </c>
      <c r="E108" s="92" t="s">
        <v>633</v>
      </c>
      <c r="F108" s="94" t="s">
        <v>629</v>
      </c>
      <c r="G108" s="95">
        <f t="shared" si="2"/>
        <v>2784.924285</v>
      </c>
      <c r="H108" s="104">
        <v>1.0405068867191294E14</v>
      </c>
      <c r="I108" s="96">
        <v>2018.0</v>
      </c>
      <c r="J108" s="97" t="s">
        <v>595</v>
      </c>
      <c r="K108" s="96" t="s">
        <v>626</v>
      </c>
      <c r="L108" s="105">
        <v>74.0</v>
      </c>
      <c r="M108" s="99">
        <v>11.3396223992414</v>
      </c>
      <c r="N108" s="99">
        <v>12.4741307475021</v>
      </c>
      <c r="O108" s="92" t="s">
        <v>632</v>
      </c>
      <c r="P108" s="6"/>
      <c r="Q108" s="6"/>
      <c r="R108" s="6"/>
      <c r="S108" s="6"/>
      <c r="T108" s="6"/>
    </row>
    <row r="109">
      <c r="A109" s="92" t="s">
        <v>634</v>
      </c>
      <c r="B109" s="92" t="s">
        <v>635</v>
      </c>
      <c r="C109" s="92" t="s">
        <v>636</v>
      </c>
      <c r="D109" s="93">
        <f t="shared" si="1"/>
        <v>0.09075320946</v>
      </c>
      <c r="E109" s="92" t="s">
        <v>639</v>
      </c>
      <c r="F109" s="94" t="s">
        <v>634</v>
      </c>
      <c r="G109" s="95">
        <f t="shared" si="2"/>
        <v>4230.670897</v>
      </c>
      <c r="H109" s="104">
        <v>1.4665522262383734E14</v>
      </c>
      <c r="I109" s="96">
        <v>2017.0</v>
      </c>
      <c r="J109" s="97" t="s">
        <v>595</v>
      </c>
      <c r="K109" s="97">
        <v>74.0</v>
      </c>
      <c r="L109" s="103" t="s">
        <v>637</v>
      </c>
      <c r="M109" s="99">
        <v>12.4741307475021</v>
      </c>
      <c r="N109" s="99">
        <v>14.0523361024415</v>
      </c>
      <c r="O109" s="92" t="s">
        <v>638</v>
      </c>
      <c r="P109" s="6"/>
      <c r="Q109" s="6"/>
      <c r="R109" s="6"/>
      <c r="S109" s="6"/>
      <c r="T109" s="6"/>
    </row>
    <row r="110">
      <c r="A110" s="92" t="s">
        <v>640</v>
      </c>
      <c r="B110" s="92" t="s">
        <v>641</v>
      </c>
      <c r="C110" s="92" t="s">
        <v>642</v>
      </c>
      <c r="D110" s="93">
        <f t="shared" si="1"/>
        <v>0.1675122375</v>
      </c>
      <c r="E110" s="92" t="s">
        <v>645</v>
      </c>
      <c r="F110" s="94" t="s">
        <v>640</v>
      </c>
      <c r="G110" s="95">
        <f t="shared" si="2"/>
        <v>2402.946521</v>
      </c>
      <c r="H110" s="104">
        <v>7.058836729173481E13</v>
      </c>
      <c r="I110" s="96">
        <v>2016.0</v>
      </c>
      <c r="J110" s="97" t="s">
        <v>595</v>
      </c>
      <c r="K110" s="96" t="s">
        <v>637</v>
      </c>
      <c r="L110" s="103" t="s">
        <v>643</v>
      </c>
      <c r="M110" s="99">
        <v>14.0523361024415</v>
      </c>
      <c r="N110" s="99">
        <v>19.6496007142997</v>
      </c>
      <c r="O110" s="92" t="s">
        <v>644</v>
      </c>
      <c r="P110" s="6"/>
      <c r="Q110" s="6"/>
      <c r="R110" s="6"/>
      <c r="S110" s="6"/>
      <c r="T110" s="6"/>
    </row>
    <row r="111">
      <c r="A111" s="92" t="s">
        <v>646</v>
      </c>
      <c r="B111" s="92" t="s">
        <v>647</v>
      </c>
      <c r="C111" s="92" t="s">
        <v>648</v>
      </c>
      <c r="D111" s="93">
        <f t="shared" si="1"/>
        <v>0.1428024287</v>
      </c>
      <c r="E111" s="92" t="s">
        <v>651</v>
      </c>
      <c r="F111" s="94" t="s">
        <v>646</v>
      </c>
      <c r="G111" s="95">
        <f t="shared" si="2"/>
        <v>1751.443953</v>
      </c>
      <c r="H111" s="104">
        <v>4.811993083001338E13</v>
      </c>
      <c r="I111" s="96">
        <v>2015.0</v>
      </c>
      <c r="J111" s="97" t="s">
        <v>595</v>
      </c>
      <c r="K111" s="96" t="s">
        <v>643</v>
      </c>
      <c r="L111" s="103" t="s">
        <v>649</v>
      </c>
      <c r="M111" s="99">
        <v>19.6496007142997</v>
      </c>
      <c r="N111" s="99">
        <v>28.846600976154</v>
      </c>
      <c r="O111" s="92" t="s">
        <v>650</v>
      </c>
      <c r="P111" s="6"/>
      <c r="Q111" s="6"/>
      <c r="R111" s="6"/>
      <c r="S111" s="6"/>
      <c r="T111" s="6"/>
    </row>
    <row r="112">
      <c r="A112" s="92" t="s">
        <v>652</v>
      </c>
      <c r="B112" s="92" t="s">
        <v>653</v>
      </c>
      <c r="C112" s="92" t="s">
        <v>654</v>
      </c>
      <c r="D112" s="93">
        <f t="shared" si="1"/>
        <v>1.743810272</v>
      </c>
      <c r="E112" s="92" t="s">
        <v>656</v>
      </c>
      <c r="F112" s="94" t="s">
        <v>652</v>
      </c>
      <c r="G112" s="95">
        <f t="shared" si="2"/>
        <v>917.4216148</v>
      </c>
      <c r="H112" s="104">
        <v>2.363611177169518E13</v>
      </c>
      <c r="I112" s="96">
        <v>2014.0</v>
      </c>
      <c r="J112" s="97" t="s">
        <v>595</v>
      </c>
      <c r="K112" s="96" t="s">
        <v>649</v>
      </c>
      <c r="L112" s="100"/>
      <c r="M112" s="99">
        <v>28.846600976154</v>
      </c>
      <c r="N112" s="101"/>
      <c r="O112" s="92" t="s">
        <v>655</v>
      </c>
      <c r="P112" s="6"/>
      <c r="Q112" s="6"/>
      <c r="R112" s="6"/>
      <c r="S112" s="6"/>
      <c r="T112" s="6"/>
    </row>
    <row r="113">
      <c r="A113" s="92" t="s">
        <v>657</v>
      </c>
      <c r="B113" s="92" t="s">
        <v>658</v>
      </c>
      <c r="C113" s="92" t="s">
        <v>659</v>
      </c>
      <c r="D113" s="93">
        <f t="shared" si="1"/>
        <v>0.01273352897</v>
      </c>
      <c r="E113" s="92" t="s">
        <v>664</v>
      </c>
      <c r="F113" s="106" t="s">
        <v>657</v>
      </c>
      <c r="G113" s="95">
        <f t="shared" si="2"/>
        <v>233.0375743</v>
      </c>
      <c r="H113" s="102">
        <v>3.2009796208205566E12</v>
      </c>
      <c r="I113" s="83">
        <v>2024.0</v>
      </c>
      <c r="J113" s="83" t="s">
        <v>660</v>
      </c>
      <c r="K113" s="83" t="s">
        <v>661</v>
      </c>
      <c r="L113" s="103" t="s">
        <v>662</v>
      </c>
      <c r="M113" s="99">
        <v>23.6602096848236</v>
      </c>
      <c r="N113" s="99">
        <v>21.6148974043115</v>
      </c>
      <c r="O113" s="92" t="s">
        <v>663</v>
      </c>
      <c r="P113" s="28"/>
      <c r="Q113" s="29"/>
      <c r="R113" s="29"/>
      <c r="S113" s="29"/>
      <c r="T113" s="29"/>
    </row>
    <row r="114">
      <c r="A114" s="92" t="s">
        <v>665</v>
      </c>
      <c r="B114" s="92" t="s">
        <v>666</v>
      </c>
      <c r="C114" s="92" t="s">
        <v>667</v>
      </c>
      <c r="D114" s="93">
        <f t="shared" si="1"/>
        <v>-0.1745409468</v>
      </c>
      <c r="E114" s="92" t="s">
        <v>670</v>
      </c>
      <c r="F114" s="106" t="s">
        <v>665</v>
      </c>
      <c r="G114" s="95">
        <f t="shared" si="2"/>
        <v>299.960069</v>
      </c>
      <c r="H114" s="102">
        <v>3.468951538618608E12</v>
      </c>
      <c r="I114" s="83">
        <v>2023.0</v>
      </c>
      <c r="J114" s="83" t="s">
        <v>660</v>
      </c>
      <c r="K114" s="83" t="s">
        <v>662</v>
      </c>
      <c r="L114" s="103" t="s">
        <v>668</v>
      </c>
      <c r="M114" s="99">
        <v>21.6148974043115</v>
      </c>
      <c r="N114" s="99">
        <v>18.1756591237636</v>
      </c>
      <c r="O114" s="92" t="s">
        <v>669</v>
      </c>
      <c r="P114" s="28"/>
      <c r="Q114" s="29"/>
      <c r="R114" s="29"/>
      <c r="S114" s="29"/>
      <c r="T114" s="29"/>
    </row>
    <row r="115">
      <c r="A115" s="92" t="s">
        <v>671</v>
      </c>
      <c r="B115" s="92" t="s">
        <v>672</v>
      </c>
      <c r="C115" s="92" t="s">
        <v>673</v>
      </c>
      <c r="D115" s="93">
        <f t="shared" si="1"/>
        <v>0.1633697984</v>
      </c>
      <c r="E115" s="92" t="s">
        <v>675</v>
      </c>
      <c r="F115" s="106" t="s">
        <v>671</v>
      </c>
      <c r="G115" s="95">
        <f t="shared" si="2"/>
        <v>198.7416111</v>
      </c>
      <c r="H115" s="102">
        <v>2.1409565334888352E12</v>
      </c>
      <c r="I115" s="83">
        <v>2022.0</v>
      </c>
      <c r="J115" s="83" t="s">
        <v>660</v>
      </c>
      <c r="K115" s="83" t="s">
        <v>668</v>
      </c>
      <c r="L115" s="103" t="s">
        <v>168</v>
      </c>
      <c r="M115" s="99">
        <v>18.1756591237636</v>
      </c>
      <c r="N115" s="99">
        <v>12.1839371970674</v>
      </c>
      <c r="O115" s="92" t="s">
        <v>674</v>
      </c>
      <c r="P115" s="28"/>
      <c r="Q115" s="29"/>
      <c r="R115" s="29"/>
      <c r="S115" s="29"/>
      <c r="T115" s="29"/>
    </row>
    <row r="116">
      <c r="A116" s="92" t="s">
        <v>676</v>
      </c>
      <c r="B116" s="92" t="s">
        <v>677</v>
      </c>
      <c r="C116" s="92" t="s">
        <v>678</v>
      </c>
      <c r="D116" s="93">
        <f t="shared" si="1"/>
        <v>0.7692682223</v>
      </c>
      <c r="E116" s="92" t="s">
        <v>681</v>
      </c>
      <c r="F116" s="106" t="s">
        <v>676</v>
      </c>
      <c r="G116" s="95">
        <f t="shared" si="2"/>
        <v>430.2013271</v>
      </c>
      <c r="H116" s="102">
        <v>4.301556496948822E12</v>
      </c>
      <c r="I116" s="83">
        <v>2021.0</v>
      </c>
      <c r="J116" s="83" t="s">
        <v>660</v>
      </c>
      <c r="K116" s="83" t="s">
        <v>168</v>
      </c>
      <c r="L116" s="103" t="s">
        <v>679</v>
      </c>
      <c r="M116" s="99">
        <v>12.1839371970674</v>
      </c>
      <c r="N116" s="99">
        <v>12.2738906719289</v>
      </c>
      <c r="O116" s="92" t="s">
        <v>680</v>
      </c>
      <c r="P116" s="28"/>
      <c r="Q116" s="29"/>
      <c r="R116" s="29"/>
      <c r="S116" s="29"/>
      <c r="T116" s="29"/>
    </row>
    <row r="117">
      <c r="A117" s="92" t="s">
        <v>682</v>
      </c>
      <c r="B117" s="92" t="s">
        <v>683</v>
      </c>
      <c r="C117" s="92" t="s">
        <v>684</v>
      </c>
      <c r="D117" s="93">
        <f t="shared" si="1"/>
        <v>-0.1976130681</v>
      </c>
      <c r="E117" s="92" t="s">
        <v>687</v>
      </c>
      <c r="F117" s="106" t="s">
        <v>682</v>
      </c>
      <c r="G117" s="95">
        <f t="shared" si="2"/>
        <v>244.5947243</v>
      </c>
      <c r="H117" s="102">
        <v>2.091488100483705E12</v>
      </c>
      <c r="I117" s="83">
        <v>2020.0</v>
      </c>
      <c r="J117" s="83" t="s">
        <v>660</v>
      </c>
      <c r="K117" s="83" t="s">
        <v>679</v>
      </c>
      <c r="L117" s="103" t="s">
        <v>685</v>
      </c>
      <c r="M117" s="99">
        <v>12.2738906719289</v>
      </c>
      <c r="N117" s="99">
        <v>11.3076296512967</v>
      </c>
      <c r="O117" s="92" t="s">
        <v>686</v>
      </c>
      <c r="P117" s="28"/>
      <c r="Q117" s="29"/>
      <c r="R117" s="29"/>
      <c r="S117" s="29"/>
      <c r="T117" s="29"/>
    </row>
    <row r="118">
      <c r="A118" s="92" t="s">
        <v>688</v>
      </c>
      <c r="B118" s="92" t="s">
        <v>689</v>
      </c>
      <c r="C118" s="92" t="s">
        <v>690</v>
      </c>
      <c r="D118" s="93">
        <f t="shared" si="1"/>
        <v>0.1555875142</v>
      </c>
      <c r="E118" s="92" t="s">
        <v>692</v>
      </c>
      <c r="F118" s="106" t="s">
        <v>688</v>
      </c>
      <c r="G118" s="95">
        <f t="shared" si="2"/>
        <v>211.7672738</v>
      </c>
      <c r="H118" s="102">
        <v>1.6867491758069507E12</v>
      </c>
      <c r="I118" s="83">
        <v>2019.0</v>
      </c>
      <c r="J118" s="83" t="s">
        <v>660</v>
      </c>
      <c r="K118" s="83" t="s">
        <v>685</v>
      </c>
      <c r="L118" s="103" t="s">
        <v>132</v>
      </c>
      <c r="M118" s="99">
        <v>11.3076296512967</v>
      </c>
      <c r="N118" s="99">
        <v>11.3396223992414</v>
      </c>
      <c r="O118" s="92" t="s">
        <v>691</v>
      </c>
      <c r="P118" s="28"/>
      <c r="Q118" s="29"/>
      <c r="R118" s="29"/>
      <c r="S118" s="29"/>
      <c r="T118" s="29"/>
    </row>
    <row r="119">
      <c r="A119" s="92" t="s">
        <v>693</v>
      </c>
      <c r="B119" s="92" t="s">
        <v>694</v>
      </c>
      <c r="C119" s="92" t="s">
        <v>695</v>
      </c>
      <c r="D119" s="93">
        <f t="shared" si="1"/>
        <v>0.968634821</v>
      </c>
      <c r="E119" s="92" t="s">
        <v>698</v>
      </c>
      <c r="F119" s="106" t="s">
        <v>693</v>
      </c>
      <c r="G119" s="95">
        <f t="shared" si="2"/>
        <v>123.5905513</v>
      </c>
      <c r="H119" s="102">
        <v>9.25984949467425E11</v>
      </c>
      <c r="I119" s="83">
        <v>2018.0</v>
      </c>
      <c r="J119" s="83" t="s">
        <v>660</v>
      </c>
      <c r="K119" s="83" t="s">
        <v>132</v>
      </c>
      <c r="L119" s="103" t="s">
        <v>696</v>
      </c>
      <c r="M119" s="99">
        <v>11.3396223992414</v>
      </c>
      <c r="N119" s="99">
        <v>12.4741307475021</v>
      </c>
      <c r="O119" s="92" t="s">
        <v>697</v>
      </c>
      <c r="P119" s="28"/>
      <c r="Q119" s="29"/>
      <c r="R119" s="29"/>
      <c r="S119" s="29"/>
      <c r="T119" s="29"/>
    </row>
    <row r="120">
      <c r="A120" s="92" t="s">
        <v>699</v>
      </c>
      <c r="B120" s="92" t="s">
        <v>700</v>
      </c>
      <c r="C120" s="92" t="s">
        <v>701</v>
      </c>
      <c r="D120" s="93">
        <f t="shared" si="1"/>
        <v>0.8983420169</v>
      </c>
      <c r="E120" s="92" t="s">
        <v>704</v>
      </c>
      <c r="F120" s="106" t="s">
        <v>699</v>
      </c>
      <c r="G120" s="95">
        <f t="shared" si="2"/>
        <v>239.788326</v>
      </c>
      <c r="H120" s="102">
        <v>1.0943578704238639E12</v>
      </c>
      <c r="I120" s="83">
        <v>2017.0</v>
      </c>
      <c r="J120" s="83" t="s">
        <v>660</v>
      </c>
      <c r="K120" s="83" t="s">
        <v>696</v>
      </c>
      <c r="L120" s="103" t="s">
        <v>702</v>
      </c>
      <c r="M120" s="99">
        <v>12.4741307475021</v>
      </c>
      <c r="N120" s="99">
        <v>14.0523361024415</v>
      </c>
      <c r="O120" s="92" t="s">
        <v>703</v>
      </c>
      <c r="P120" s="28"/>
      <c r="Q120" s="29"/>
      <c r="R120" s="29"/>
      <c r="S120" s="29"/>
      <c r="T120" s="29"/>
    </row>
    <row r="121">
      <c r="A121" s="92" t="s">
        <v>705</v>
      </c>
      <c r="B121" s="92" t="s">
        <v>706</v>
      </c>
      <c r="C121" s="92" t="s">
        <v>707</v>
      </c>
      <c r="D121" s="93">
        <f t="shared" si="1"/>
        <v>0.3277824817</v>
      </c>
      <c r="E121" s="92" t="s">
        <v>709</v>
      </c>
      <c r="F121" s="106" t="s">
        <v>705</v>
      </c>
      <c r="G121" s="95">
        <f t="shared" si="2"/>
        <v>207.6369657</v>
      </c>
      <c r="H121" s="102">
        <v>6.369039797246693E11</v>
      </c>
      <c r="I121" s="83">
        <v>2016.0</v>
      </c>
      <c r="J121" s="83" t="s">
        <v>660</v>
      </c>
      <c r="K121" s="83" t="s">
        <v>702</v>
      </c>
      <c r="L121" s="103" t="s">
        <v>203</v>
      </c>
      <c r="M121" s="99">
        <v>14.0523361024415</v>
      </c>
      <c r="N121" s="99">
        <v>19.6496007142997</v>
      </c>
      <c r="O121" s="92" t="s">
        <v>708</v>
      </c>
      <c r="P121" s="28"/>
      <c r="Q121" s="29"/>
      <c r="R121" s="29"/>
      <c r="S121" s="29"/>
      <c r="T121" s="29"/>
    </row>
    <row r="122">
      <c r="A122" s="92" t="s">
        <v>710</v>
      </c>
      <c r="B122" s="92" t="s">
        <v>711</v>
      </c>
      <c r="C122" s="92" t="s">
        <v>712</v>
      </c>
      <c r="D122" s="93">
        <f t="shared" si="1"/>
        <v>0.03454045414</v>
      </c>
      <c r="E122" s="92" t="s">
        <v>714</v>
      </c>
      <c r="F122" s="106" t="s">
        <v>710</v>
      </c>
      <c r="G122" s="95">
        <f t="shared" si="2"/>
        <v>127.3870657</v>
      </c>
      <c r="H122" s="102">
        <v>2.478764569827348E11</v>
      </c>
      <c r="I122" s="83">
        <v>2015.0</v>
      </c>
      <c r="J122" s="83" t="s">
        <v>660</v>
      </c>
      <c r="K122" s="83" t="s">
        <v>203</v>
      </c>
      <c r="L122" s="103">
        <v>44.0</v>
      </c>
      <c r="M122" s="99">
        <v>19.6496007142997</v>
      </c>
      <c r="N122" s="99">
        <v>28.846600976154</v>
      </c>
      <c r="O122" s="92" t="s">
        <v>713</v>
      </c>
      <c r="P122" s="28"/>
      <c r="Q122" s="29"/>
      <c r="R122" s="29"/>
      <c r="S122" s="29"/>
      <c r="T122" s="29"/>
    </row>
    <row r="123">
      <c r="A123" s="92" t="s">
        <v>715</v>
      </c>
      <c r="B123" s="92" t="s">
        <v>716</v>
      </c>
      <c r="C123" s="92" t="s">
        <v>717</v>
      </c>
      <c r="D123" s="93">
        <f t="shared" si="1"/>
        <v>-0.9587380608</v>
      </c>
      <c r="E123" s="92" t="s">
        <v>719</v>
      </c>
      <c r="F123" s="106" t="s">
        <v>715</v>
      </c>
      <c r="G123" s="95">
        <f t="shared" si="2"/>
        <v>79.26246702</v>
      </c>
      <c r="H123" s="102">
        <v>1.120482195791904E11</v>
      </c>
      <c r="I123" s="83">
        <v>2014.0</v>
      </c>
      <c r="J123" s="83" t="s">
        <v>660</v>
      </c>
      <c r="K123" s="83">
        <v>44.0</v>
      </c>
      <c r="L123" s="100"/>
      <c r="M123" s="99">
        <v>28.846600976154</v>
      </c>
      <c r="N123" s="101"/>
      <c r="O123" s="92" t="s">
        <v>718</v>
      </c>
      <c r="P123" s="28"/>
      <c r="Q123" s="29"/>
      <c r="R123" s="29"/>
      <c r="S123" s="29"/>
      <c r="T123" s="29"/>
    </row>
    <row r="124">
      <c r="A124" s="92" t="s">
        <v>720</v>
      </c>
      <c r="B124" s="92" t="s">
        <v>721</v>
      </c>
      <c r="C124" s="92" t="s">
        <v>722</v>
      </c>
      <c r="D124" s="93">
        <f t="shared" si="1"/>
        <v>0.1414104472</v>
      </c>
      <c r="E124" s="92" t="s">
        <v>725</v>
      </c>
      <c r="F124" s="107" t="s">
        <v>720</v>
      </c>
      <c r="G124" s="95">
        <f t="shared" si="2"/>
        <v>1825.865737</v>
      </c>
      <c r="H124" s="102">
        <v>3.1413053617568E13</v>
      </c>
      <c r="I124" s="83">
        <v>2024.0</v>
      </c>
      <c r="J124" s="108" t="s">
        <v>723</v>
      </c>
      <c r="K124" s="6">
        <v>87.31</v>
      </c>
      <c r="L124" s="6">
        <v>84.85</v>
      </c>
      <c r="M124" s="99">
        <v>23.6602096848236</v>
      </c>
      <c r="N124" s="99">
        <v>21.6148974043115</v>
      </c>
      <c r="O124" s="92" t="s">
        <v>724</v>
      </c>
      <c r="P124" s="6"/>
      <c r="Q124" s="6"/>
      <c r="R124" s="6"/>
      <c r="S124" s="6"/>
      <c r="T124" s="6"/>
    </row>
    <row r="125">
      <c r="A125" s="92" t="s">
        <v>726</v>
      </c>
      <c r="B125" s="92" t="s">
        <v>727</v>
      </c>
      <c r="C125" s="92" t="s">
        <v>728</v>
      </c>
      <c r="D125" s="93">
        <f t="shared" si="1"/>
        <v>-0.02183006966</v>
      </c>
      <c r="E125" s="92" t="s">
        <v>730</v>
      </c>
      <c r="F125" s="107" t="s">
        <v>726</v>
      </c>
      <c r="G125" s="95">
        <f t="shared" si="2"/>
        <v>1406.237445</v>
      </c>
      <c r="H125" s="102">
        <v>2.0283950949871E13</v>
      </c>
      <c r="I125" s="83">
        <v>2023.0</v>
      </c>
      <c r="J125" s="108" t="s">
        <v>723</v>
      </c>
      <c r="K125" s="6">
        <v>84.85</v>
      </c>
      <c r="L125" s="6">
        <v>80.1</v>
      </c>
      <c r="M125" s="99">
        <v>21.6148974043115</v>
      </c>
      <c r="N125" s="99">
        <v>18.1756591237636</v>
      </c>
      <c r="O125" s="92" t="s">
        <v>729</v>
      </c>
      <c r="P125" s="6"/>
      <c r="Q125" s="6"/>
      <c r="R125" s="6"/>
      <c r="S125" s="6"/>
      <c r="T125" s="6"/>
    </row>
    <row r="126">
      <c r="A126" s="92" t="s">
        <v>731</v>
      </c>
      <c r="B126" s="92" t="s">
        <v>732</v>
      </c>
      <c r="C126" s="92" t="s">
        <v>733</v>
      </c>
      <c r="D126" s="93">
        <f t="shared" si="1"/>
        <v>0.7330717454</v>
      </c>
      <c r="E126" s="92" t="s">
        <v>735</v>
      </c>
      <c r="F126" s="107" t="s">
        <v>731</v>
      </c>
      <c r="G126" s="95">
        <f t="shared" si="2"/>
        <v>1433.090116</v>
      </c>
      <c r="H126" s="102">
        <v>1.9108408482841E13</v>
      </c>
      <c r="I126" s="83">
        <v>2022.0</v>
      </c>
      <c r="J126" s="108" t="s">
        <v>723</v>
      </c>
      <c r="K126" s="6">
        <v>80.1</v>
      </c>
      <c r="L126" s="6">
        <v>75.6</v>
      </c>
      <c r="M126" s="99">
        <v>18.1756591237636</v>
      </c>
      <c r="N126" s="99">
        <v>12.1839371970674</v>
      </c>
      <c r="O126" s="92" t="s">
        <v>734</v>
      </c>
      <c r="P126" s="6"/>
      <c r="Q126" s="6"/>
      <c r="R126" s="6"/>
      <c r="S126" s="6"/>
      <c r="T126" s="6"/>
    </row>
    <row r="127">
      <c r="A127" s="92" t="s">
        <v>736</v>
      </c>
      <c r="B127" s="92" t="s">
        <v>737</v>
      </c>
      <c r="C127" s="92" t="s">
        <v>738</v>
      </c>
      <c r="D127" s="93">
        <f t="shared" si="1"/>
        <v>0.1162865794</v>
      </c>
      <c r="E127" s="92" t="s">
        <v>740</v>
      </c>
      <c r="F127" s="107" t="s">
        <v>736</v>
      </c>
      <c r="G127" s="95">
        <f t="shared" si="2"/>
        <v>1417.980906</v>
      </c>
      <c r="H127" s="102">
        <v>1.5052956316387E13</v>
      </c>
      <c r="I127" s="83">
        <v>2021.0</v>
      </c>
      <c r="J127" s="108" t="s">
        <v>723</v>
      </c>
      <c r="K127" s="6">
        <v>75.6</v>
      </c>
      <c r="L127" s="6">
        <v>70.55</v>
      </c>
      <c r="M127" s="99">
        <v>12.1839371970674</v>
      </c>
      <c r="N127" s="99">
        <v>12.2738906719289</v>
      </c>
      <c r="O127" s="92" t="s">
        <v>739</v>
      </c>
      <c r="P127" s="6"/>
      <c r="Q127" s="6"/>
      <c r="R127" s="6"/>
      <c r="S127" s="6"/>
      <c r="T127" s="6"/>
    </row>
    <row r="128">
      <c r="A128" s="92" t="s">
        <v>741</v>
      </c>
      <c r="B128" s="92" t="s">
        <v>742</v>
      </c>
      <c r="C128" s="92" t="s">
        <v>743</v>
      </c>
      <c r="D128" s="93">
        <f t="shared" si="1"/>
        <v>0.03000512553</v>
      </c>
      <c r="E128" s="92" t="s">
        <v>745</v>
      </c>
      <c r="F128" s="107" t="s">
        <v>741</v>
      </c>
      <c r="G128" s="95">
        <f t="shared" si="2"/>
        <v>1455.995979</v>
      </c>
      <c r="H128" s="102">
        <v>1.2348185322792E13</v>
      </c>
      <c r="I128" s="83">
        <v>2020.0</v>
      </c>
      <c r="J128" s="108" t="s">
        <v>723</v>
      </c>
      <c r="K128" s="6">
        <v>70.55</v>
      </c>
      <c r="L128" s="6">
        <v>64.775</v>
      </c>
      <c r="M128" s="99">
        <v>12.2738906719289</v>
      </c>
      <c r="N128" s="99">
        <v>11.3076296512967</v>
      </c>
      <c r="O128" s="92" t="s">
        <v>744</v>
      </c>
      <c r="P128" s="6"/>
      <c r="Q128" s="6"/>
      <c r="R128" s="6"/>
      <c r="S128" s="6"/>
      <c r="T128" s="6"/>
    </row>
    <row r="129">
      <c r="A129" s="92" t="s">
        <v>746</v>
      </c>
      <c r="B129" s="92" t="s">
        <v>747</v>
      </c>
      <c r="C129" s="92" t="s">
        <v>748</v>
      </c>
      <c r="D129" s="93">
        <f t="shared" si="1"/>
        <v>0.1667368542</v>
      </c>
      <c r="E129" s="92" t="s">
        <v>750</v>
      </c>
      <c r="F129" s="107" t="s">
        <v>746</v>
      </c>
      <c r="G129" s="95">
        <f t="shared" si="2"/>
        <v>1097.581566</v>
      </c>
      <c r="H129" s="102">
        <v>9.438429465011E12</v>
      </c>
      <c r="I129" s="83">
        <v>2019.0</v>
      </c>
      <c r="J129" s="108" t="s">
        <v>723</v>
      </c>
      <c r="K129" s="6">
        <v>64.775</v>
      </c>
      <c r="L129" s="6">
        <v>56.475</v>
      </c>
      <c r="M129" s="99">
        <v>11.3076296512967</v>
      </c>
      <c r="N129" s="99">
        <v>11.3396223992414</v>
      </c>
      <c r="O129" s="92" t="s">
        <v>749</v>
      </c>
      <c r="P129" s="6"/>
      <c r="Q129" s="6"/>
      <c r="R129" s="6"/>
      <c r="S129" s="6"/>
      <c r="T129" s="6"/>
    </row>
    <row r="130">
      <c r="A130" s="92" t="s">
        <v>751</v>
      </c>
      <c r="B130" s="92" t="s">
        <v>752</v>
      </c>
      <c r="C130" s="92" t="s">
        <v>753</v>
      </c>
      <c r="D130" s="93">
        <f t="shared" si="1"/>
        <v>0.3274439523</v>
      </c>
      <c r="E130" s="92" t="s">
        <v>755</v>
      </c>
      <c r="F130" s="107" t="s">
        <v>751</v>
      </c>
      <c r="G130" s="95">
        <f t="shared" si="2"/>
        <v>762.3274247</v>
      </c>
      <c r="H130" s="102">
        <v>4.905091518116E12</v>
      </c>
      <c r="I130" s="83">
        <v>2018.0</v>
      </c>
      <c r="J130" s="108" t="s">
        <v>723</v>
      </c>
      <c r="K130" s="6">
        <v>56.475</v>
      </c>
      <c r="L130" s="6">
        <v>50.225</v>
      </c>
      <c r="M130" s="99">
        <v>11.3396223992414</v>
      </c>
      <c r="N130" s="99">
        <v>12.4741307475021</v>
      </c>
      <c r="O130" s="92" t="s">
        <v>754</v>
      </c>
      <c r="P130" s="6"/>
      <c r="Q130" s="6"/>
      <c r="R130" s="6"/>
      <c r="S130" s="6"/>
      <c r="T130" s="6"/>
    </row>
    <row r="131">
      <c r="A131" s="92" t="s">
        <v>756</v>
      </c>
      <c r="B131" s="92" t="s">
        <v>757</v>
      </c>
      <c r="C131" s="92" t="s">
        <v>758</v>
      </c>
      <c r="D131" s="93">
        <f t="shared" si="1"/>
        <v>0.2816534431</v>
      </c>
      <c r="E131" s="92" t="s">
        <v>760</v>
      </c>
      <c r="F131" s="107" t="s">
        <v>756</v>
      </c>
      <c r="G131" s="95">
        <f t="shared" si="2"/>
        <v>936.8884987</v>
      </c>
      <c r="H131" s="102">
        <v>4.28125584228E12</v>
      </c>
      <c r="I131" s="83">
        <v>2017.0</v>
      </c>
      <c r="J131" s="108" t="s">
        <v>723</v>
      </c>
      <c r="K131" s="6">
        <v>50.225</v>
      </c>
      <c r="L131" s="6">
        <v>42.9</v>
      </c>
      <c r="M131" s="99">
        <v>12.4741307475021</v>
      </c>
      <c r="N131" s="99">
        <v>14.0523361024415</v>
      </c>
      <c r="O131" s="92" t="s">
        <v>759</v>
      </c>
      <c r="P131" s="6"/>
      <c r="Q131" s="6"/>
      <c r="R131" s="6"/>
      <c r="S131" s="6"/>
      <c r="T131" s="6"/>
    </row>
    <row r="132">
      <c r="A132" s="92" t="s">
        <v>761</v>
      </c>
      <c r="B132" s="92" t="s">
        <v>762</v>
      </c>
      <c r="C132" s="92" t="s">
        <v>763</v>
      </c>
      <c r="D132" s="93">
        <f t="shared" si="1"/>
        <v>0.1114133612</v>
      </c>
      <c r="E132" s="92" t="s">
        <v>765</v>
      </c>
      <c r="F132" s="107" t="s">
        <v>761</v>
      </c>
      <c r="G132" s="95">
        <f t="shared" si="2"/>
        <v>565.7842625</v>
      </c>
      <c r="H132" s="102">
        <v>2.027938867468E12</v>
      </c>
      <c r="I132" s="83">
        <v>2016.0</v>
      </c>
      <c r="J132" s="108" t="s">
        <v>723</v>
      </c>
      <c r="K132" s="6">
        <v>42.9</v>
      </c>
      <c r="L132" s="6">
        <v>40.525</v>
      </c>
      <c r="M132" s="99">
        <v>14.0523361024415</v>
      </c>
      <c r="N132" s="99">
        <v>19.6496007142997</v>
      </c>
      <c r="O132" s="92" t="s">
        <v>764</v>
      </c>
      <c r="P132" s="6"/>
      <c r="Q132" s="6"/>
      <c r="R132" s="6"/>
      <c r="S132" s="6"/>
      <c r="T132" s="6"/>
    </row>
    <row r="133">
      <c r="A133" s="92" t="s">
        <v>766</v>
      </c>
      <c r="B133" s="92" t="s">
        <v>767</v>
      </c>
      <c r="C133" s="92" t="s">
        <v>768</v>
      </c>
      <c r="D133" s="93">
        <f t="shared" si="1"/>
        <v>-0.1623162834</v>
      </c>
      <c r="E133" s="92" t="s">
        <v>770</v>
      </c>
      <c r="F133" s="107" t="s">
        <v>766</v>
      </c>
      <c r="G133" s="95">
        <f t="shared" si="2"/>
        <v>328.7426666</v>
      </c>
      <c r="H133" s="102">
        <v>9.76641844384E11</v>
      </c>
      <c r="I133" s="83">
        <v>2015.0</v>
      </c>
      <c r="J133" s="108" t="s">
        <v>723</v>
      </c>
      <c r="K133" s="6">
        <v>40.525</v>
      </c>
      <c r="L133" s="101">
        <v>38.25</v>
      </c>
      <c r="M133" s="99">
        <v>19.6496007142997</v>
      </c>
      <c r="N133" s="99">
        <v>28.846600976154</v>
      </c>
      <c r="O133" s="92" t="s">
        <v>769</v>
      </c>
      <c r="P133" s="6"/>
      <c r="Q133" s="6"/>
      <c r="R133" s="6"/>
      <c r="S133" s="6"/>
      <c r="T133" s="6"/>
    </row>
    <row r="134">
      <c r="A134" s="92" t="s">
        <v>771</v>
      </c>
      <c r="B134" s="92" t="s">
        <v>772</v>
      </c>
      <c r="C134" s="92" t="s">
        <v>773</v>
      </c>
      <c r="D134" s="93">
        <f t="shared" si="1"/>
        <v>-0.8783628558</v>
      </c>
      <c r="E134" s="92" t="s">
        <v>775</v>
      </c>
      <c r="F134" s="107" t="s">
        <v>771</v>
      </c>
      <c r="G134" s="95">
        <f t="shared" si="2"/>
        <v>243.2831042</v>
      </c>
      <c r="H134" s="102">
        <v>6.86635989926E11</v>
      </c>
      <c r="I134" s="83">
        <v>2014.0</v>
      </c>
      <c r="J134" s="108" t="s">
        <v>723</v>
      </c>
      <c r="K134" s="109">
        <v>38.25</v>
      </c>
      <c r="L134" s="99"/>
      <c r="M134" s="99">
        <v>28.846600976154</v>
      </c>
      <c r="N134" s="6"/>
      <c r="O134" s="92" t="s">
        <v>774</v>
      </c>
      <c r="P134" s="6"/>
      <c r="Q134" s="6"/>
      <c r="R134" s="6"/>
      <c r="S134" s="6"/>
      <c r="T134" s="6"/>
    </row>
    <row r="135">
      <c r="A135" s="92" t="s">
        <v>776</v>
      </c>
      <c r="B135" s="92" t="s">
        <v>777</v>
      </c>
      <c r="C135" s="92" t="s">
        <v>778</v>
      </c>
      <c r="D135" s="93">
        <f t="shared" si="1"/>
        <v>0.07137588991</v>
      </c>
      <c r="E135" s="92" t="s">
        <v>783</v>
      </c>
      <c r="F135" s="94" t="s">
        <v>776</v>
      </c>
      <c r="G135" s="95">
        <f t="shared" si="2"/>
        <v>77.62709649</v>
      </c>
      <c r="H135" s="110">
        <v>2.1169637489376894E14</v>
      </c>
      <c r="I135" s="111" t="s">
        <v>779</v>
      </c>
      <c r="J135" s="91" t="s">
        <v>780</v>
      </c>
      <c r="K135" s="85" t="s">
        <v>781</v>
      </c>
      <c r="L135" s="85" t="s">
        <v>294</v>
      </c>
      <c r="M135" s="99">
        <v>23.6602096848236</v>
      </c>
      <c r="N135" s="99">
        <v>21.6148974043115</v>
      </c>
      <c r="O135" s="92" t="s">
        <v>782</v>
      </c>
      <c r="P135" s="6"/>
      <c r="Q135" s="6"/>
      <c r="R135" s="6"/>
      <c r="S135" s="6"/>
      <c r="T135" s="6"/>
    </row>
    <row r="136">
      <c r="A136" s="92" t="s">
        <v>784</v>
      </c>
      <c r="B136" s="92" t="s">
        <v>785</v>
      </c>
      <c r="C136" s="92" t="s">
        <v>786</v>
      </c>
      <c r="D136" s="93">
        <f t="shared" si="1"/>
        <v>0.08464473554</v>
      </c>
      <c r="E136" s="92" t="s">
        <v>790</v>
      </c>
      <c r="F136" s="94" t="s">
        <v>784</v>
      </c>
      <c r="G136" s="95">
        <f t="shared" si="2"/>
        <v>78.93528336</v>
      </c>
      <c r="H136" s="110">
        <v>1.794417231800944E14</v>
      </c>
      <c r="I136" s="111" t="s">
        <v>787</v>
      </c>
      <c r="J136" s="91" t="s">
        <v>780</v>
      </c>
      <c r="K136" s="85" t="s">
        <v>294</v>
      </c>
      <c r="L136" s="85" t="s">
        <v>788</v>
      </c>
      <c r="M136" s="99">
        <v>21.6148974043115</v>
      </c>
      <c r="N136" s="99">
        <v>18.1756591237636</v>
      </c>
      <c r="O136" s="92" t="s">
        <v>789</v>
      </c>
      <c r="P136" s="6"/>
      <c r="Q136" s="6"/>
      <c r="R136" s="6"/>
      <c r="S136" s="6"/>
      <c r="T136" s="6"/>
    </row>
    <row r="137">
      <c r="A137" s="92" t="s">
        <v>791</v>
      </c>
      <c r="B137" s="92" t="s">
        <v>792</v>
      </c>
      <c r="C137" s="92" t="s">
        <v>793</v>
      </c>
      <c r="D137" s="93">
        <f t="shared" si="1"/>
        <v>0.1595254298</v>
      </c>
      <c r="E137" s="92" t="s">
        <v>796</v>
      </c>
      <c r="F137" s="94" t="s">
        <v>791</v>
      </c>
      <c r="G137" s="95">
        <f t="shared" si="2"/>
        <v>67.73524163</v>
      </c>
      <c r="H137" s="110">
        <v>1.416235696379128E14</v>
      </c>
      <c r="I137" s="111" t="s">
        <v>794</v>
      </c>
      <c r="J137" s="91" t="s">
        <v>780</v>
      </c>
      <c r="K137" s="85" t="s">
        <v>788</v>
      </c>
      <c r="L137" s="85" t="s">
        <v>357</v>
      </c>
      <c r="M137" s="99">
        <v>18.1756591237636</v>
      </c>
      <c r="N137" s="99">
        <v>12.1839371970674</v>
      </c>
      <c r="O137" s="92" t="s">
        <v>795</v>
      </c>
      <c r="P137" s="6"/>
      <c r="Q137" s="6"/>
      <c r="R137" s="6"/>
      <c r="S137" s="6"/>
      <c r="T137" s="6"/>
    </row>
    <row r="138">
      <c r="A138" s="92" t="s">
        <v>797</v>
      </c>
      <c r="B138" s="92" t="s">
        <v>798</v>
      </c>
      <c r="C138" s="92" t="s">
        <v>799</v>
      </c>
      <c r="D138" s="93">
        <f t="shared" si="1"/>
        <v>0.2531151549</v>
      </c>
      <c r="E138" s="92" t="s">
        <v>803</v>
      </c>
      <c r="F138" s="94" t="s">
        <v>797</v>
      </c>
      <c r="G138" s="95">
        <f t="shared" si="2"/>
        <v>62.38536935</v>
      </c>
      <c r="H138" s="110">
        <v>1.0822867590508173E14</v>
      </c>
      <c r="I138" s="111" t="s">
        <v>800</v>
      </c>
      <c r="J138" s="91" t="s">
        <v>780</v>
      </c>
      <c r="K138" s="85" t="s">
        <v>357</v>
      </c>
      <c r="L138" s="85" t="s">
        <v>801</v>
      </c>
      <c r="M138" s="99">
        <v>12.1839371970674</v>
      </c>
      <c r="N138" s="99">
        <v>12.2738906719289</v>
      </c>
      <c r="O138" s="92" t="s">
        <v>802</v>
      </c>
      <c r="P138" s="6"/>
      <c r="Q138" s="6"/>
      <c r="R138" s="6"/>
      <c r="S138" s="6"/>
      <c r="T138" s="6"/>
    </row>
    <row r="139">
      <c r="A139" s="92" t="s">
        <v>804</v>
      </c>
      <c r="B139" s="92" t="s">
        <v>805</v>
      </c>
      <c r="C139" s="92" t="s">
        <v>806</v>
      </c>
      <c r="D139" s="93">
        <f t="shared" si="1"/>
        <v>0.05276054404</v>
      </c>
      <c r="E139" s="92" t="s">
        <v>809</v>
      </c>
      <c r="F139" s="94" t="s">
        <v>804</v>
      </c>
      <c r="G139" s="95">
        <f t="shared" si="2"/>
        <v>73.86310189</v>
      </c>
      <c r="H139" s="110">
        <v>1.1059007217654625E14</v>
      </c>
      <c r="I139" s="111" t="s">
        <v>807</v>
      </c>
      <c r="J139" s="91" t="s">
        <v>780</v>
      </c>
      <c r="K139" s="85" t="s">
        <v>801</v>
      </c>
      <c r="L139" s="85">
        <v>82.0</v>
      </c>
      <c r="M139" s="99">
        <v>12.2738906719289</v>
      </c>
      <c r="N139" s="99">
        <v>11.3076296512967</v>
      </c>
      <c r="O139" s="92" t="s">
        <v>808</v>
      </c>
      <c r="P139" s="6"/>
      <c r="Q139" s="6"/>
      <c r="R139" s="6"/>
      <c r="S139" s="6"/>
      <c r="T139" s="6"/>
    </row>
    <row r="140">
      <c r="A140" s="92" t="s">
        <v>810</v>
      </c>
      <c r="B140" s="92" t="s">
        <v>811</v>
      </c>
      <c r="C140" s="92" t="s">
        <v>812</v>
      </c>
      <c r="D140" s="93">
        <f t="shared" si="1"/>
        <v>0.05845526404</v>
      </c>
      <c r="E140" s="92" t="s">
        <v>816</v>
      </c>
      <c r="F140" s="94" t="s">
        <v>810</v>
      </c>
      <c r="G140" s="95">
        <f t="shared" si="2"/>
        <v>60.72101303</v>
      </c>
      <c r="H140" s="110">
        <v>8.905941189436306E13</v>
      </c>
      <c r="I140" s="112" t="s">
        <v>813</v>
      </c>
      <c r="J140" s="91" t="s">
        <v>780</v>
      </c>
      <c r="K140" s="85">
        <v>82.0</v>
      </c>
      <c r="L140" s="85" t="s">
        <v>814</v>
      </c>
      <c r="M140" s="99">
        <v>11.3076296512967</v>
      </c>
      <c r="N140" s="99">
        <v>11.3396223992414</v>
      </c>
      <c r="O140" s="92" t="s">
        <v>815</v>
      </c>
      <c r="P140" s="6"/>
      <c r="Q140" s="6"/>
      <c r="R140" s="6"/>
      <c r="S140" s="6"/>
      <c r="T140" s="6"/>
    </row>
    <row r="141">
      <c r="A141" s="92" t="s">
        <v>817</v>
      </c>
      <c r="B141" s="92" t="s">
        <v>818</v>
      </c>
      <c r="C141" s="92" t="s">
        <v>819</v>
      </c>
      <c r="D141" s="93">
        <f t="shared" si="1"/>
        <v>0.1354078286</v>
      </c>
      <c r="E141" s="92" t="s">
        <v>823</v>
      </c>
      <c r="F141" s="94" t="s">
        <v>817</v>
      </c>
      <c r="G141" s="95">
        <f t="shared" si="2"/>
        <v>49.85942168</v>
      </c>
      <c r="H141" s="110">
        <v>6.420037532053634E13</v>
      </c>
      <c r="I141" s="111" t="s">
        <v>820</v>
      </c>
      <c r="J141" s="91" t="s">
        <v>780</v>
      </c>
      <c r="K141" s="85" t="s">
        <v>814</v>
      </c>
      <c r="L141" s="85" t="s">
        <v>821</v>
      </c>
      <c r="M141" s="99">
        <v>11.3396223992414</v>
      </c>
      <c r="N141" s="99">
        <v>12.4741307475021</v>
      </c>
      <c r="O141" s="92" t="s">
        <v>822</v>
      </c>
      <c r="P141" s="6"/>
      <c r="Q141" s="6"/>
      <c r="R141" s="6"/>
      <c r="S141" s="6"/>
      <c r="T141" s="6"/>
    </row>
    <row r="142">
      <c r="A142" s="92" t="s">
        <v>824</v>
      </c>
      <c r="B142" s="92" t="s">
        <v>825</v>
      </c>
      <c r="C142" s="92" t="s">
        <v>826</v>
      </c>
      <c r="D142" s="93">
        <f t="shared" si="1"/>
        <v>0.2966907601</v>
      </c>
      <c r="E142" s="92" t="s">
        <v>830</v>
      </c>
      <c r="F142" s="94" t="s">
        <v>824</v>
      </c>
      <c r="G142" s="95">
        <f t="shared" si="2"/>
        <v>40.54270929</v>
      </c>
      <c r="H142" s="110">
        <v>4.759039449632751E13</v>
      </c>
      <c r="I142" s="111" t="s">
        <v>827</v>
      </c>
      <c r="J142" s="91" t="s">
        <v>780</v>
      </c>
      <c r="K142" s="85" t="s">
        <v>821</v>
      </c>
      <c r="L142" s="85" t="s">
        <v>828</v>
      </c>
      <c r="M142" s="99">
        <v>12.4741307475021</v>
      </c>
      <c r="N142" s="99">
        <v>14.0523361024415</v>
      </c>
      <c r="O142" s="92" t="s">
        <v>829</v>
      </c>
      <c r="P142" s="6"/>
      <c r="Q142" s="6"/>
      <c r="R142" s="6"/>
      <c r="S142" s="6"/>
      <c r="T142" s="6"/>
    </row>
    <row r="143">
      <c r="A143" s="92" t="s">
        <v>831</v>
      </c>
      <c r="B143" s="92" t="s">
        <v>832</v>
      </c>
      <c r="C143" s="92" t="s">
        <v>833</v>
      </c>
      <c r="D143" s="93">
        <f t="shared" si="1"/>
        <v>0.2470185709</v>
      </c>
      <c r="E143" s="92" t="s">
        <v>836</v>
      </c>
      <c r="F143" s="94" t="s">
        <v>831</v>
      </c>
      <c r="G143" s="95">
        <f t="shared" si="2"/>
        <v>26.47383818</v>
      </c>
      <c r="H143" s="110">
        <v>2.568049240579561E13</v>
      </c>
      <c r="I143" s="111" t="s">
        <v>834</v>
      </c>
      <c r="J143" s="91" t="s">
        <v>780</v>
      </c>
      <c r="K143" s="85" t="s">
        <v>828</v>
      </c>
      <c r="L143" s="85">
        <v>65.0</v>
      </c>
      <c r="M143" s="99">
        <v>14.0523361024415</v>
      </c>
      <c r="N143" s="99">
        <v>19.6496007142997</v>
      </c>
      <c r="O143" s="92" t="s">
        <v>835</v>
      </c>
      <c r="P143" s="6"/>
      <c r="Q143" s="6"/>
      <c r="R143" s="6"/>
      <c r="S143" s="6"/>
      <c r="T143" s="6"/>
    </row>
    <row r="144">
      <c r="A144" s="92" t="s">
        <v>837</v>
      </c>
      <c r="B144" s="92" t="s">
        <v>838</v>
      </c>
      <c r="C144" s="92" t="s">
        <v>839</v>
      </c>
      <c r="D144" s="93">
        <f t="shared" si="1"/>
        <v>0.09792200092</v>
      </c>
      <c r="E144" s="92" t="s">
        <v>842</v>
      </c>
      <c r="F144" s="94" t="s">
        <v>837</v>
      </c>
      <c r="G144" s="95">
        <f t="shared" si="2"/>
        <v>35.14586363</v>
      </c>
      <c r="H144" s="110">
        <v>2.908918528516733E13</v>
      </c>
      <c r="I144" s="111" t="s">
        <v>840</v>
      </c>
      <c r="J144" s="91" t="s">
        <v>780</v>
      </c>
      <c r="K144" s="85">
        <v>65.0</v>
      </c>
      <c r="L144" s="85">
        <v>60.0</v>
      </c>
      <c r="M144" s="99">
        <v>19.6496007142997</v>
      </c>
      <c r="N144" s="99">
        <v>28.846600976154</v>
      </c>
      <c r="O144" s="92" t="s">
        <v>841</v>
      </c>
      <c r="P144" s="6"/>
      <c r="Q144" s="6"/>
      <c r="R144" s="6"/>
      <c r="S144" s="6"/>
      <c r="T144" s="6"/>
    </row>
    <row r="145">
      <c r="A145" s="92" t="s">
        <v>843</v>
      </c>
      <c r="B145" s="92" t="s">
        <v>844</v>
      </c>
      <c r="C145" s="92" t="s">
        <v>845</v>
      </c>
      <c r="D145" s="93">
        <f t="shared" si="1"/>
        <v>1.378566199</v>
      </c>
      <c r="E145" s="92" t="s">
        <v>848</v>
      </c>
      <c r="F145" s="94" t="s">
        <v>843</v>
      </c>
      <c r="G145" s="95">
        <f t="shared" si="2"/>
        <v>25.83014548</v>
      </c>
      <c r="H145" s="110">
        <v>1.6181652269201678E13</v>
      </c>
      <c r="I145" s="111" t="s">
        <v>846</v>
      </c>
      <c r="J145" s="91" t="s">
        <v>780</v>
      </c>
      <c r="K145" s="85">
        <v>60.0</v>
      </c>
      <c r="L145" s="99"/>
      <c r="M145" s="99">
        <v>28.846600976154</v>
      </c>
      <c r="N145" s="6"/>
      <c r="O145" s="92" t="s">
        <v>847</v>
      </c>
      <c r="P145" s="38"/>
      <c r="Q145" s="38"/>
      <c r="R145" s="38"/>
      <c r="S145" s="6"/>
      <c r="T145" s="6"/>
    </row>
    <row r="146">
      <c r="A146" s="92" t="s">
        <v>849</v>
      </c>
      <c r="B146" s="92" t="s">
        <v>850</v>
      </c>
      <c r="C146" s="113" t="s">
        <v>851</v>
      </c>
      <c r="D146" s="93">
        <f t="shared" si="1"/>
        <v>-0.02173319903</v>
      </c>
      <c r="E146" s="113" t="s">
        <v>854</v>
      </c>
      <c r="F146" s="107" t="s">
        <v>849</v>
      </c>
      <c r="G146" s="95">
        <f t="shared" si="2"/>
        <v>59.3035034</v>
      </c>
      <c r="H146" s="114">
        <v>2.14250659131E12</v>
      </c>
      <c r="I146" s="115">
        <v>2024.0</v>
      </c>
      <c r="J146" s="101" t="s">
        <v>852</v>
      </c>
      <c r="K146" s="38">
        <v>92.5</v>
      </c>
      <c r="L146" s="38">
        <v>89.5</v>
      </c>
      <c r="M146" s="99">
        <v>23.6602096848236</v>
      </c>
      <c r="N146" s="99">
        <v>21.6148974043115</v>
      </c>
      <c r="O146" s="113" t="s">
        <v>853</v>
      </c>
      <c r="P146" s="38"/>
      <c r="Q146" s="38"/>
      <c r="R146" s="6"/>
      <c r="S146" s="38"/>
      <c r="T146" s="38"/>
    </row>
    <row r="147">
      <c r="A147" s="92" t="s">
        <v>855</v>
      </c>
      <c r="B147" s="92" t="s">
        <v>856</v>
      </c>
      <c r="C147" s="113" t="s">
        <v>857</v>
      </c>
      <c r="D147" s="93">
        <f t="shared" si="1"/>
        <v>-0.08557571655</v>
      </c>
      <c r="E147" s="113" t="s">
        <v>859</v>
      </c>
      <c r="F147" s="107" t="s">
        <v>855</v>
      </c>
      <c r="G147" s="95">
        <f t="shared" si="2"/>
        <v>162.9289215</v>
      </c>
      <c r="H147" s="6">
        <v>5.6740767903E12</v>
      </c>
      <c r="I147" s="115">
        <v>2023.0</v>
      </c>
      <c r="J147" s="101" t="s">
        <v>852</v>
      </c>
      <c r="K147" s="38">
        <v>89.5</v>
      </c>
      <c r="L147" s="38">
        <v>86.4</v>
      </c>
      <c r="M147" s="99">
        <v>21.6148974043115</v>
      </c>
      <c r="N147" s="99">
        <v>18.1756591237636</v>
      </c>
      <c r="O147" s="113" t="s">
        <v>858</v>
      </c>
      <c r="P147" s="38"/>
      <c r="Q147" s="38"/>
      <c r="R147" s="6"/>
      <c r="S147" s="6"/>
      <c r="T147" s="6"/>
    </row>
    <row r="148">
      <c r="A148" s="92" t="s">
        <v>860</v>
      </c>
      <c r="B148" s="92" t="s">
        <v>861</v>
      </c>
      <c r="C148" s="113" t="s">
        <v>862</v>
      </c>
      <c r="D148" s="93">
        <f t="shared" si="1"/>
        <v>0.6131209589</v>
      </c>
      <c r="E148" s="113" t="s">
        <v>864</v>
      </c>
      <c r="F148" s="107" t="s">
        <v>860</v>
      </c>
      <c r="G148" s="95">
        <f t="shared" si="2"/>
        <v>70.37276107</v>
      </c>
      <c r="H148" s="6">
        <v>2.37195013365E12</v>
      </c>
      <c r="I148" s="115">
        <v>2022.0</v>
      </c>
      <c r="J148" s="101" t="s">
        <v>852</v>
      </c>
      <c r="K148" s="38">
        <v>86.4</v>
      </c>
      <c r="L148" s="38">
        <v>83.7</v>
      </c>
      <c r="M148" s="99">
        <v>18.1756591237636</v>
      </c>
      <c r="N148" s="99">
        <v>12.1839371970674</v>
      </c>
      <c r="O148" s="113" t="s">
        <v>863</v>
      </c>
      <c r="P148" s="38"/>
      <c r="Q148" s="38"/>
      <c r="R148" s="6"/>
      <c r="S148" s="6"/>
      <c r="T148" s="6"/>
    </row>
    <row r="149">
      <c r="A149" s="92" t="s">
        <v>865</v>
      </c>
      <c r="B149" s="92" t="s">
        <v>866</v>
      </c>
      <c r="C149" s="113" t="s">
        <v>867</v>
      </c>
      <c r="D149" s="93">
        <f t="shared" si="1"/>
        <v>0.03015348567</v>
      </c>
      <c r="E149" s="113" t="s">
        <v>869</v>
      </c>
      <c r="F149" s="107" t="s">
        <v>865</v>
      </c>
      <c r="G149" s="95">
        <f t="shared" si="2"/>
        <v>93.69719542</v>
      </c>
      <c r="H149" s="6">
        <v>2.966631828569724E12</v>
      </c>
      <c r="I149" s="115">
        <v>2021.0</v>
      </c>
      <c r="J149" s="101" t="s">
        <v>852</v>
      </c>
      <c r="K149" s="38">
        <v>83.7</v>
      </c>
      <c r="L149" s="38">
        <v>80.7</v>
      </c>
      <c r="M149" s="99">
        <v>12.1839371970674</v>
      </c>
      <c r="N149" s="99">
        <v>12.2738906719289</v>
      </c>
      <c r="O149" s="113" t="s">
        <v>868</v>
      </c>
      <c r="P149" s="38"/>
      <c r="Q149" s="38"/>
      <c r="R149" s="6"/>
      <c r="S149" s="6"/>
      <c r="T149" s="6"/>
    </row>
    <row r="150">
      <c r="A150" s="92" t="s">
        <v>870</v>
      </c>
      <c r="B150" s="92" t="s">
        <v>871</v>
      </c>
      <c r="C150" s="113" t="s">
        <v>872</v>
      </c>
      <c r="D150" s="93">
        <f t="shared" si="1"/>
        <v>0.1533633319</v>
      </c>
      <c r="E150" s="113" t="s">
        <v>874</v>
      </c>
      <c r="F150" s="107" t="s">
        <v>870</v>
      </c>
      <c r="G150" s="95">
        <f t="shared" si="2"/>
        <v>108.8941925</v>
      </c>
      <c r="H150" s="6">
        <v>2.2273293770991772E12</v>
      </c>
      <c r="I150" s="115">
        <v>2020.0</v>
      </c>
      <c r="J150" s="101" t="s">
        <v>852</v>
      </c>
      <c r="K150" s="38">
        <v>80.7</v>
      </c>
      <c r="L150" s="38">
        <v>76.0</v>
      </c>
      <c r="M150" s="99">
        <v>12.2738906719289</v>
      </c>
      <c r="N150" s="99">
        <v>11.3076296512967</v>
      </c>
      <c r="O150" s="113" t="s">
        <v>873</v>
      </c>
      <c r="P150" s="38"/>
      <c r="Q150" s="38"/>
      <c r="R150" s="6"/>
      <c r="S150" s="6"/>
      <c r="T150" s="6"/>
    </row>
    <row r="151">
      <c r="A151" s="92" t="s">
        <v>875</v>
      </c>
      <c r="B151" s="92" t="s">
        <v>876</v>
      </c>
      <c r="C151" s="113" t="s">
        <v>877</v>
      </c>
      <c r="D151" s="93">
        <f t="shared" si="1"/>
        <v>-0.04133256849</v>
      </c>
      <c r="E151" s="113" t="s">
        <v>879</v>
      </c>
      <c r="F151" s="107" t="s">
        <v>875</v>
      </c>
      <c r="G151" s="95">
        <f t="shared" si="2"/>
        <v>191.1494215</v>
      </c>
      <c r="H151" s="6">
        <v>3.742359042135112E12</v>
      </c>
      <c r="I151" s="115">
        <v>2019.0</v>
      </c>
      <c r="J151" s="101" t="s">
        <v>852</v>
      </c>
      <c r="K151" s="38">
        <v>76.0</v>
      </c>
      <c r="L151" s="38">
        <v>70.8</v>
      </c>
      <c r="M151" s="99">
        <v>11.3076296512967</v>
      </c>
      <c r="N151" s="99">
        <v>11.3396223992414</v>
      </c>
      <c r="O151" s="113" t="s">
        <v>878</v>
      </c>
      <c r="P151" s="38"/>
      <c r="Q151" s="38"/>
      <c r="R151" s="6"/>
      <c r="S151" s="38"/>
      <c r="T151" s="38"/>
    </row>
    <row r="152">
      <c r="A152" s="92" t="s">
        <v>880</v>
      </c>
      <c r="B152" s="92" t="s">
        <v>881</v>
      </c>
      <c r="C152" s="113" t="s">
        <v>882</v>
      </c>
      <c r="D152" s="93">
        <f t="shared" si="1"/>
        <v>0.02111670051</v>
      </c>
      <c r="E152" s="113" t="s">
        <v>884</v>
      </c>
      <c r="F152" s="107" t="s">
        <v>880</v>
      </c>
      <c r="G152" s="95">
        <f t="shared" si="2"/>
        <v>195.8783152</v>
      </c>
      <c r="H152" s="6">
        <v>3.030476601375388E12</v>
      </c>
      <c r="I152" s="115">
        <v>2018.0</v>
      </c>
      <c r="J152" s="101" t="s">
        <v>852</v>
      </c>
      <c r="K152" s="38">
        <v>70.8</v>
      </c>
      <c r="L152" s="101">
        <v>67.2</v>
      </c>
      <c r="M152" s="99">
        <v>11.3396223992414</v>
      </c>
      <c r="N152" s="99">
        <v>12.4741307475021</v>
      </c>
      <c r="O152" s="113" t="s">
        <v>883</v>
      </c>
      <c r="P152" s="38"/>
      <c r="Q152" s="38"/>
      <c r="R152" s="6"/>
      <c r="S152" s="38"/>
      <c r="T152" s="6"/>
    </row>
    <row r="153">
      <c r="A153" s="92" t="s">
        <v>885</v>
      </c>
      <c r="B153" s="92" t="s">
        <v>886</v>
      </c>
      <c r="C153" s="113" t="s">
        <v>887</v>
      </c>
      <c r="D153" s="93">
        <f t="shared" si="1"/>
        <v>0.3650392032</v>
      </c>
      <c r="E153" s="113" t="s">
        <v>889</v>
      </c>
      <c r="F153" s="107" t="s">
        <v>885</v>
      </c>
      <c r="G153" s="95">
        <f t="shared" si="2"/>
        <v>205.5161369</v>
      </c>
      <c r="H153" s="6">
        <v>2.932183422060921E12</v>
      </c>
      <c r="I153" s="115">
        <v>2017.0</v>
      </c>
      <c r="J153" s="101" t="s">
        <v>852</v>
      </c>
      <c r="K153" s="101">
        <v>67.2</v>
      </c>
      <c r="L153" s="38">
        <v>63.4</v>
      </c>
      <c r="M153" s="99">
        <v>12.4741307475021</v>
      </c>
      <c r="N153" s="99">
        <v>14.0523361024415</v>
      </c>
      <c r="O153" s="113" t="s">
        <v>888</v>
      </c>
      <c r="P153" s="38"/>
      <c r="Q153" s="38"/>
      <c r="R153" s="6"/>
      <c r="S153" s="38"/>
      <c r="T153" s="6"/>
    </row>
    <row r="154">
      <c r="A154" s="92" t="s">
        <v>890</v>
      </c>
      <c r="B154" s="92" t="s">
        <v>891</v>
      </c>
      <c r="C154" s="113" t="s">
        <v>892</v>
      </c>
      <c r="D154" s="93">
        <f t="shared" si="1"/>
        <v>0.3843477496</v>
      </c>
      <c r="E154" s="113" t="s">
        <v>894</v>
      </c>
      <c r="F154" s="107" t="s">
        <v>890</v>
      </c>
      <c r="G154" s="95">
        <f t="shared" si="2"/>
        <v>264.4757995</v>
      </c>
      <c r="H154" s="6">
        <v>3.010458705924098E12</v>
      </c>
      <c r="I154" s="115">
        <v>2016.0</v>
      </c>
      <c r="J154" s="101" t="s">
        <v>852</v>
      </c>
      <c r="K154" s="38">
        <v>63.4</v>
      </c>
      <c r="L154" s="38">
        <v>61.1</v>
      </c>
      <c r="M154" s="99">
        <v>14.0523361024415</v>
      </c>
      <c r="N154" s="99">
        <v>19.6496007142997</v>
      </c>
      <c r="O154" s="113" t="s">
        <v>893</v>
      </c>
      <c r="P154" s="38"/>
      <c r="Q154" s="38"/>
      <c r="R154" s="6"/>
      <c r="S154" s="38"/>
      <c r="T154" s="6"/>
    </row>
    <row r="155">
      <c r="A155" s="92" t="s">
        <v>895</v>
      </c>
      <c r="B155" s="92" t="s">
        <v>896</v>
      </c>
      <c r="C155" s="113" t="s">
        <v>897</v>
      </c>
      <c r="D155" s="93">
        <f t="shared" si="1"/>
        <v>0.005323471516</v>
      </c>
      <c r="E155" s="113" t="s">
        <v>899</v>
      </c>
      <c r="F155" s="107" t="s">
        <v>895</v>
      </c>
      <c r="G155" s="95">
        <f t="shared" si="2"/>
        <v>139.8886927</v>
      </c>
      <c r="H155" s="6">
        <v>1.341253837032724E12</v>
      </c>
      <c r="I155" s="115">
        <v>2015.0</v>
      </c>
      <c r="J155" s="101" t="s">
        <v>852</v>
      </c>
      <c r="K155" s="38">
        <v>61.1</v>
      </c>
      <c r="L155" s="38">
        <v>58.7</v>
      </c>
      <c r="M155" s="99">
        <v>19.6496007142997</v>
      </c>
      <c r="N155" s="99">
        <v>28.846600976154</v>
      </c>
      <c r="O155" s="113" t="s">
        <v>898</v>
      </c>
      <c r="P155" s="38"/>
      <c r="Q155" s="38"/>
      <c r="R155" s="6"/>
      <c r="S155" s="38"/>
      <c r="T155" s="6"/>
    </row>
    <row r="156">
      <c r="A156" s="92" t="s">
        <v>900</v>
      </c>
      <c r="B156" s="92" t="s">
        <v>901</v>
      </c>
      <c r="C156" s="113" t="s">
        <v>902</v>
      </c>
      <c r="D156" s="93">
        <f t="shared" si="1"/>
        <v>-0.1315687916</v>
      </c>
      <c r="E156" s="113" t="s">
        <v>904</v>
      </c>
      <c r="F156" s="107" t="s">
        <v>900</v>
      </c>
      <c r="G156" s="95">
        <f t="shared" si="2"/>
        <v>173.9309684</v>
      </c>
      <c r="H156" s="6">
        <v>1.4595094096606367E12</v>
      </c>
      <c r="I156" s="115">
        <v>2014.0</v>
      </c>
      <c r="J156" s="101" t="s">
        <v>852</v>
      </c>
      <c r="K156" s="38">
        <v>58.7</v>
      </c>
      <c r="L156" s="99"/>
      <c r="M156" s="99">
        <v>28.846600976154</v>
      </c>
      <c r="N156" s="6"/>
      <c r="O156" s="113" t="s">
        <v>903</v>
      </c>
      <c r="P156" s="38"/>
      <c r="Q156" s="38"/>
      <c r="R156" s="6"/>
      <c r="S156" s="38"/>
      <c r="T156" s="6"/>
    </row>
    <row r="157">
      <c r="A157" s="92" t="s">
        <v>905</v>
      </c>
      <c r="B157" s="92" t="s">
        <v>906</v>
      </c>
      <c r="C157" s="92" t="s">
        <v>907</v>
      </c>
      <c r="D157" s="93">
        <f t="shared" si="1"/>
        <v>-0.02005592279</v>
      </c>
      <c r="E157" s="92" t="s">
        <v>910</v>
      </c>
      <c r="F157" s="116" t="s">
        <v>905</v>
      </c>
      <c r="G157" s="95">
        <f t="shared" si="2"/>
        <v>104.7352889</v>
      </c>
      <c r="H157" s="6">
        <v>3.8132440308275063E12</v>
      </c>
      <c r="I157" s="101">
        <v>2024.0</v>
      </c>
      <c r="J157" s="101" t="s">
        <v>908</v>
      </c>
      <c r="K157" s="101">
        <v>80.3</v>
      </c>
      <c r="L157" s="101">
        <v>77.3</v>
      </c>
      <c r="M157" s="99">
        <v>23.6602096848236</v>
      </c>
      <c r="N157" s="99">
        <v>21.6148974043115</v>
      </c>
      <c r="O157" s="92" t="s">
        <v>909</v>
      </c>
      <c r="P157" s="6"/>
      <c r="Q157" s="6"/>
      <c r="R157" s="6"/>
      <c r="S157" s="6"/>
      <c r="T157" s="6"/>
    </row>
    <row r="158">
      <c r="A158" s="92" t="s">
        <v>911</v>
      </c>
      <c r="B158" s="92" t="s">
        <v>912</v>
      </c>
      <c r="C158" s="92" t="s">
        <v>913</v>
      </c>
      <c r="D158" s="93">
        <f t="shared" si="1"/>
        <v>-0.462471302</v>
      </c>
      <c r="E158" s="92" t="s">
        <v>915</v>
      </c>
      <c r="F158" s="116" t="s">
        <v>911</v>
      </c>
      <c r="G158" s="95">
        <f t="shared" si="2"/>
        <v>117.8245374</v>
      </c>
      <c r="H158" s="6">
        <v>3.8852218184515464E12</v>
      </c>
      <c r="I158" s="101">
        <v>2023.0</v>
      </c>
      <c r="J158" s="101" t="s">
        <v>908</v>
      </c>
      <c r="K158" s="101">
        <v>77.3</v>
      </c>
      <c r="L158" s="101">
        <v>74.3</v>
      </c>
      <c r="M158" s="99">
        <v>21.6148974043115</v>
      </c>
      <c r="N158" s="99">
        <v>18.1756591237636</v>
      </c>
      <c r="O158" s="92" t="s">
        <v>914</v>
      </c>
      <c r="P158" s="6"/>
      <c r="Q158" s="6"/>
      <c r="R158" s="6"/>
      <c r="S158" s="6"/>
      <c r="T158" s="6"/>
    </row>
    <row r="159">
      <c r="A159" s="92" t="s">
        <v>916</v>
      </c>
      <c r="B159" s="92" t="s">
        <v>917</v>
      </c>
      <c r="C159" s="92" t="s">
        <v>918</v>
      </c>
      <c r="D159" s="93">
        <f t="shared" si="1"/>
        <v>1.009763021</v>
      </c>
      <c r="E159" s="92" t="s">
        <v>920</v>
      </c>
      <c r="F159" s="116" t="s">
        <v>916</v>
      </c>
      <c r="G159" s="95">
        <f t="shared" si="2"/>
        <v>100.0049891</v>
      </c>
      <c r="H159" s="6">
        <v>2.835833643609268E12</v>
      </c>
      <c r="I159" s="101">
        <v>2022.0</v>
      </c>
      <c r="J159" s="101" t="s">
        <v>908</v>
      </c>
      <c r="K159" s="101">
        <v>74.3</v>
      </c>
      <c r="L159" s="101">
        <v>71.0</v>
      </c>
      <c r="M159" s="99">
        <v>18.1756591237636</v>
      </c>
      <c r="N159" s="99">
        <v>12.1839371970674</v>
      </c>
      <c r="O159" s="92" t="s">
        <v>919</v>
      </c>
      <c r="P159" s="6"/>
      <c r="Q159" s="6"/>
      <c r="R159" s="6"/>
      <c r="S159" s="6"/>
      <c r="T159" s="6"/>
    </row>
    <row r="160">
      <c r="A160" s="92" t="s">
        <v>921</v>
      </c>
      <c r="B160" s="92" t="s">
        <v>922</v>
      </c>
      <c r="C160" s="92" t="s">
        <v>923</v>
      </c>
      <c r="D160" s="93">
        <f t="shared" si="1"/>
        <v>-0.4678107062</v>
      </c>
      <c r="E160" s="92" t="s">
        <v>925</v>
      </c>
      <c r="F160" s="116" t="s">
        <v>921</v>
      </c>
      <c r="G160" s="95">
        <f t="shared" si="2"/>
        <v>330.9919995</v>
      </c>
      <c r="H160" s="6">
        <v>1.0195288954299613E13</v>
      </c>
      <c r="I160" s="101">
        <v>2021.0</v>
      </c>
      <c r="J160" s="101" t="s">
        <v>908</v>
      </c>
      <c r="K160" s="101">
        <v>71.0</v>
      </c>
      <c r="L160" s="101">
        <v>66.7</v>
      </c>
      <c r="M160" s="99">
        <v>12.1839371970674</v>
      </c>
      <c r="N160" s="99">
        <v>12.2738906719289</v>
      </c>
      <c r="O160" s="92" t="s">
        <v>924</v>
      </c>
      <c r="P160" s="6"/>
      <c r="Q160" s="6"/>
      <c r="R160" s="6"/>
      <c r="S160" s="6"/>
      <c r="T160" s="6"/>
    </row>
    <row r="161">
      <c r="A161" s="92" t="s">
        <v>926</v>
      </c>
      <c r="B161" s="92" t="s">
        <v>927</v>
      </c>
      <c r="C161" s="92" t="s">
        <v>928</v>
      </c>
      <c r="D161" s="93">
        <f t="shared" si="1"/>
        <v>1.963934975</v>
      </c>
      <c r="E161" s="92" t="s">
        <v>930</v>
      </c>
      <c r="F161" s="116" t="s">
        <v>926</v>
      </c>
      <c r="G161" s="95">
        <f t="shared" si="2"/>
        <v>159.877265</v>
      </c>
      <c r="H161" s="6">
        <v>4.702137578060481E12</v>
      </c>
      <c r="I161" s="101">
        <v>2020.0</v>
      </c>
      <c r="J161" s="101" t="s">
        <v>908</v>
      </c>
      <c r="K161" s="101">
        <v>66.7</v>
      </c>
      <c r="L161" s="101">
        <v>63.0</v>
      </c>
      <c r="M161" s="99">
        <v>12.2738906719289</v>
      </c>
      <c r="N161" s="99">
        <v>11.3076296512967</v>
      </c>
      <c r="O161" s="92" t="s">
        <v>929</v>
      </c>
      <c r="P161" s="6"/>
      <c r="Q161" s="6"/>
      <c r="R161" s="6"/>
      <c r="S161" s="6"/>
      <c r="T161" s="6"/>
    </row>
    <row r="162">
      <c r="A162" s="92" t="s">
        <v>931</v>
      </c>
      <c r="B162" s="92" t="s">
        <v>932</v>
      </c>
      <c r="C162" s="92" t="s">
        <v>933</v>
      </c>
      <c r="D162" s="93">
        <f t="shared" si="1"/>
        <v>-0.3249593022</v>
      </c>
      <c r="E162" s="92" t="s">
        <v>935</v>
      </c>
      <c r="F162" s="116" t="s">
        <v>931</v>
      </c>
      <c r="G162" s="95">
        <f t="shared" si="2"/>
        <v>169.6556614</v>
      </c>
      <c r="H162" s="6">
        <v>4.941655974622441E12</v>
      </c>
      <c r="I162" s="101">
        <v>2019.0</v>
      </c>
      <c r="J162" s="101" t="s">
        <v>908</v>
      </c>
      <c r="K162" s="101">
        <v>63.0</v>
      </c>
      <c r="L162" s="101">
        <v>58.7</v>
      </c>
      <c r="M162" s="99">
        <v>11.3076296512967</v>
      </c>
      <c r="N162" s="99">
        <v>11.3396223992414</v>
      </c>
      <c r="O162" s="92" t="s">
        <v>934</v>
      </c>
      <c r="P162" s="6"/>
      <c r="Q162" s="6"/>
      <c r="R162" s="6"/>
      <c r="S162" s="6"/>
      <c r="T162" s="6"/>
    </row>
    <row r="163">
      <c r="A163" s="92" t="s">
        <v>936</v>
      </c>
      <c r="B163" s="92" t="s">
        <v>937</v>
      </c>
      <c r="C163" s="92" t="s">
        <v>938</v>
      </c>
      <c r="D163" s="93">
        <f t="shared" si="1"/>
        <v>0.3159157697</v>
      </c>
      <c r="E163" s="92" t="s">
        <v>940</v>
      </c>
      <c r="F163" s="116" t="s">
        <v>936</v>
      </c>
      <c r="G163" s="95">
        <f t="shared" si="2"/>
        <v>257.040753</v>
      </c>
      <c r="H163" s="6">
        <v>5.710190111022407E12</v>
      </c>
      <c r="I163" s="101">
        <v>2018.0</v>
      </c>
      <c r="J163" s="101" t="s">
        <v>908</v>
      </c>
      <c r="K163" s="101">
        <v>58.7</v>
      </c>
      <c r="L163" s="101">
        <v>56.0</v>
      </c>
      <c r="M163" s="99">
        <v>11.3396223992414</v>
      </c>
      <c r="N163" s="99">
        <v>12.4741307475021</v>
      </c>
      <c r="O163" s="92" t="s">
        <v>939</v>
      </c>
      <c r="P163" s="6"/>
      <c r="Q163" s="6"/>
      <c r="R163" s="6"/>
      <c r="S163" s="6"/>
      <c r="T163" s="6"/>
    </row>
    <row r="164">
      <c r="A164" s="92" t="s">
        <v>941</v>
      </c>
      <c r="B164" s="92" t="s">
        <v>942</v>
      </c>
      <c r="C164" s="92" t="s">
        <v>943</v>
      </c>
      <c r="D164" s="93">
        <f t="shared" si="1"/>
        <v>0.6858610937</v>
      </c>
      <c r="E164" s="92" t="s">
        <v>945</v>
      </c>
      <c r="F164" s="116" t="s">
        <v>941</v>
      </c>
      <c r="G164" s="95">
        <f t="shared" si="2"/>
        <v>362.0768179</v>
      </c>
      <c r="H164" s="6">
        <v>7.485238114141819E12</v>
      </c>
      <c r="I164" s="101">
        <v>2017.0</v>
      </c>
      <c r="J164" s="101" t="s">
        <v>908</v>
      </c>
      <c r="K164" s="101">
        <v>56.0</v>
      </c>
      <c r="L164" s="101">
        <v>52.0</v>
      </c>
      <c r="M164" s="99">
        <v>12.4741307475021</v>
      </c>
      <c r="N164" s="99">
        <v>14.0523361024415</v>
      </c>
      <c r="O164" s="92" t="s">
        <v>944</v>
      </c>
      <c r="P164" s="6"/>
      <c r="Q164" s="6"/>
      <c r="R164" s="6"/>
      <c r="S164" s="6"/>
      <c r="T164" s="6"/>
    </row>
    <row r="165">
      <c r="A165" s="92" t="s">
        <v>946</v>
      </c>
      <c r="B165" s="92" t="s">
        <v>947</v>
      </c>
      <c r="C165" s="92" t="s">
        <v>948</v>
      </c>
      <c r="D165" s="93">
        <f t="shared" si="1"/>
        <v>-0.3085140203</v>
      </c>
      <c r="E165" s="92" t="s">
        <v>950</v>
      </c>
      <c r="F165" s="116" t="s">
        <v>946</v>
      </c>
      <c r="G165" s="95">
        <f t="shared" si="2"/>
        <v>484.1294058</v>
      </c>
      <c r="H165" s="6">
        <v>4.903802108924903E12</v>
      </c>
      <c r="I165" s="101">
        <v>2016.0</v>
      </c>
      <c r="J165" s="101" t="s">
        <v>908</v>
      </c>
      <c r="K165" s="101">
        <v>52.0</v>
      </c>
      <c r="L165" s="101">
        <v>48.7</v>
      </c>
      <c r="M165" s="99">
        <v>14.0523361024415</v>
      </c>
      <c r="N165" s="99">
        <v>19.6496007142997</v>
      </c>
      <c r="O165" s="92" t="s">
        <v>949</v>
      </c>
      <c r="P165" s="6"/>
      <c r="Q165" s="6"/>
      <c r="R165" s="6"/>
      <c r="S165" s="6"/>
      <c r="T165" s="6"/>
    </row>
    <row r="166">
      <c r="A166" s="92" t="s">
        <v>951</v>
      </c>
      <c r="B166" s="92" t="s">
        <v>952</v>
      </c>
      <c r="C166" s="92" t="s">
        <v>953</v>
      </c>
      <c r="D166" s="93">
        <f t="shared" si="1"/>
        <v>-0.3282305908</v>
      </c>
      <c r="E166" s="92" t="s">
        <v>955</v>
      </c>
      <c r="F166" s="116" t="s">
        <v>951</v>
      </c>
      <c r="G166" s="95">
        <f t="shared" si="2"/>
        <v>195.6974963</v>
      </c>
      <c r="H166" s="6">
        <v>2.937924427755095E12</v>
      </c>
      <c r="I166" s="101">
        <v>2015.0</v>
      </c>
      <c r="J166" s="101" t="s">
        <v>908</v>
      </c>
      <c r="K166" s="101">
        <v>48.7</v>
      </c>
      <c r="L166" s="101">
        <v>46.0</v>
      </c>
      <c r="M166" s="99">
        <v>19.6496007142997</v>
      </c>
      <c r="N166" s="99">
        <v>28.846600976154</v>
      </c>
      <c r="O166" s="92" t="s">
        <v>954</v>
      </c>
      <c r="P166" s="6"/>
      <c r="Q166" s="6"/>
      <c r="R166" s="6"/>
      <c r="S166" s="6"/>
      <c r="T166" s="6"/>
    </row>
    <row r="167">
      <c r="A167" s="92" t="s">
        <v>956</v>
      </c>
      <c r="B167" s="92" t="s">
        <v>957</v>
      </c>
      <c r="C167" s="92" t="s">
        <v>958</v>
      </c>
      <c r="D167" s="93">
        <f t="shared" si="1"/>
        <v>5.150966346</v>
      </c>
      <c r="E167" s="92" t="s">
        <v>960</v>
      </c>
      <c r="F167" s="116" t="s">
        <v>956</v>
      </c>
      <c r="G167" s="95">
        <f t="shared" si="2"/>
        <v>161.3304048</v>
      </c>
      <c r="H167" s="6">
        <v>1.4453007470374558E12</v>
      </c>
      <c r="I167" s="101">
        <v>2014.0</v>
      </c>
      <c r="J167" s="101" t="s">
        <v>908</v>
      </c>
      <c r="K167" s="101">
        <v>46.0</v>
      </c>
      <c r="L167" s="99"/>
      <c r="M167" s="99">
        <v>28.846600976154</v>
      </c>
      <c r="N167" s="6"/>
      <c r="O167" s="92" t="s">
        <v>959</v>
      </c>
      <c r="P167" s="6"/>
      <c r="Q167" s="6"/>
      <c r="R167" s="6"/>
      <c r="S167" s="6"/>
      <c r="T167" s="6"/>
    </row>
    <row r="168">
      <c r="A168" s="92" t="s">
        <v>961</v>
      </c>
      <c r="B168" s="92" t="s">
        <v>962</v>
      </c>
      <c r="C168" s="92" t="s">
        <v>963</v>
      </c>
      <c r="D168" s="93">
        <f t="shared" si="1"/>
        <v>-0.003238713994</v>
      </c>
      <c r="E168" s="92" t="s">
        <v>966</v>
      </c>
      <c r="F168" s="116" t="s">
        <v>961</v>
      </c>
      <c r="G168" s="95">
        <f t="shared" si="2"/>
        <v>526.7921229</v>
      </c>
      <c r="H168" s="117">
        <v>4.18180660553754E11</v>
      </c>
      <c r="I168" s="101">
        <v>2024.0</v>
      </c>
      <c r="J168" s="101" t="s">
        <v>964</v>
      </c>
      <c r="K168" s="101">
        <v>76.2</v>
      </c>
      <c r="L168" s="101">
        <v>73.2</v>
      </c>
      <c r="M168" s="99">
        <v>23.6602096848236</v>
      </c>
      <c r="N168" s="99">
        <v>21.6148974043115</v>
      </c>
      <c r="O168" s="92" t="s">
        <v>965</v>
      </c>
      <c r="P168" s="6"/>
      <c r="Q168" s="6"/>
      <c r="R168" s="6"/>
      <c r="S168" s="6"/>
      <c r="T168" s="6"/>
    </row>
    <row r="169">
      <c r="A169" s="92" t="s">
        <v>967</v>
      </c>
      <c r="B169" s="92" t="s">
        <v>968</v>
      </c>
      <c r="C169" s="92" t="s">
        <v>969</v>
      </c>
      <c r="D169" s="93">
        <f t="shared" si="1"/>
        <v>-0.1034265296</v>
      </c>
      <c r="E169" s="92" t="s">
        <v>971</v>
      </c>
      <c r="F169" s="116" t="s">
        <v>967</v>
      </c>
      <c r="G169" s="95">
        <f t="shared" si="2"/>
        <v>533.6326822</v>
      </c>
      <c r="H169" s="117">
        <v>4.175951744400374E11</v>
      </c>
      <c r="I169" s="101">
        <v>2023.0</v>
      </c>
      <c r="J169" s="101" t="s">
        <v>964</v>
      </c>
      <c r="K169" s="101">
        <v>73.2</v>
      </c>
      <c r="L169" s="101">
        <v>69.5</v>
      </c>
      <c r="M169" s="99">
        <v>21.6148974043115</v>
      </c>
      <c r="N169" s="99">
        <v>18.1756591237636</v>
      </c>
      <c r="O169" s="92" t="s">
        <v>970</v>
      </c>
      <c r="P169" s="6"/>
      <c r="Q169" s="6"/>
      <c r="R169" s="6"/>
      <c r="S169" s="6"/>
      <c r="T169" s="6"/>
    </row>
    <row r="170">
      <c r="A170" s="92" t="s">
        <v>972</v>
      </c>
      <c r="B170" s="92" t="s">
        <v>973</v>
      </c>
      <c r="C170" s="92" t="s">
        <v>974</v>
      </c>
      <c r="D170" s="93">
        <f t="shared" si="1"/>
        <v>0.5850257967</v>
      </c>
      <c r="E170" s="92" t="s">
        <v>976</v>
      </c>
      <c r="F170" s="116" t="s">
        <v>972</v>
      </c>
      <c r="G170" s="95">
        <f t="shared" si="2"/>
        <v>554.912947</v>
      </c>
      <c r="H170" s="117">
        <v>4.313817560788599E11</v>
      </c>
      <c r="I170" s="101">
        <v>2022.0</v>
      </c>
      <c r="J170" s="101" t="s">
        <v>964</v>
      </c>
      <c r="K170" s="101">
        <v>69.5</v>
      </c>
      <c r="L170" s="101">
        <v>67.0</v>
      </c>
      <c r="M170" s="99">
        <v>18.1756591237636</v>
      </c>
      <c r="N170" s="99">
        <v>12.1839371970674</v>
      </c>
      <c r="O170" s="92" t="s">
        <v>975</v>
      </c>
      <c r="P170" s="6"/>
      <c r="Q170" s="6"/>
      <c r="R170" s="6"/>
      <c r="S170" s="6"/>
      <c r="T170" s="6"/>
    </row>
    <row r="171">
      <c r="A171" s="92" t="s">
        <v>977</v>
      </c>
      <c r="B171" s="92" t="s">
        <v>978</v>
      </c>
      <c r="C171" s="92" t="s">
        <v>979</v>
      </c>
      <c r="D171" s="93">
        <f t="shared" si="1"/>
        <v>0.03027752601</v>
      </c>
      <c r="E171" s="92" t="s">
        <v>981</v>
      </c>
      <c r="F171" s="116" t="s">
        <v>977</v>
      </c>
      <c r="G171" s="95">
        <f t="shared" si="2"/>
        <v>519.287194</v>
      </c>
      <c r="H171" s="117">
        <v>3.5746432189246454E11</v>
      </c>
      <c r="I171" s="101">
        <v>2021.0</v>
      </c>
      <c r="J171" s="101" t="s">
        <v>964</v>
      </c>
      <c r="K171" s="101">
        <v>67.0</v>
      </c>
      <c r="L171" s="101">
        <v>64.0</v>
      </c>
      <c r="M171" s="99">
        <v>12.1839371970674</v>
      </c>
      <c r="N171" s="99">
        <v>12.2738906719289</v>
      </c>
      <c r="O171" s="92" t="s">
        <v>980</v>
      </c>
      <c r="P171" s="6"/>
      <c r="Q171" s="6"/>
      <c r="R171" s="6"/>
      <c r="S171" s="6"/>
      <c r="T171" s="6"/>
    </row>
    <row r="172">
      <c r="A172" s="92" t="s">
        <v>982</v>
      </c>
      <c r="B172" s="92" t="s">
        <v>983</v>
      </c>
      <c r="C172" s="92" t="s">
        <v>984</v>
      </c>
      <c r="D172" s="93">
        <f t="shared" si="1"/>
        <v>-0.244980408</v>
      </c>
      <c r="E172" s="92" t="s">
        <v>986</v>
      </c>
      <c r="F172" s="116" t="s">
        <v>982</v>
      </c>
      <c r="G172" s="95">
        <f t="shared" si="2"/>
        <v>353.0915531</v>
      </c>
      <c r="H172" s="117">
        <v>2.442256530923034E11</v>
      </c>
      <c r="I172" s="101">
        <v>2020.0</v>
      </c>
      <c r="J172" s="101" t="s">
        <v>964</v>
      </c>
      <c r="K172" s="101">
        <v>64.0</v>
      </c>
      <c r="L172" s="101">
        <v>60.8</v>
      </c>
      <c r="M172" s="99">
        <v>12.2738906719289</v>
      </c>
      <c r="N172" s="99">
        <v>11.3076296512967</v>
      </c>
      <c r="O172" s="92" t="s">
        <v>985</v>
      </c>
      <c r="P172" s="6"/>
      <c r="Q172" s="6"/>
      <c r="R172" s="6"/>
      <c r="S172" s="6"/>
      <c r="T172" s="6"/>
    </row>
    <row r="173">
      <c r="A173" s="92" t="s">
        <v>987</v>
      </c>
      <c r="B173" s="92" t="s">
        <v>988</v>
      </c>
      <c r="C173" s="92" t="s">
        <v>989</v>
      </c>
      <c r="D173" s="93">
        <f t="shared" si="1"/>
        <v>-0.03490728494</v>
      </c>
      <c r="E173" s="92" t="s">
        <v>991</v>
      </c>
      <c r="F173" s="116" t="s">
        <v>987</v>
      </c>
      <c r="G173" s="95">
        <f t="shared" si="2"/>
        <v>277.5243364</v>
      </c>
      <c r="H173" s="117">
        <v>1.9136495243646292E11</v>
      </c>
      <c r="I173" s="101">
        <v>2019.0</v>
      </c>
      <c r="J173" s="101" t="s">
        <v>964</v>
      </c>
      <c r="K173" s="101">
        <v>60.8</v>
      </c>
      <c r="L173" s="101">
        <v>57.5</v>
      </c>
      <c r="M173" s="99">
        <v>11.3076296512967</v>
      </c>
      <c r="N173" s="99">
        <v>11.3396223992414</v>
      </c>
      <c r="O173" s="92" t="s">
        <v>990</v>
      </c>
      <c r="P173" s="6"/>
      <c r="Q173" s="6"/>
      <c r="R173" s="6"/>
      <c r="S173" s="6"/>
      <c r="T173" s="6"/>
    </row>
    <row r="174">
      <c r="A174" s="92" t="s">
        <v>992</v>
      </c>
      <c r="B174" s="92" t="s">
        <v>993</v>
      </c>
      <c r="C174" s="92" t="s">
        <v>994</v>
      </c>
      <c r="D174" s="93">
        <f t="shared" si="1"/>
        <v>0.189459639</v>
      </c>
      <c r="E174" s="92" t="s">
        <v>996</v>
      </c>
      <c r="F174" s="116" t="s">
        <v>992</v>
      </c>
      <c r="G174" s="95">
        <f t="shared" si="2"/>
        <v>193.2819686</v>
      </c>
      <c r="H174" s="117">
        <v>1.3260934479753516E11</v>
      </c>
      <c r="I174" s="101">
        <v>2018.0</v>
      </c>
      <c r="J174" s="101" t="s">
        <v>964</v>
      </c>
      <c r="K174" s="101">
        <v>57.5</v>
      </c>
      <c r="L174" s="101">
        <v>55.5</v>
      </c>
      <c r="M174" s="99">
        <v>11.3396223992414</v>
      </c>
      <c r="N174" s="99">
        <v>12.4741307475021</v>
      </c>
      <c r="O174" s="92" t="s">
        <v>995</v>
      </c>
      <c r="P174" s="6"/>
      <c r="Q174" s="6"/>
      <c r="R174" s="6"/>
      <c r="S174" s="6"/>
      <c r="T174" s="6"/>
    </row>
    <row r="175">
      <c r="A175" s="92" t="s">
        <v>997</v>
      </c>
      <c r="B175" s="92" t="s">
        <v>998</v>
      </c>
      <c r="C175" s="92" t="s">
        <v>999</v>
      </c>
      <c r="D175" s="93">
        <f t="shared" si="1"/>
        <v>0.1397176629</v>
      </c>
      <c r="E175" s="92" t="s">
        <v>1001</v>
      </c>
      <c r="F175" s="116" t="s">
        <v>997</v>
      </c>
      <c r="G175" s="95">
        <f t="shared" si="2"/>
        <v>238.2847939</v>
      </c>
      <c r="H175" s="117">
        <v>1.628192333033448E11</v>
      </c>
      <c r="I175" s="101">
        <v>2017.0</v>
      </c>
      <c r="J175" s="101" t="s">
        <v>964</v>
      </c>
      <c r="K175" s="101">
        <v>55.5</v>
      </c>
      <c r="L175" s="101">
        <v>53.2</v>
      </c>
      <c r="M175" s="99">
        <v>12.4741307475021</v>
      </c>
      <c r="N175" s="99">
        <v>14.0523361024415</v>
      </c>
      <c r="O175" s="92" t="s">
        <v>1000</v>
      </c>
      <c r="P175" s="6"/>
      <c r="Q175" s="6"/>
      <c r="R175" s="6"/>
      <c r="S175" s="6"/>
      <c r="T175" s="6"/>
    </row>
    <row r="176">
      <c r="A176" s="92" t="s">
        <v>1002</v>
      </c>
      <c r="B176" s="92" t="s">
        <v>1003</v>
      </c>
      <c r="C176" s="92" t="s">
        <v>1004</v>
      </c>
      <c r="D176" s="93">
        <f t="shared" si="1"/>
        <v>-0.210524187</v>
      </c>
      <c r="E176" s="92" t="s">
        <v>1006</v>
      </c>
      <c r="F176" s="116" t="s">
        <v>1002</v>
      </c>
      <c r="G176" s="95">
        <f t="shared" si="2"/>
        <v>136.1968796</v>
      </c>
      <c r="H176" s="117">
        <v>8.992437530685558E10</v>
      </c>
      <c r="I176" s="101">
        <v>2016.0</v>
      </c>
      <c r="J176" s="101" t="s">
        <v>964</v>
      </c>
      <c r="K176" s="101">
        <v>53.2</v>
      </c>
      <c r="L176" s="101">
        <v>51.6</v>
      </c>
      <c r="M176" s="99">
        <v>14.0523361024415</v>
      </c>
      <c r="N176" s="99">
        <v>19.6496007142997</v>
      </c>
      <c r="O176" s="92" t="s">
        <v>1005</v>
      </c>
      <c r="P176" s="6"/>
      <c r="Q176" s="6"/>
      <c r="R176" s="6"/>
      <c r="S176" s="6"/>
      <c r="T176" s="6"/>
    </row>
    <row r="177">
      <c r="A177" s="92" t="s">
        <v>1007</v>
      </c>
      <c r="B177" s="92" t="s">
        <v>1008</v>
      </c>
      <c r="C177" s="92" t="s">
        <v>1009</v>
      </c>
      <c r="D177" s="93">
        <f t="shared" si="1"/>
        <v>-0.2656415894</v>
      </c>
      <c r="E177" s="92" t="s">
        <v>1011</v>
      </c>
      <c r="F177" s="116" t="s">
        <v>1007</v>
      </c>
      <c r="G177" s="95">
        <f t="shared" si="2"/>
        <v>113.7135737</v>
      </c>
      <c r="H177" s="117">
        <v>6.8251322758971085E10</v>
      </c>
      <c r="I177" s="101">
        <v>2015.0</v>
      </c>
      <c r="J177" s="101" t="s">
        <v>964</v>
      </c>
      <c r="K177" s="101">
        <v>51.6</v>
      </c>
      <c r="L177" s="101">
        <v>48.3</v>
      </c>
      <c r="M177" s="99">
        <v>19.6496007142997</v>
      </c>
      <c r="N177" s="99">
        <v>28.846600976154</v>
      </c>
      <c r="O177" s="92" t="s">
        <v>1010</v>
      </c>
      <c r="P177" s="6"/>
      <c r="Q177" s="6"/>
      <c r="R177" s="6"/>
      <c r="S177" s="6"/>
      <c r="T177" s="6"/>
    </row>
    <row r="178">
      <c r="A178" s="92" t="s">
        <v>1012</v>
      </c>
      <c r="B178" s="92" t="s">
        <v>1013</v>
      </c>
      <c r="C178" s="92" t="s">
        <v>1014</v>
      </c>
      <c r="D178" s="93">
        <f t="shared" si="1"/>
        <v>-0.5668655905</v>
      </c>
      <c r="E178" s="92" t="s">
        <v>1016</v>
      </c>
      <c r="F178" s="116" t="s">
        <v>1012</v>
      </c>
      <c r="G178" s="95">
        <f t="shared" si="2"/>
        <v>117.421644</v>
      </c>
      <c r="H178" s="117">
        <v>6.919887057512306E10</v>
      </c>
      <c r="I178" s="101">
        <v>2014.0</v>
      </c>
      <c r="J178" s="101" t="s">
        <v>964</v>
      </c>
      <c r="K178" s="101">
        <v>48.3</v>
      </c>
      <c r="L178" s="99"/>
      <c r="M178" s="99">
        <v>28.846600976154</v>
      </c>
      <c r="N178" s="6"/>
      <c r="O178" s="92" t="s">
        <v>1015</v>
      </c>
      <c r="P178" s="6"/>
      <c r="Q178" s="6"/>
      <c r="R178" s="6"/>
      <c r="S178" s="6"/>
      <c r="T178" s="6"/>
    </row>
    <row r="179">
      <c r="A179" s="92" t="s">
        <v>1445</v>
      </c>
      <c r="B179" s="92" t="s">
        <v>1446</v>
      </c>
      <c r="C179" s="92" t="s">
        <v>1447</v>
      </c>
      <c r="D179" s="93">
        <f t="shared" si="1"/>
        <v>2.892513708</v>
      </c>
      <c r="E179" s="92" t="s">
        <v>1448</v>
      </c>
      <c r="F179" s="118" t="s">
        <v>1445</v>
      </c>
      <c r="G179" s="95">
        <f t="shared" si="2"/>
        <v>261.4342336</v>
      </c>
      <c r="H179" s="102">
        <v>1.15E12</v>
      </c>
      <c r="I179" s="83">
        <v>2024.0</v>
      </c>
      <c r="J179" s="108" t="s">
        <v>1449</v>
      </c>
      <c r="K179" s="119"/>
      <c r="L179" s="99"/>
      <c r="M179" s="99">
        <v>23.6602096848236</v>
      </c>
      <c r="N179" s="99">
        <v>21.6148974043115</v>
      </c>
      <c r="O179" s="92" t="s">
        <v>1450</v>
      </c>
      <c r="P179" s="6"/>
      <c r="Q179" s="6"/>
      <c r="R179" s="6"/>
      <c r="S179" s="6"/>
      <c r="T179" s="6"/>
    </row>
    <row r="180">
      <c r="A180" s="92" t="s">
        <v>1451</v>
      </c>
      <c r="B180" s="92" t="s">
        <v>1452</v>
      </c>
      <c r="C180" s="92" t="s">
        <v>1453</v>
      </c>
      <c r="D180" s="93">
        <f t="shared" si="1"/>
        <v>-0.8793256417</v>
      </c>
      <c r="E180" s="92" t="s">
        <v>1454</v>
      </c>
      <c r="F180" s="118" t="s">
        <v>1451</v>
      </c>
      <c r="G180" s="95">
        <f t="shared" si="2"/>
        <v>275.2607828</v>
      </c>
      <c r="H180" s="102">
        <v>9.91E11</v>
      </c>
      <c r="I180" s="83">
        <v>2023.0</v>
      </c>
      <c r="J180" s="108" t="s">
        <v>1449</v>
      </c>
      <c r="K180" s="119"/>
      <c r="L180" s="99"/>
      <c r="M180" s="99">
        <v>21.6148974043115</v>
      </c>
      <c r="N180" s="99">
        <v>18.1756591237636</v>
      </c>
      <c r="O180" s="92" t="s">
        <v>1455</v>
      </c>
      <c r="P180" s="6"/>
      <c r="Q180" s="6"/>
      <c r="R180" s="6"/>
      <c r="S180" s="6"/>
      <c r="T180" s="6"/>
    </row>
    <row r="181">
      <c r="A181" s="92" t="s">
        <v>1456</v>
      </c>
      <c r="B181" s="92" t="s">
        <v>1457</v>
      </c>
      <c r="C181" s="92" t="s">
        <v>1458</v>
      </c>
      <c r="D181" s="93">
        <f t="shared" si="1"/>
        <v>0.5028449222</v>
      </c>
      <c r="E181" s="92" t="s">
        <v>1459</v>
      </c>
      <c r="F181" s="118" t="s">
        <v>1456</v>
      </c>
      <c r="G181" s="95">
        <f t="shared" si="2"/>
        <v>262.7780267</v>
      </c>
      <c r="H181" s="102">
        <v>1.01E12</v>
      </c>
      <c r="I181" s="83">
        <v>2022.0</v>
      </c>
      <c r="J181" s="108" t="s">
        <v>1449</v>
      </c>
      <c r="K181" s="119"/>
      <c r="L181" s="99"/>
      <c r="M181" s="99">
        <v>18.1756591237636</v>
      </c>
      <c r="N181" s="99">
        <v>12.1839371970674</v>
      </c>
      <c r="O181" s="92" t="s">
        <v>1460</v>
      </c>
      <c r="P181" s="6"/>
      <c r="Q181" s="6"/>
      <c r="R181" s="6"/>
      <c r="S181" s="6"/>
      <c r="T181" s="6"/>
    </row>
    <row r="182">
      <c r="A182" s="92" t="s">
        <v>1461</v>
      </c>
      <c r="B182" s="92" t="s">
        <v>1462</v>
      </c>
      <c r="C182" s="92" t="s">
        <v>1463</v>
      </c>
      <c r="D182" s="93">
        <f t="shared" si="1"/>
        <v>0.03867383553</v>
      </c>
      <c r="E182" s="92" t="s">
        <v>1464</v>
      </c>
      <c r="F182" s="118" t="s">
        <v>1461</v>
      </c>
      <c r="G182" s="95">
        <f t="shared" si="2"/>
        <v>516.5175774</v>
      </c>
      <c r="H182" s="102">
        <v>2.7024872E12</v>
      </c>
      <c r="I182" s="83">
        <v>2021.0</v>
      </c>
      <c r="J182" s="108" t="s">
        <v>1449</v>
      </c>
      <c r="K182" s="119"/>
      <c r="L182" s="99"/>
      <c r="M182" s="99">
        <v>12.1839371970674</v>
      </c>
      <c r="N182" s="99">
        <v>12.2738906719289</v>
      </c>
      <c r="O182" s="92" t="s">
        <v>1465</v>
      </c>
      <c r="P182" s="6"/>
      <c r="Q182" s="6"/>
      <c r="R182" s="6"/>
      <c r="S182" s="6"/>
      <c r="T182" s="6"/>
    </row>
    <row r="183">
      <c r="A183" s="92" t="s">
        <v>1466</v>
      </c>
      <c r="B183" s="92" t="s">
        <v>1467</v>
      </c>
      <c r="C183" s="92" t="s">
        <v>1468</v>
      </c>
      <c r="D183" s="93">
        <f t="shared" si="1"/>
        <v>0.02164501457</v>
      </c>
      <c r="E183" s="92" t="s">
        <v>1469</v>
      </c>
      <c r="F183" s="118" t="s">
        <v>1466</v>
      </c>
      <c r="G183" s="95">
        <f t="shared" si="2"/>
        <v>261.8102313</v>
      </c>
      <c r="H183" s="102">
        <v>1.48154209E12</v>
      </c>
      <c r="I183" s="83">
        <v>2020.0</v>
      </c>
      <c r="J183" s="108" t="s">
        <v>1449</v>
      </c>
      <c r="K183" s="119"/>
      <c r="L183" s="99"/>
      <c r="M183" s="99">
        <v>12.2738906719289</v>
      </c>
      <c r="N183" s="99">
        <v>11.3076296512967</v>
      </c>
      <c r="O183" s="92" t="s">
        <v>1470</v>
      </c>
      <c r="P183" s="6"/>
      <c r="Q183" s="6"/>
      <c r="R183" s="6"/>
      <c r="S183" s="6"/>
      <c r="T183" s="6"/>
    </row>
    <row r="184">
      <c r="A184" s="92" t="s">
        <v>1471</v>
      </c>
      <c r="B184" s="92" t="s">
        <v>1472</v>
      </c>
      <c r="C184" s="92" t="s">
        <v>1473</v>
      </c>
      <c r="D184" s="93">
        <f t="shared" si="1"/>
        <v>-0.07863149384</v>
      </c>
      <c r="E184" s="92" t="s">
        <v>1474</v>
      </c>
      <c r="F184" s="118" t="s">
        <v>1471</v>
      </c>
      <c r="G184" s="95">
        <f t="shared" si="2"/>
        <v>117.4616084</v>
      </c>
      <c r="H184" s="102">
        <v>7.2845897274E11</v>
      </c>
      <c r="I184" s="83">
        <v>2019.0</v>
      </c>
      <c r="J184" s="108" t="s">
        <v>1449</v>
      </c>
      <c r="K184" s="119"/>
      <c r="L184" s="99"/>
      <c r="M184" s="99">
        <v>11.3076296512967</v>
      </c>
      <c r="N184" s="99">
        <v>11.3396223992414</v>
      </c>
      <c r="O184" s="92" t="s">
        <v>1475</v>
      </c>
      <c r="P184" s="6"/>
      <c r="Q184" s="6"/>
      <c r="R184" s="6"/>
      <c r="S184" s="6"/>
      <c r="T184" s="6"/>
    </row>
    <row r="185">
      <c r="A185" s="92" t="s">
        <v>1476</v>
      </c>
      <c r="B185" s="92" t="s">
        <v>1477</v>
      </c>
      <c r="C185" s="92" t="s">
        <v>1478</v>
      </c>
      <c r="D185" s="93">
        <f t="shared" si="1"/>
        <v>0.2523083544</v>
      </c>
      <c r="E185" s="92" t="s">
        <v>1479</v>
      </c>
      <c r="F185" s="118" t="s">
        <v>1476</v>
      </c>
      <c r="G185" s="95">
        <f t="shared" si="2"/>
        <v>87.39415385</v>
      </c>
      <c r="H185" s="102">
        <v>5.85365535046E11</v>
      </c>
      <c r="I185" s="83">
        <v>2018.0</v>
      </c>
      <c r="J185" s="108" t="s">
        <v>1449</v>
      </c>
      <c r="K185" s="119"/>
      <c r="L185" s="99"/>
      <c r="M185" s="99">
        <v>11.3396223992414</v>
      </c>
      <c r="N185" s="99">
        <v>12.4741307475021</v>
      </c>
      <c r="O185" s="92" t="s">
        <v>1480</v>
      </c>
      <c r="P185" s="6"/>
      <c r="Q185" s="6"/>
      <c r="R185" s="6"/>
      <c r="S185" s="6"/>
      <c r="T185" s="6"/>
    </row>
    <row r="186">
      <c r="A186" s="92" t="s">
        <v>1481</v>
      </c>
      <c r="B186" s="92" t="s">
        <v>1482</v>
      </c>
      <c r="C186" s="92" t="s">
        <v>1483</v>
      </c>
      <c r="D186" s="93">
        <f t="shared" si="1"/>
        <v>-0.06579211003</v>
      </c>
      <c r="E186" s="92" t="s">
        <v>1484</v>
      </c>
      <c r="F186" s="118" t="s">
        <v>1481</v>
      </c>
      <c r="G186" s="95">
        <f t="shared" si="2"/>
        <v>63.69366502</v>
      </c>
      <c r="H186" s="102">
        <v>4.94434205324E11</v>
      </c>
      <c r="I186" s="83">
        <v>2017.0</v>
      </c>
      <c r="J186" s="108" t="s">
        <v>1449</v>
      </c>
      <c r="K186" s="119"/>
      <c r="L186" s="99"/>
      <c r="M186" s="99">
        <v>12.4741307475021</v>
      </c>
      <c r="N186" s="99">
        <v>14.0523361024415</v>
      </c>
      <c r="O186" s="92" t="s">
        <v>1485</v>
      </c>
      <c r="P186" s="6"/>
      <c r="Q186" s="6"/>
      <c r="R186" s="6"/>
      <c r="S186" s="6"/>
      <c r="T186" s="6"/>
    </row>
    <row r="187">
      <c r="A187" s="92" t="s">
        <v>1486</v>
      </c>
      <c r="B187" s="92" t="s">
        <v>1487</v>
      </c>
      <c r="C187" s="92" t="s">
        <v>1488</v>
      </c>
      <c r="D187" s="93">
        <f t="shared" si="1"/>
        <v>-0.1088556675</v>
      </c>
      <c r="E187" s="92" t="s">
        <v>1489</v>
      </c>
      <c r="F187" s="118" t="s">
        <v>1486</v>
      </c>
      <c r="G187" s="95">
        <f t="shared" si="2"/>
        <v>48.44855237</v>
      </c>
      <c r="H187" s="102">
        <v>3.46565542945E11</v>
      </c>
      <c r="I187" s="83">
        <v>2016.0</v>
      </c>
      <c r="J187" s="108" t="s">
        <v>1449</v>
      </c>
      <c r="K187" s="119"/>
      <c r="L187" s="99"/>
      <c r="M187" s="99">
        <v>14.0523361024415</v>
      </c>
      <c r="N187" s="99">
        <v>19.6496007142997</v>
      </c>
      <c r="O187" s="92" t="s">
        <v>1490</v>
      </c>
      <c r="P187" s="6"/>
      <c r="Q187" s="6"/>
      <c r="R187" s="6"/>
      <c r="S187" s="6"/>
      <c r="T187" s="6"/>
    </row>
    <row r="188">
      <c r="A188" s="92" t="s">
        <v>1491</v>
      </c>
      <c r="B188" s="92" t="s">
        <v>1492</v>
      </c>
      <c r="C188" s="92" t="s">
        <v>1493</v>
      </c>
      <c r="D188" s="93">
        <f t="shared" si="1"/>
        <v>-0.0683042979</v>
      </c>
      <c r="E188" s="92" t="s">
        <v>1494</v>
      </c>
      <c r="F188" s="118" t="s">
        <v>1491</v>
      </c>
      <c r="G188" s="95">
        <f t="shared" si="2"/>
        <v>49.2996396</v>
      </c>
      <c r="H188" s="102">
        <v>3.57779581556E11</v>
      </c>
      <c r="I188" s="83">
        <v>2015.0</v>
      </c>
      <c r="J188" s="108" t="s">
        <v>1449</v>
      </c>
      <c r="K188" s="119"/>
      <c r="L188" s="99"/>
      <c r="M188" s="99">
        <v>19.6496007142997</v>
      </c>
      <c r="N188" s="99">
        <v>28.846600976154</v>
      </c>
      <c r="O188" s="92" t="s">
        <v>1495</v>
      </c>
      <c r="P188" s="6"/>
      <c r="Q188" s="6"/>
      <c r="R188" s="6"/>
      <c r="S188" s="6"/>
      <c r="T188" s="6"/>
    </row>
    <row r="189">
      <c r="A189" s="92" t="s">
        <v>1496</v>
      </c>
      <c r="B189" s="92" t="s">
        <v>1497</v>
      </c>
      <c r="C189" s="92" t="s">
        <v>1498</v>
      </c>
      <c r="D189" s="93">
        <f t="shared" si="1"/>
        <v>0.3969637553</v>
      </c>
      <c r="E189" s="92" t="s">
        <v>1499</v>
      </c>
      <c r="F189" s="118" t="s">
        <v>1496</v>
      </c>
      <c r="G189" s="95">
        <f t="shared" si="2"/>
        <v>78.92487274</v>
      </c>
      <c r="H189" s="102">
        <v>4.88138820996E11</v>
      </c>
      <c r="I189" s="83">
        <v>2014.0</v>
      </c>
      <c r="J189" s="108" t="s">
        <v>1449</v>
      </c>
      <c r="K189" s="119"/>
      <c r="L189" s="99"/>
      <c r="M189" s="99">
        <v>28.846600976154</v>
      </c>
      <c r="N189" s="6"/>
      <c r="O189" s="92" t="s">
        <v>1500</v>
      </c>
      <c r="P189" s="6"/>
      <c r="Q189" s="6"/>
      <c r="R189" s="6"/>
      <c r="S189" s="6"/>
      <c r="T189" s="6"/>
    </row>
    <row r="190">
      <c r="A190" s="92" t="s">
        <v>1221</v>
      </c>
      <c r="B190" s="92" t="s">
        <v>1222</v>
      </c>
      <c r="C190" s="92" t="s">
        <v>1223</v>
      </c>
      <c r="D190" s="93">
        <f t="shared" si="1"/>
        <v>-0.6473263845</v>
      </c>
      <c r="E190" s="92" t="s">
        <v>1226</v>
      </c>
      <c r="F190" s="118" t="s">
        <v>1221</v>
      </c>
      <c r="G190" s="95">
        <f t="shared" si="2"/>
        <v>213.4069838</v>
      </c>
      <c r="H190" s="102">
        <v>2.54764422E11</v>
      </c>
      <c r="I190" s="83">
        <v>2024.0</v>
      </c>
      <c r="J190" s="108" t="s">
        <v>1224</v>
      </c>
      <c r="K190" s="119"/>
      <c r="L190" s="99"/>
      <c r="M190" s="99">
        <v>23.6602096848236</v>
      </c>
      <c r="N190" s="99">
        <v>21.6148974043115</v>
      </c>
      <c r="O190" s="92" t="s">
        <v>1225</v>
      </c>
      <c r="P190" s="6"/>
      <c r="Q190" s="6"/>
      <c r="R190" s="6"/>
      <c r="S190" s="6"/>
      <c r="T190" s="6"/>
    </row>
    <row r="191">
      <c r="A191" s="92" t="s">
        <v>1227</v>
      </c>
      <c r="B191" s="92" t="s">
        <v>1228</v>
      </c>
      <c r="C191" s="92" t="s">
        <v>1229</v>
      </c>
      <c r="D191" s="93">
        <f t="shared" si="1"/>
        <v>-0.4989778416</v>
      </c>
      <c r="E191" s="92" t="s">
        <v>1231</v>
      </c>
      <c r="F191" s="118" t="s">
        <v>1227</v>
      </c>
      <c r="G191" s="95">
        <f t="shared" si="2"/>
        <v>127.6677668</v>
      </c>
      <c r="H191" s="102">
        <v>2.35493794076E11</v>
      </c>
      <c r="I191" s="115">
        <v>2023.0</v>
      </c>
      <c r="J191" s="108" t="s">
        <v>1224</v>
      </c>
      <c r="K191" s="119"/>
      <c r="L191" s="99"/>
      <c r="M191" s="99">
        <v>21.6148974043115</v>
      </c>
      <c r="N191" s="99">
        <v>18.1756591237636</v>
      </c>
      <c r="O191" s="92" t="s">
        <v>1230</v>
      </c>
      <c r="P191" s="6"/>
      <c r="Q191" s="6"/>
      <c r="R191" s="6"/>
      <c r="S191" s="6"/>
      <c r="T191" s="6"/>
    </row>
    <row r="192">
      <c r="A192" s="92" t="s">
        <v>1232</v>
      </c>
      <c r="B192" s="92" t="s">
        <v>1233</v>
      </c>
      <c r="C192" s="92" t="s">
        <v>1234</v>
      </c>
      <c r="D192" s="93">
        <f t="shared" si="1"/>
        <v>-0.4254729159</v>
      </c>
      <c r="E192" s="92" t="s">
        <v>1236</v>
      </c>
      <c r="F192" s="118" t="s">
        <v>1232</v>
      </c>
      <c r="G192" s="95">
        <f t="shared" si="2"/>
        <v>86.9790249</v>
      </c>
      <c r="H192" s="102">
        <v>2.62957513926E11</v>
      </c>
      <c r="I192" s="115">
        <v>2022.0</v>
      </c>
      <c r="J192" s="108" t="s">
        <v>1224</v>
      </c>
      <c r="K192" s="119"/>
      <c r="L192" s="99"/>
      <c r="M192" s="99">
        <v>18.1756591237636</v>
      </c>
      <c r="N192" s="99">
        <v>12.1839371970674</v>
      </c>
      <c r="O192" s="92" t="s">
        <v>1235</v>
      </c>
      <c r="P192" s="6"/>
      <c r="Q192" s="6"/>
      <c r="R192" s="6"/>
      <c r="S192" s="6"/>
      <c r="T192" s="6"/>
    </row>
    <row r="193">
      <c r="A193" s="92" t="s">
        <v>1237</v>
      </c>
      <c r="B193" s="92" t="s">
        <v>1238</v>
      </c>
      <c r="C193" s="92" t="s">
        <v>1239</v>
      </c>
      <c r="D193" s="93">
        <f t="shared" si="1"/>
        <v>-0.321379705</v>
      </c>
      <c r="E193" s="92" t="s">
        <v>1241</v>
      </c>
      <c r="F193" s="118" t="s">
        <v>1237</v>
      </c>
      <c r="G193" s="95">
        <f t="shared" si="2"/>
        <v>77.23448566</v>
      </c>
      <c r="H193" s="102">
        <v>4.2176743322E11</v>
      </c>
      <c r="I193" s="115">
        <v>2021.0</v>
      </c>
      <c r="J193" s="108" t="s">
        <v>1224</v>
      </c>
      <c r="K193" s="119"/>
      <c r="L193" s="99"/>
      <c r="M193" s="99">
        <v>12.1839371970674</v>
      </c>
      <c r="N193" s="99">
        <v>12.2738906719289</v>
      </c>
      <c r="O193" s="92" t="s">
        <v>1240</v>
      </c>
      <c r="P193" s="6"/>
      <c r="Q193" s="6"/>
      <c r="R193" s="6"/>
      <c r="S193" s="6"/>
      <c r="T193" s="6"/>
    </row>
    <row r="194">
      <c r="A194" s="92" t="s">
        <v>1242</v>
      </c>
      <c r="B194" s="92" t="s">
        <v>1243</v>
      </c>
      <c r="C194" s="92" t="s">
        <v>1244</v>
      </c>
      <c r="D194" s="93">
        <f t="shared" si="1"/>
        <v>-0.00529994741</v>
      </c>
      <c r="E194" s="92" t="s">
        <v>1246</v>
      </c>
      <c r="F194" s="118" t="s">
        <v>1242</v>
      </c>
      <c r="G194" s="95">
        <f t="shared" si="2"/>
        <v>29.87402993</v>
      </c>
      <c r="H194" s="102">
        <v>2.40186793164E11</v>
      </c>
      <c r="I194" s="115">
        <v>2020.0</v>
      </c>
      <c r="J194" s="108" t="s">
        <v>1224</v>
      </c>
      <c r="K194" s="119"/>
      <c r="L194" s="99"/>
      <c r="M194" s="99">
        <v>12.2738906719289</v>
      </c>
      <c r="N194" s="99">
        <v>11.3076296512967</v>
      </c>
      <c r="O194" s="92" t="s">
        <v>1245</v>
      </c>
      <c r="P194" s="6"/>
      <c r="Q194" s="6"/>
      <c r="R194" s="6"/>
      <c r="S194" s="6"/>
      <c r="T194" s="6"/>
    </row>
    <row r="195">
      <c r="A195" s="92" t="s">
        <v>1247</v>
      </c>
      <c r="B195" s="92" t="s">
        <v>1248</v>
      </c>
      <c r="C195" s="92" t="s">
        <v>1249</v>
      </c>
      <c r="D195" s="93">
        <f t="shared" si="1"/>
        <v>0.2015313611</v>
      </c>
      <c r="E195" s="92" t="s">
        <v>1251</v>
      </c>
      <c r="F195" s="118" t="s">
        <v>1247</v>
      </c>
      <c r="G195" s="95">
        <f t="shared" si="2"/>
        <v>29.22923877</v>
      </c>
      <c r="H195" s="102">
        <v>2.54528013674E11</v>
      </c>
      <c r="I195" s="115">
        <v>2019.0</v>
      </c>
      <c r="J195" s="108" t="s">
        <v>1224</v>
      </c>
      <c r="K195" s="119"/>
      <c r="L195" s="99"/>
      <c r="M195" s="99">
        <v>11.3076296512967</v>
      </c>
      <c r="N195" s="99">
        <v>11.3396223992414</v>
      </c>
      <c r="O195" s="92" t="s">
        <v>1250</v>
      </c>
      <c r="P195" s="6"/>
      <c r="Q195" s="6"/>
      <c r="R195" s="6"/>
      <c r="S195" s="6"/>
      <c r="T195" s="6"/>
    </row>
    <row r="196">
      <c r="A196" s="92" t="s">
        <v>1252</v>
      </c>
      <c r="B196" s="92" t="s">
        <v>1253</v>
      </c>
      <c r="C196" s="92" t="s">
        <v>1254</v>
      </c>
      <c r="D196" s="93">
        <f t="shared" si="1"/>
        <v>0.03914710533</v>
      </c>
      <c r="E196" s="92" t="s">
        <v>1256</v>
      </c>
      <c r="F196" s="118" t="s">
        <v>1252</v>
      </c>
      <c r="G196" s="95">
        <f t="shared" si="2"/>
        <v>21.82488199</v>
      </c>
      <c r="H196" s="102">
        <v>2.03333636592E11</v>
      </c>
      <c r="I196" s="115">
        <v>2018.0</v>
      </c>
      <c r="J196" s="108" t="s">
        <v>1224</v>
      </c>
      <c r="K196" s="119"/>
      <c r="L196" s="99"/>
      <c r="M196" s="99">
        <v>11.3396223992414</v>
      </c>
      <c r="N196" s="99">
        <v>12.4741307475021</v>
      </c>
      <c r="O196" s="92" t="s">
        <v>1255</v>
      </c>
      <c r="P196" s="6"/>
      <c r="Q196" s="6"/>
      <c r="R196" s="6"/>
      <c r="S196" s="6"/>
      <c r="T196" s="6"/>
    </row>
    <row r="197">
      <c r="A197" s="92" t="s">
        <v>1257</v>
      </c>
      <c r="B197" s="92" t="s">
        <v>1258</v>
      </c>
      <c r="C197" s="92" t="s">
        <v>1259</v>
      </c>
      <c r="D197" s="93">
        <f t="shared" si="1"/>
        <v>0.1243699259</v>
      </c>
      <c r="E197" s="92" t="s">
        <v>1261</v>
      </c>
      <c r="F197" s="118" t="s">
        <v>1257</v>
      </c>
      <c r="G197" s="95">
        <f t="shared" si="2"/>
        <v>19.47042182</v>
      </c>
      <c r="H197" s="102">
        <v>1.75509765818E11</v>
      </c>
      <c r="I197" s="115">
        <v>2017.0</v>
      </c>
      <c r="J197" s="108" t="s">
        <v>1224</v>
      </c>
      <c r="K197" s="119"/>
      <c r="L197" s="99"/>
      <c r="M197" s="99">
        <v>12.4741307475021</v>
      </c>
      <c r="N197" s="99">
        <v>14.0523361024415</v>
      </c>
      <c r="O197" s="92" t="s">
        <v>1260</v>
      </c>
      <c r="P197" s="6"/>
      <c r="Q197" s="6"/>
      <c r="R197" s="6"/>
      <c r="S197" s="6"/>
      <c r="T197" s="6"/>
    </row>
    <row r="198">
      <c r="A198" s="92" t="s">
        <v>1262</v>
      </c>
      <c r="B198" s="92" t="s">
        <v>1263</v>
      </c>
      <c r="C198" s="92" t="s">
        <v>1264</v>
      </c>
      <c r="D198" s="93">
        <f t="shared" si="1"/>
        <v>0.1059501677</v>
      </c>
      <c r="E198" s="92" t="s">
        <v>1266</v>
      </c>
      <c r="F198" s="118" t="s">
        <v>1262</v>
      </c>
      <c r="G198" s="95">
        <f t="shared" si="2"/>
        <v>19.90026506</v>
      </c>
      <c r="H198" s="102">
        <v>1.45604065445E11</v>
      </c>
      <c r="I198" s="115">
        <v>2016.0</v>
      </c>
      <c r="J198" s="108" t="s">
        <v>1224</v>
      </c>
      <c r="K198" s="119"/>
      <c r="L198" s="99"/>
      <c r="M198" s="99">
        <v>14.0523361024415</v>
      </c>
      <c r="N198" s="99">
        <v>19.6496007142997</v>
      </c>
      <c r="O198" s="92" t="s">
        <v>1265</v>
      </c>
      <c r="P198" s="6"/>
      <c r="Q198" s="6"/>
      <c r="R198" s="6"/>
      <c r="S198" s="6"/>
      <c r="T198" s="6"/>
    </row>
    <row r="199">
      <c r="A199" s="92" t="s">
        <v>1267</v>
      </c>
      <c r="B199" s="92" t="s">
        <v>1268</v>
      </c>
      <c r="C199" s="92" t="s">
        <v>1269</v>
      </c>
      <c r="D199" s="93">
        <f t="shared" si="1"/>
        <v>0.03344605268</v>
      </c>
      <c r="E199" s="92" t="s">
        <v>1271</v>
      </c>
      <c r="F199" s="118" t="s">
        <v>1267</v>
      </c>
      <c r="G199" s="95">
        <f t="shared" si="2"/>
        <v>20.77515602</v>
      </c>
      <c r="H199" s="102">
        <v>1.25781514214E11</v>
      </c>
      <c r="I199" s="115">
        <v>2015.0</v>
      </c>
      <c r="J199" s="108" t="s">
        <v>1224</v>
      </c>
      <c r="K199" s="119"/>
      <c r="L199" s="99"/>
      <c r="M199" s="99">
        <v>19.6496007142997</v>
      </c>
      <c r="N199" s="99">
        <v>28.846600976154</v>
      </c>
      <c r="O199" s="92" t="s">
        <v>1270</v>
      </c>
      <c r="P199" s="6"/>
      <c r="Q199" s="6"/>
      <c r="R199" s="6"/>
      <c r="S199" s="6"/>
      <c r="T199" s="6"/>
    </row>
    <row r="200">
      <c r="A200" s="92" t="s">
        <v>1272</v>
      </c>
      <c r="B200" s="92" t="s">
        <v>1273</v>
      </c>
      <c r="C200" s="92" t="s">
        <v>1274</v>
      </c>
      <c r="D200" s="93">
        <f t="shared" si="1"/>
        <v>2.127175487</v>
      </c>
      <c r="E200" s="92" t="s">
        <v>1276</v>
      </c>
      <c r="F200" s="118" t="s">
        <v>1272</v>
      </c>
      <c r="G200" s="95">
        <f t="shared" si="2"/>
        <v>13.95459308</v>
      </c>
      <c r="H200" s="102">
        <v>7.5534830578E10</v>
      </c>
      <c r="I200" s="115">
        <v>2014.0</v>
      </c>
      <c r="J200" s="108" t="s">
        <v>1224</v>
      </c>
      <c r="K200" s="119"/>
      <c r="L200" s="99"/>
      <c r="M200" s="99">
        <v>28.846600976154</v>
      </c>
      <c r="N200" s="6"/>
      <c r="O200" s="92" t="s">
        <v>1275</v>
      </c>
      <c r="P200" s="6"/>
      <c r="Q200" s="6"/>
      <c r="R200" s="6"/>
      <c r="S200" s="6"/>
      <c r="T200" s="6"/>
    </row>
    <row r="201">
      <c r="A201" s="92" t="s">
        <v>1389</v>
      </c>
      <c r="B201" s="92" t="s">
        <v>1390</v>
      </c>
      <c r="C201" s="92" t="s">
        <v>1391</v>
      </c>
      <c r="D201" s="93">
        <f t="shared" si="1"/>
        <v>-0.1283212909</v>
      </c>
      <c r="E201" s="92" t="s">
        <v>1394</v>
      </c>
      <c r="F201" s="118" t="s">
        <v>1389</v>
      </c>
      <c r="G201" s="95">
        <f t="shared" si="2"/>
        <v>336.3862504</v>
      </c>
      <c r="H201" s="102">
        <v>1.4875574129146E13</v>
      </c>
      <c r="I201" s="115">
        <v>2024.0</v>
      </c>
      <c r="J201" s="108" t="s">
        <v>1392</v>
      </c>
      <c r="K201" s="119"/>
      <c r="L201" s="99"/>
      <c r="M201" s="99">
        <v>23.6602096848236</v>
      </c>
      <c r="N201" s="99">
        <v>21.6148974043115</v>
      </c>
      <c r="O201" s="92" t="s">
        <v>1393</v>
      </c>
      <c r="P201" s="6"/>
      <c r="Q201" s="6"/>
      <c r="R201" s="6"/>
      <c r="S201" s="6"/>
      <c r="T201" s="6"/>
    </row>
    <row r="202">
      <c r="A202" s="92" t="s">
        <v>1395</v>
      </c>
      <c r="B202" s="92" t="s">
        <v>1396</v>
      </c>
      <c r="C202" s="92" t="s">
        <v>1397</v>
      </c>
      <c r="D202" s="93">
        <f t="shared" si="1"/>
        <v>0.02416967613</v>
      </c>
      <c r="E202" s="92" t="s">
        <v>1399</v>
      </c>
      <c r="F202" s="118" t="s">
        <v>1395</v>
      </c>
      <c r="G202" s="95">
        <f t="shared" si="2"/>
        <v>509.7607086</v>
      </c>
      <c r="H202" s="102">
        <v>2.1253243191521E13</v>
      </c>
      <c r="I202" s="115">
        <v>2023.0</v>
      </c>
      <c r="J202" s="108" t="s">
        <v>1392</v>
      </c>
      <c r="K202" s="119"/>
      <c r="L202" s="99"/>
      <c r="M202" s="99">
        <v>21.6148974043115</v>
      </c>
      <c r="N202" s="99">
        <v>18.1756591237636</v>
      </c>
      <c r="O202" s="92" t="s">
        <v>1398</v>
      </c>
      <c r="P202" s="6"/>
      <c r="Q202" s="6"/>
      <c r="R202" s="6"/>
      <c r="S202" s="6"/>
      <c r="T202" s="6"/>
    </row>
    <row r="203">
      <c r="A203" s="92" t="s">
        <v>1400</v>
      </c>
      <c r="B203" s="92" t="s">
        <v>1401</v>
      </c>
      <c r="C203" s="92" t="s">
        <v>1402</v>
      </c>
      <c r="D203" s="93">
        <f t="shared" si="1"/>
        <v>0.254716472</v>
      </c>
      <c r="E203" s="92" t="s">
        <v>1404</v>
      </c>
      <c r="F203" s="118" t="s">
        <v>1400</v>
      </c>
      <c r="G203" s="95">
        <f t="shared" si="2"/>
        <v>119.1079516</v>
      </c>
      <c r="H203" s="102">
        <v>4.605442145754E12</v>
      </c>
      <c r="I203" s="115">
        <v>2022.0</v>
      </c>
      <c r="J203" s="108" t="s">
        <v>1392</v>
      </c>
      <c r="K203" s="119"/>
      <c r="L203" s="99"/>
      <c r="M203" s="99">
        <v>18.1756591237636</v>
      </c>
      <c r="N203" s="99">
        <v>12.1839371970674</v>
      </c>
      <c r="O203" s="92" t="s">
        <v>1403</v>
      </c>
      <c r="P203" s="6"/>
      <c r="Q203" s="6"/>
      <c r="R203" s="6"/>
      <c r="S203" s="6"/>
      <c r="T203" s="6"/>
    </row>
    <row r="204">
      <c r="A204" s="92" t="s">
        <v>1405</v>
      </c>
      <c r="B204" s="92" t="s">
        <v>1406</v>
      </c>
      <c r="C204" s="92" t="s">
        <v>1407</v>
      </c>
      <c r="D204" s="93">
        <f t="shared" si="1"/>
        <v>1.25470589</v>
      </c>
      <c r="E204" s="92" t="s">
        <v>1409</v>
      </c>
      <c r="F204" s="118" t="s">
        <v>1405</v>
      </c>
      <c r="G204" s="95">
        <f t="shared" si="2"/>
        <v>152.6751756</v>
      </c>
      <c r="H204" s="102">
        <v>5.63617891448E12</v>
      </c>
      <c r="I204" s="115">
        <v>2021.0</v>
      </c>
      <c r="J204" s="108" t="s">
        <v>1392</v>
      </c>
      <c r="K204" s="119"/>
      <c r="L204" s="99"/>
      <c r="M204" s="99">
        <v>12.1839371970674</v>
      </c>
      <c r="N204" s="99">
        <v>12.2738906719289</v>
      </c>
      <c r="O204" s="92" t="s">
        <v>1408</v>
      </c>
      <c r="P204" s="6"/>
      <c r="Q204" s="6"/>
      <c r="R204" s="6"/>
      <c r="S204" s="6"/>
      <c r="T204" s="6"/>
    </row>
    <row r="205">
      <c r="A205" s="92" t="s">
        <v>1410</v>
      </c>
      <c r="B205" s="92" t="s">
        <v>1411</v>
      </c>
      <c r="C205" s="92" t="s">
        <v>1412</v>
      </c>
      <c r="D205" s="93">
        <f t="shared" si="1"/>
        <v>0.152608308</v>
      </c>
      <c r="E205" s="92" t="s">
        <v>1414</v>
      </c>
      <c r="F205" s="118" t="s">
        <v>1410</v>
      </c>
      <c r="G205" s="95">
        <f t="shared" si="2"/>
        <v>85.71210065</v>
      </c>
      <c r="H205" s="102">
        <v>1.27247480615E12</v>
      </c>
      <c r="I205" s="115">
        <v>2020.0</v>
      </c>
      <c r="J205" s="108" t="s">
        <v>1392</v>
      </c>
      <c r="K205" s="119"/>
      <c r="L205" s="99"/>
      <c r="M205" s="99">
        <v>12.2738906719289</v>
      </c>
      <c r="N205" s="99">
        <v>11.3076296512967</v>
      </c>
      <c r="O205" s="92" t="s">
        <v>1413</v>
      </c>
      <c r="P205" s="6"/>
      <c r="Q205" s="6"/>
      <c r="R205" s="6"/>
      <c r="S205" s="6"/>
      <c r="T205" s="6"/>
    </row>
    <row r="206">
      <c r="A206" s="92" t="s">
        <v>1415</v>
      </c>
      <c r="B206" s="92" t="s">
        <v>1416</v>
      </c>
      <c r="C206" s="92" t="s">
        <v>1417</v>
      </c>
      <c r="D206" s="93">
        <f t="shared" si="1"/>
        <v>0.02948915306</v>
      </c>
      <c r="E206" s="92" t="s">
        <v>1419</v>
      </c>
      <c r="F206" s="118" t="s">
        <v>1415</v>
      </c>
      <c r="G206" s="95">
        <f t="shared" si="2"/>
        <v>51.03463703</v>
      </c>
      <c r="H206" s="102">
        <v>5.87739214495E11</v>
      </c>
      <c r="I206" s="115">
        <v>2019.0</v>
      </c>
      <c r="J206" s="108" t="s">
        <v>1392</v>
      </c>
      <c r="K206" s="119"/>
      <c r="L206" s="99"/>
      <c r="M206" s="99">
        <v>11.3076296512967</v>
      </c>
      <c r="N206" s="99">
        <v>11.3396223992414</v>
      </c>
      <c r="O206" s="92" t="s">
        <v>1418</v>
      </c>
      <c r="P206" s="6"/>
      <c r="Q206" s="6"/>
      <c r="R206" s="6"/>
      <c r="S206" s="6"/>
      <c r="T206" s="6"/>
    </row>
    <row r="207">
      <c r="A207" s="92" t="s">
        <v>1420</v>
      </c>
      <c r="B207" s="92" t="s">
        <v>1421</v>
      </c>
      <c r="C207" s="92" t="s">
        <v>1422</v>
      </c>
      <c r="D207" s="93">
        <f t="shared" si="1"/>
        <v>0.2949768036</v>
      </c>
      <c r="E207" s="92" t="s">
        <v>1424</v>
      </c>
      <c r="F207" s="118" t="s">
        <v>1420</v>
      </c>
      <c r="G207" s="95">
        <f t="shared" si="2"/>
        <v>43.99946237</v>
      </c>
      <c r="H207" s="102">
        <v>4.5596684292E11</v>
      </c>
      <c r="I207" s="115">
        <v>2018.0</v>
      </c>
      <c r="J207" s="108" t="s">
        <v>1392</v>
      </c>
      <c r="K207" s="119"/>
      <c r="L207" s="99"/>
      <c r="M207" s="99">
        <v>11.3396223992414</v>
      </c>
      <c r="N207" s="99">
        <v>12.4741307475021</v>
      </c>
      <c r="O207" s="92" t="s">
        <v>1423</v>
      </c>
      <c r="P207" s="6"/>
      <c r="Q207" s="6"/>
      <c r="R207" s="6"/>
      <c r="S207" s="6"/>
      <c r="T207" s="6"/>
    </row>
    <row r="208">
      <c r="A208" s="92" t="s">
        <v>1425</v>
      </c>
      <c r="B208" s="92" t="s">
        <v>1426</v>
      </c>
      <c r="C208" s="92" t="s">
        <v>1427</v>
      </c>
      <c r="D208" s="93">
        <f t="shared" si="1"/>
        <v>0.9223353398</v>
      </c>
      <c r="E208" s="92" t="s">
        <v>1429</v>
      </c>
      <c r="F208" s="118" t="s">
        <v>1425</v>
      </c>
      <c r="G208" s="95">
        <f t="shared" si="2"/>
        <v>68.39055508</v>
      </c>
      <c r="H208" s="102">
        <v>5.46269461009E11</v>
      </c>
      <c r="I208" s="115">
        <v>2017.0</v>
      </c>
      <c r="J208" s="108" t="s">
        <v>1392</v>
      </c>
      <c r="K208" s="119"/>
      <c r="L208" s="99"/>
      <c r="M208" s="99">
        <v>12.4741307475021</v>
      </c>
      <c r="N208" s="99">
        <v>14.0523361024415</v>
      </c>
      <c r="O208" s="92" t="s">
        <v>1428</v>
      </c>
      <c r="P208" s="6"/>
      <c r="Q208" s="6"/>
      <c r="R208" s="6"/>
      <c r="S208" s="6"/>
      <c r="T208" s="6"/>
    </row>
    <row r="209">
      <c r="A209" s="92" t="s">
        <v>1430</v>
      </c>
      <c r="B209" s="92" t="s">
        <v>1431</v>
      </c>
      <c r="C209" s="92" t="s">
        <v>1432</v>
      </c>
      <c r="D209" s="93">
        <f t="shared" si="1"/>
        <v>-0.001993325493</v>
      </c>
      <c r="E209" s="92" t="s">
        <v>1434</v>
      </c>
      <c r="F209" s="118" t="s">
        <v>1430</v>
      </c>
      <c r="G209" s="95">
        <f t="shared" si="2"/>
        <v>53.01245371</v>
      </c>
      <c r="H209" s="102">
        <v>2.71065528001E11</v>
      </c>
      <c r="I209" s="115">
        <v>2016.0</v>
      </c>
      <c r="J209" s="108" t="s">
        <v>1392</v>
      </c>
      <c r="K209" s="119"/>
      <c r="L209" s="99"/>
      <c r="M209" s="99">
        <v>14.0523361024415</v>
      </c>
      <c r="N209" s="99">
        <v>19.6496007142997</v>
      </c>
      <c r="O209" s="92" t="s">
        <v>1433</v>
      </c>
      <c r="P209" s="6"/>
      <c r="Q209" s="6"/>
      <c r="R209" s="6"/>
      <c r="S209" s="6"/>
      <c r="T209" s="6"/>
    </row>
    <row r="210">
      <c r="A210" s="92" t="s">
        <v>1435</v>
      </c>
      <c r="B210" s="92" t="s">
        <v>1436</v>
      </c>
      <c r="C210" s="92" t="s">
        <v>1437</v>
      </c>
      <c r="D210" s="93">
        <f t="shared" si="1"/>
        <v>0.2525036942</v>
      </c>
      <c r="E210" s="92" t="s">
        <v>1439</v>
      </c>
      <c r="F210" s="118" t="s">
        <v>1435</v>
      </c>
      <c r="G210" s="95">
        <f t="shared" si="2"/>
        <v>52.18874592</v>
      </c>
      <c r="H210" s="102">
        <v>2.40669025988E11</v>
      </c>
      <c r="I210" s="115">
        <v>2015.0</v>
      </c>
      <c r="J210" s="108" t="s">
        <v>1392</v>
      </c>
      <c r="K210" s="119"/>
      <c r="L210" s="99"/>
      <c r="M210" s="99">
        <v>19.6496007142997</v>
      </c>
      <c r="N210" s="99">
        <v>28.846600976154</v>
      </c>
      <c r="O210" s="92" t="s">
        <v>1438</v>
      </c>
      <c r="P210" s="6"/>
      <c r="Q210" s="6"/>
      <c r="R210" s="6"/>
      <c r="S210" s="6"/>
      <c r="T210" s="6"/>
    </row>
    <row r="211">
      <c r="A211" s="92" t="s">
        <v>1440</v>
      </c>
      <c r="B211" s="92" t="s">
        <v>1441</v>
      </c>
      <c r="C211" s="92" t="s">
        <v>1442</v>
      </c>
      <c r="D211" s="93">
        <f t="shared" si="1"/>
        <v>-0.9300956037</v>
      </c>
      <c r="E211" s="92" t="s">
        <v>1444</v>
      </c>
      <c r="F211" s="118" t="s">
        <v>1440</v>
      </c>
      <c r="G211" s="95">
        <f t="shared" si="2"/>
        <v>53.0684627</v>
      </c>
      <c r="H211" s="102">
        <v>1.5500554581E11</v>
      </c>
      <c r="I211" s="115">
        <v>2014.0</v>
      </c>
      <c r="J211" s="108" t="s">
        <v>1392</v>
      </c>
      <c r="K211" s="119"/>
      <c r="L211" s="99"/>
      <c r="M211" s="99">
        <v>28.846600976154</v>
      </c>
      <c r="N211" s="6"/>
      <c r="O211" s="92" t="s">
        <v>1443</v>
      </c>
      <c r="P211" s="6"/>
      <c r="Q211" s="6"/>
      <c r="R211" s="6"/>
      <c r="S211" s="6"/>
      <c r="T211" s="6"/>
    </row>
    <row r="212">
      <c r="A212" s="92" t="s">
        <v>1277</v>
      </c>
      <c r="B212" s="92" t="s">
        <v>1278</v>
      </c>
      <c r="C212" s="92" t="s">
        <v>1279</v>
      </c>
      <c r="D212" s="93">
        <f t="shared" si="1"/>
        <v>0.7493869564</v>
      </c>
      <c r="E212" s="92" t="s">
        <v>1282</v>
      </c>
      <c r="F212" s="118" t="s">
        <v>1277</v>
      </c>
      <c r="G212" s="95">
        <f t="shared" si="2"/>
        <v>766.5521034</v>
      </c>
      <c r="H212" s="102">
        <v>2.21534684E12</v>
      </c>
      <c r="I212" s="115">
        <v>2024.0</v>
      </c>
      <c r="J212" s="108" t="s">
        <v>1280</v>
      </c>
      <c r="K212" s="119"/>
      <c r="L212" s="99"/>
      <c r="M212" s="99">
        <v>23.6602096848236</v>
      </c>
      <c r="N212" s="99">
        <v>21.6148974043115</v>
      </c>
      <c r="O212" s="92" t="s">
        <v>1281</v>
      </c>
      <c r="P212" s="6"/>
      <c r="Q212" s="6"/>
      <c r="R212" s="6"/>
      <c r="S212" s="6"/>
      <c r="T212" s="6"/>
    </row>
    <row r="213">
      <c r="A213" s="92" t="s">
        <v>1283</v>
      </c>
      <c r="B213" s="92" t="s">
        <v>1284</v>
      </c>
      <c r="C213" s="92" t="s">
        <v>1285</v>
      </c>
      <c r="D213" s="93">
        <f t="shared" si="1"/>
        <v>0.3169055585</v>
      </c>
      <c r="E213" s="92" t="s">
        <v>1287</v>
      </c>
      <c r="F213" s="118" t="s">
        <v>1283</v>
      </c>
      <c r="G213" s="95">
        <f t="shared" si="2"/>
        <v>547.5317435</v>
      </c>
      <c r="H213" s="102">
        <v>1.485585528E12</v>
      </c>
      <c r="I213" s="115">
        <v>2023.0</v>
      </c>
      <c r="J213" s="108" t="s">
        <v>1280</v>
      </c>
      <c r="K213" s="119"/>
      <c r="L213" s="99"/>
      <c r="M213" s="99">
        <v>21.6148974043115</v>
      </c>
      <c r="N213" s="99">
        <v>18.1756591237636</v>
      </c>
      <c r="O213" s="92" t="s">
        <v>1286</v>
      </c>
      <c r="P213" s="6"/>
      <c r="Q213" s="6"/>
      <c r="R213" s="6"/>
      <c r="S213" s="6"/>
      <c r="T213" s="6"/>
    </row>
    <row r="214">
      <c r="A214" s="92" t="s">
        <v>1288</v>
      </c>
      <c r="B214" s="92" t="s">
        <v>1289</v>
      </c>
      <c r="C214" s="92" t="s">
        <v>1290</v>
      </c>
      <c r="D214" s="93">
        <f t="shared" si="1"/>
        <v>0.6999144719</v>
      </c>
      <c r="E214" s="92" t="s">
        <v>1292</v>
      </c>
      <c r="F214" s="118" t="s">
        <v>1288</v>
      </c>
      <c r="G214" s="95">
        <f t="shared" si="2"/>
        <v>569.7441767</v>
      </c>
      <c r="H214" s="102">
        <v>1.524679884E12</v>
      </c>
      <c r="I214" s="115">
        <v>2022.0</v>
      </c>
      <c r="J214" s="108" t="s">
        <v>1280</v>
      </c>
      <c r="K214" s="119"/>
      <c r="L214" s="99"/>
      <c r="M214" s="99">
        <v>18.1756591237636</v>
      </c>
      <c r="N214" s="99">
        <v>12.1839371970674</v>
      </c>
      <c r="O214" s="92" t="s">
        <v>1291</v>
      </c>
      <c r="P214" s="6"/>
      <c r="Q214" s="6"/>
      <c r="R214" s="6"/>
      <c r="S214" s="6"/>
      <c r="T214" s="6"/>
    </row>
    <row r="215">
      <c r="A215" s="92" t="s">
        <v>1293</v>
      </c>
      <c r="B215" s="92" t="s">
        <v>1294</v>
      </c>
      <c r="C215" s="92" t="s">
        <v>1295</v>
      </c>
      <c r="D215" s="93">
        <f t="shared" si="1"/>
        <v>0.114761754</v>
      </c>
      <c r="E215" s="92" t="s">
        <v>1297</v>
      </c>
      <c r="F215" s="118" t="s">
        <v>1293</v>
      </c>
      <c r="G215" s="95">
        <f t="shared" si="2"/>
        <v>902.0961811</v>
      </c>
      <c r="H215" s="102">
        <v>2.47597588E12</v>
      </c>
      <c r="I215" s="115">
        <v>2021.0</v>
      </c>
      <c r="J215" s="108" t="s">
        <v>1280</v>
      </c>
      <c r="K215" s="119"/>
      <c r="L215" s="99"/>
      <c r="M215" s="99">
        <v>12.1839371970674</v>
      </c>
      <c r="N215" s="99">
        <v>12.2738906719289</v>
      </c>
      <c r="O215" s="92" t="s">
        <v>1296</v>
      </c>
      <c r="P215" s="6"/>
      <c r="Q215" s="6"/>
      <c r="R215" s="6"/>
      <c r="S215" s="6"/>
      <c r="T215" s="6"/>
    </row>
    <row r="216">
      <c r="A216" s="92" t="s">
        <v>1298</v>
      </c>
      <c r="B216" s="92" t="s">
        <v>1299</v>
      </c>
      <c r="C216" s="92" t="s">
        <v>1300</v>
      </c>
      <c r="D216" s="93">
        <f t="shared" si="1"/>
        <v>-0.1697368538</v>
      </c>
      <c r="E216" s="92" t="s">
        <v>1302</v>
      </c>
      <c r="F216" s="118" t="s">
        <v>1298</v>
      </c>
      <c r="G216" s="95">
        <f t="shared" si="2"/>
        <v>108.0170191</v>
      </c>
      <c r="H216" s="102">
        <v>2.99723396E11</v>
      </c>
      <c r="I216" s="115">
        <v>2020.0</v>
      </c>
      <c r="J216" s="108" t="s">
        <v>1280</v>
      </c>
      <c r="K216" s="119"/>
      <c r="L216" s="99"/>
      <c r="M216" s="99">
        <v>12.2738906719289</v>
      </c>
      <c r="N216" s="99">
        <v>11.3076296512967</v>
      </c>
      <c r="O216" s="92" t="s">
        <v>1301</v>
      </c>
      <c r="P216" s="6"/>
      <c r="Q216" s="6"/>
      <c r="R216" s="6"/>
      <c r="S216" s="6"/>
      <c r="T216" s="6"/>
    </row>
    <row r="217">
      <c r="A217" s="92" t="s">
        <v>1303</v>
      </c>
      <c r="B217" s="92" t="s">
        <v>1304</v>
      </c>
      <c r="C217" s="92" t="s">
        <v>1305</v>
      </c>
      <c r="D217" s="93">
        <f t="shared" si="1"/>
        <v>-0.08588828906</v>
      </c>
      <c r="E217" s="92" t="s">
        <v>1307</v>
      </c>
      <c r="F217" s="118" t="s">
        <v>1303</v>
      </c>
      <c r="G217" s="95">
        <f t="shared" si="2"/>
        <v>69.68333502</v>
      </c>
      <c r="H217" s="102">
        <v>2.15018958E11</v>
      </c>
      <c r="I217" s="115">
        <v>2019.0</v>
      </c>
      <c r="J217" s="108" t="s">
        <v>1280</v>
      </c>
      <c r="K217" s="119"/>
      <c r="L217" s="99"/>
      <c r="M217" s="99">
        <v>11.3076296512967</v>
      </c>
      <c r="N217" s="99">
        <v>11.3396223992414</v>
      </c>
      <c r="O217" s="92" t="s">
        <v>1306</v>
      </c>
      <c r="P217" s="6"/>
      <c r="Q217" s="6"/>
      <c r="R217" s="6"/>
      <c r="S217" s="6"/>
      <c r="T217" s="6"/>
    </row>
    <row r="218">
      <c r="A218" s="92" t="s">
        <v>1308</v>
      </c>
      <c r="B218" s="92" t="s">
        <v>1309</v>
      </c>
      <c r="C218" s="92" t="s">
        <v>1310</v>
      </c>
      <c r="D218" s="93">
        <f t="shared" si="1"/>
        <v>0.04404117715</v>
      </c>
      <c r="E218" s="92" t="s">
        <v>1312</v>
      </c>
      <c r="F218" s="118" t="s">
        <v>1308</v>
      </c>
      <c r="G218" s="95">
        <f t="shared" si="2"/>
        <v>59.09106162</v>
      </c>
      <c r="H218" s="102">
        <v>2.124126676E11</v>
      </c>
      <c r="I218" s="115">
        <v>2018.0</v>
      </c>
      <c r="J218" s="108" t="s">
        <v>1280</v>
      </c>
      <c r="K218" s="119"/>
      <c r="L218" s="99"/>
      <c r="M218" s="99">
        <v>11.3396223992414</v>
      </c>
      <c r="N218" s="99">
        <v>12.4741307475021</v>
      </c>
      <c r="O218" s="92" t="s">
        <v>1311</v>
      </c>
      <c r="P218" s="6"/>
      <c r="Q218" s="6"/>
      <c r="R218" s="6"/>
      <c r="S218" s="6"/>
      <c r="T218" s="6"/>
    </row>
    <row r="219">
      <c r="A219" s="92" t="s">
        <v>1313</v>
      </c>
      <c r="B219" s="92" t="s">
        <v>1314</v>
      </c>
      <c r="C219" s="92" t="s">
        <v>1315</v>
      </c>
      <c r="D219" s="93">
        <f t="shared" si="1"/>
        <v>0.2812312645</v>
      </c>
      <c r="E219" s="92" t="s">
        <v>1317</v>
      </c>
      <c r="F219" s="118" t="s">
        <v>1313</v>
      </c>
      <c r="G219" s="95">
        <f t="shared" si="2"/>
        <v>114.1484859</v>
      </c>
      <c r="H219" s="102">
        <v>4.378567872E11</v>
      </c>
      <c r="I219" s="115">
        <v>2017.0</v>
      </c>
      <c r="J219" s="108" t="s">
        <v>1280</v>
      </c>
      <c r="K219" s="119"/>
      <c r="L219" s="99"/>
      <c r="M219" s="99">
        <v>12.4741307475021</v>
      </c>
      <c r="N219" s="99">
        <v>14.0523361024415</v>
      </c>
      <c r="O219" s="92" t="s">
        <v>1316</v>
      </c>
      <c r="P219" s="6"/>
      <c r="Q219" s="6"/>
      <c r="R219" s="6"/>
      <c r="S219" s="6"/>
      <c r="T219" s="6"/>
    </row>
    <row r="220">
      <c r="A220" s="92" t="s">
        <v>1318</v>
      </c>
      <c r="B220" s="92" t="s">
        <v>1319</v>
      </c>
      <c r="C220" s="92" t="s">
        <v>1320</v>
      </c>
      <c r="D220" s="93">
        <f t="shared" si="1"/>
        <v>-0.2488381978</v>
      </c>
      <c r="E220" s="92" t="s">
        <v>1322</v>
      </c>
      <c r="F220" s="118" t="s">
        <v>1318</v>
      </c>
      <c r="G220" s="95">
        <f t="shared" si="2"/>
        <v>32.21044526</v>
      </c>
      <c r="H220" s="102">
        <v>1.329208104E11</v>
      </c>
      <c r="I220" s="115">
        <v>2016.0</v>
      </c>
      <c r="J220" s="108" t="s">
        <v>1280</v>
      </c>
      <c r="K220" s="119"/>
      <c r="L220" s="99"/>
      <c r="M220" s="99">
        <v>14.0523361024415</v>
      </c>
      <c r="N220" s="99">
        <v>19.6496007142997</v>
      </c>
      <c r="O220" s="92" t="s">
        <v>1321</v>
      </c>
      <c r="P220" s="6"/>
      <c r="Q220" s="6"/>
      <c r="R220" s="6"/>
      <c r="S220" s="6"/>
      <c r="T220" s="6"/>
    </row>
    <row r="221">
      <c r="A221" s="92" t="s">
        <v>1323</v>
      </c>
      <c r="B221" s="92" t="s">
        <v>1324</v>
      </c>
      <c r="C221" s="92" t="s">
        <v>1325</v>
      </c>
      <c r="D221" s="93">
        <f t="shared" si="1"/>
        <v>-0.1777716038</v>
      </c>
      <c r="E221" s="92" t="s">
        <v>1327</v>
      </c>
      <c r="F221" s="118" t="s">
        <v>1323</v>
      </c>
      <c r="G221" s="95">
        <f t="shared" si="2"/>
        <v>76.63283321</v>
      </c>
      <c r="H221" s="102">
        <v>3.51849204E11</v>
      </c>
      <c r="I221" s="115">
        <v>2015.0</v>
      </c>
      <c r="J221" s="108" t="s">
        <v>1280</v>
      </c>
      <c r="K221" s="119"/>
      <c r="L221" s="99"/>
      <c r="M221" s="99">
        <v>19.6496007142997</v>
      </c>
      <c r="N221" s="99">
        <v>28.846600976154</v>
      </c>
      <c r="O221" s="92" t="s">
        <v>1326</v>
      </c>
      <c r="P221" s="6"/>
      <c r="Q221" s="6"/>
      <c r="R221" s="6"/>
      <c r="S221" s="6"/>
      <c r="T221" s="6"/>
    </row>
    <row r="222">
      <c r="A222" s="92" t="s">
        <v>1328</v>
      </c>
      <c r="B222" s="92" t="s">
        <v>1329</v>
      </c>
      <c r="C222" s="92" t="s">
        <v>1330</v>
      </c>
      <c r="D222" s="93">
        <f t="shared" si="1"/>
        <v>133.8416417</v>
      </c>
      <c r="E222" s="92" t="s">
        <v>1332</v>
      </c>
      <c r="F222" s="118" t="s">
        <v>1328</v>
      </c>
      <c r="G222" s="95">
        <f t="shared" si="2"/>
        <v>157.0567172</v>
      </c>
      <c r="H222" s="102">
        <v>8.07950024E11</v>
      </c>
      <c r="I222" s="115">
        <v>2014.0</v>
      </c>
      <c r="J222" s="108" t="s">
        <v>1280</v>
      </c>
      <c r="K222" s="119"/>
      <c r="L222" s="99"/>
      <c r="M222" s="99">
        <v>28.846600976154</v>
      </c>
      <c r="N222" s="6"/>
      <c r="O222" s="92" t="s">
        <v>1331</v>
      </c>
      <c r="P222" s="6"/>
      <c r="Q222" s="6"/>
      <c r="R222" s="6"/>
      <c r="S222" s="6"/>
      <c r="T222" s="6"/>
    </row>
    <row r="223">
      <c r="A223" s="92" t="s">
        <v>1333</v>
      </c>
      <c r="B223" s="92" t="s">
        <v>1334</v>
      </c>
      <c r="C223" s="92" t="s">
        <v>1335</v>
      </c>
      <c r="D223" s="93">
        <f t="shared" si="1"/>
        <v>2.861900534</v>
      </c>
      <c r="E223" s="92" t="s">
        <v>1338</v>
      </c>
      <c r="F223" s="118" t="s">
        <v>1333</v>
      </c>
      <c r="G223" s="95">
        <f t="shared" si="2"/>
        <v>333.7009191</v>
      </c>
      <c r="H223" s="102">
        <v>5.8E11</v>
      </c>
      <c r="I223" s="115">
        <v>2024.0</v>
      </c>
      <c r="J223" s="108" t="s">
        <v>1336</v>
      </c>
      <c r="K223" s="119"/>
      <c r="L223" s="99"/>
      <c r="M223" s="99">
        <v>23.6602096848236</v>
      </c>
      <c r="N223" s="99">
        <v>21.6148974043115</v>
      </c>
      <c r="O223" s="92" t="s">
        <v>1337</v>
      </c>
      <c r="P223" s="6"/>
      <c r="Q223" s="6"/>
      <c r="R223" s="6"/>
      <c r="S223" s="6"/>
      <c r="T223" s="6"/>
    </row>
    <row r="224">
      <c r="A224" s="92" t="s">
        <v>1339</v>
      </c>
      <c r="B224" s="92" t="s">
        <v>1340</v>
      </c>
      <c r="C224" s="92" t="s">
        <v>1341</v>
      </c>
      <c r="D224" s="93">
        <f t="shared" si="1"/>
        <v>0.07217021832</v>
      </c>
      <c r="E224" s="92" t="s">
        <v>1343</v>
      </c>
      <c r="F224" s="118" t="s">
        <v>1339</v>
      </c>
      <c r="G224" s="95">
        <f t="shared" si="2"/>
        <v>234.3934981</v>
      </c>
      <c r="H224" s="102">
        <v>4.025E11</v>
      </c>
      <c r="I224" s="115">
        <v>2023.0</v>
      </c>
      <c r="J224" s="108" t="s">
        <v>1336</v>
      </c>
      <c r="K224" s="119"/>
      <c r="L224" s="99"/>
      <c r="M224" s="99">
        <v>21.6148974043115</v>
      </c>
      <c r="N224" s="99">
        <v>18.1756591237636</v>
      </c>
      <c r="O224" s="92" t="s">
        <v>1342</v>
      </c>
      <c r="P224" s="6"/>
      <c r="Q224" s="6"/>
      <c r="R224" s="6"/>
      <c r="S224" s="6"/>
      <c r="T224" s="6"/>
    </row>
    <row r="225">
      <c r="A225" s="92" t="s">
        <v>1344</v>
      </c>
      <c r="B225" s="92" t="s">
        <v>1345</v>
      </c>
      <c r="C225" s="92" t="s">
        <v>1346</v>
      </c>
      <c r="D225" s="93">
        <f t="shared" si="1"/>
        <v>0.05017486392</v>
      </c>
      <c r="E225" s="92" t="s">
        <v>1348</v>
      </c>
      <c r="F225" s="118" t="s">
        <v>1344</v>
      </c>
      <c r="G225" s="95">
        <f t="shared" si="2"/>
        <v>259.2023974</v>
      </c>
      <c r="H225" s="102">
        <v>4.15E11</v>
      </c>
      <c r="I225" s="115">
        <v>2022.0</v>
      </c>
      <c r="J225" s="108" t="s">
        <v>1336</v>
      </c>
      <c r="K225" s="119"/>
      <c r="L225" s="99"/>
      <c r="M225" s="99">
        <v>18.1756591237636</v>
      </c>
      <c r="N225" s="99">
        <v>12.1839371970674</v>
      </c>
      <c r="O225" s="92" t="s">
        <v>1347</v>
      </c>
      <c r="P225" s="6"/>
      <c r="Q225" s="6"/>
      <c r="R225" s="6"/>
      <c r="S225" s="6"/>
      <c r="T225" s="6"/>
    </row>
    <row r="226">
      <c r="A226" s="92" t="s">
        <v>1349</v>
      </c>
      <c r="B226" s="92" t="s">
        <v>1350</v>
      </c>
      <c r="C226" s="92" t="s">
        <v>1351</v>
      </c>
      <c r="D226" s="93">
        <f t="shared" si="1"/>
        <v>-0.6324106452</v>
      </c>
      <c r="E226" s="92" t="s">
        <v>1353</v>
      </c>
      <c r="F226" s="118" t="s">
        <v>1349</v>
      </c>
      <c r="G226" s="95">
        <f t="shared" si="2"/>
        <v>834.5205679</v>
      </c>
      <c r="H226" s="102">
        <v>1.55E12</v>
      </c>
      <c r="I226" s="115">
        <v>2021.0</v>
      </c>
      <c r="J226" s="108" t="s">
        <v>1336</v>
      </c>
      <c r="K226" s="119"/>
      <c r="L226" s="99"/>
      <c r="M226" s="99">
        <v>12.1839371970674</v>
      </c>
      <c r="N226" s="99">
        <v>12.2738906719289</v>
      </c>
      <c r="O226" s="92" t="s">
        <v>1352</v>
      </c>
      <c r="P226" s="6"/>
      <c r="Q226" s="6"/>
      <c r="R226" s="6"/>
      <c r="S226" s="6"/>
      <c r="T226" s="6"/>
    </row>
    <row r="227">
      <c r="A227" s="92" t="s">
        <v>1354</v>
      </c>
      <c r="B227" s="92" t="s">
        <v>1355</v>
      </c>
      <c r="C227" s="92" t="s">
        <v>1356</v>
      </c>
      <c r="D227" s="93">
        <f t="shared" si="1"/>
        <v>-0.1108989123</v>
      </c>
      <c r="E227" s="92" t="s">
        <v>1358</v>
      </c>
      <c r="F227" s="118" t="s">
        <v>1354</v>
      </c>
      <c r="G227" s="95">
        <f t="shared" si="2"/>
        <v>283.9906869</v>
      </c>
      <c r="H227" s="102">
        <v>4.78E11</v>
      </c>
      <c r="I227" s="115">
        <v>2020.0</v>
      </c>
      <c r="J227" s="108" t="s">
        <v>1336</v>
      </c>
      <c r="K227" s="119"/>
      <c r="L227" s="99"/>
      <c r="M227" s="99">
        <v>12.2738906719289</v>
      </c>
      <c r="N227" s="99">
        <v>11.3076296512967</v>
      </c>
      <c r="O227" s="92" t="s">
        <v>1357</v>
      </c>
      <c r="P227" s="6"/>
      <c r="Q227" s="6"/>
      <c r="R227" s="6"/>
      <c r="S227" s="6"/>
      <c r="T227" s="6"/>
    </row>
    <row r="228">
      <c r="A228" s="92" t="s">
        <v>1359</v>
      </c>
      <c r="B228" s="92" t="s">
        <v>1360</v>
      </c>
      <c r="C228" s="92" t="s">
        <v>1361</v>
      </c>
      <c r="D228" s="93">
        <f t="shared" si="1"/>
        <v>-0.7124249191</v>
      </c>
      <c r="E228" s="92" t="s">
        <v>1363</v>
      </c>
      <c r="F228" s="118" t="s">
        <v>1359</v>
      </c>
      <c r="G228" s="95">
        <f t="shared" si="2"/>
        <v>500.205302</v>
      </c>
      <c r="H228" s="102">
        <v>8.375E11</v>
      </c>
      <c r="I228" s="115">
        <v>2019.0</v>
      </c>
      <c r="J228" s="108" t="s">
        <v>1336</v>
      </c>
      <c r="K228" s="119"/>
      <c r="L228" s="99"/>
      <c r="M228" s="99">
        <v>11.3076296512967</v>
      </c>
      <c r="N228" s="99">
        <v>11.3396223992414</v>
      </c>
      <c r="O228" s="92" t="s">
        <v>1362</v>
      </c>
      <c r="P228" s="6"/>
      <c r="Q228" s="6"/>
      <c r="R228" s="6"/>
      <c r="S228" s="6"/>
      <c r="T228" s="6"/>
    </row>
    <row r="229">
      <c r="A229" s="92" t="s">
        <v>1364</v>
      </c>
      <c r="B229" s="92" t="s">
        <v>1365</v>
      </c>
      <c r="C229" s="92" t="s">
        <v>1366</v>
      </c>
      <c r="D229" s="93">
        <f t="shared" si="1"/>
        <v>-0.5436921827</v>
      </c>
      <c r="E229" s="92" t="s">
        <v>1368</v>
      </c>
      <c r="F229" s="118" t="s">
        <v>1364</v>
      </c>
      <c r="G229" s="95">
        <f t="shared" si="2"/>
        <v>641.543974</v>
      </c>
      <c r="H229" s="102">
        <v>9.1E11</v>
      </c>
      <c r="I229" s="115">
        <v>2018.0</v>
      </c>
      <c r="J229" s="108" t="s">
        <v>1336</v>
      </c>
      <c r="K229" s="119"/>
      <c r="L229" s="99"/>
      <c r="M229" s="99">
        <v>11.3396223992414</v>
      </c>
      <c r="N229" s="99">
        <v>12.4741307475021</v>
      </c>
      <c r="O229" s="92" t="s">
        <v>1367</v>
      </c>
      <c r="P229" s="6"/>
      <c r="Q229" s="6"/>
      <c r="R229" s="6"/>
      <c r="S229" s="6"/>
      <c r="T229" s="6"/>
    </row>
    <row r="230">
      <c r="A230" s="92" t="s">
        <v>1369</v>
      </c>
      <c r="B230" s="92" t="s">
        <v>1370</v>
      </c>
      <c r="C230" s="92" t="s">
        <v>1371</v>
      </c>
      <c r="D230" s="93">
        <f t="shared" si="1"/>
        <v>0.7008994812</v>
      </c>
      <c r="E230" s="92" t="s">
        <v>1373</v>
      </c>
      <c r="F230" s="118" t="s">
        <v>1369</v>
      </c>
      <c r="G230" s="95">
        <f t="shared" si="2"/>
        <v>241.2015645</v>
      </c>
      <c r="H230" s="102">
        <v>2.451304778E11</v>
      </c>
      <c r="I230" s="115">
        <v>2017.0</v>
      </c>
      <c r="J230" s="108" t="s">
        <v>1336</v>
      </c>
      <c r="K230" s="119"/>
      <c r="L230" s="99"/>
      <c r="M230" s="99">
        <v>12.4741307475021</v>
      </c>
      <c r="N230" s="99">
        <v>14.0523361024415</v>
      </c>
      <c r="O230" s="92" t="s">
        <v>1372</v>
      </c>
      <c r="P230" s="6"/>
      <c r="Q230" s="6"/>
      <c r="R230" s="6"/>
      <c r="S230" s="6"/>
      <c r="T230" s="6"/>
    </row>
    <row r="231">
      <c r="A231" s="92" t="s">
        <v>1374</v>
      </c>
      <c r="B231" s="92" t="s">
        <v>1375</v>
      </c>
      <c r="C231" s="92" t="s">
        <v>1376</v>
      </c>
      <c r="D231" s="93">
        <f t="shared" si="1"/>
        <v>-0.6426448749</v>
      </c>
      <c r="E231" s="92" t="s">
        <v>1378</v>
      </c>
      <c r="F231" s="118" t="s">
        <v>1374</v>
      </c>
      <c r="G231" s="95">
        <f t="shared" si="2"/>
        <v>773.4911387</v>
      </c>
      <c r="H231" s="102">
        <v>1.97705330841E11</v>
      </c>
      <c r="I231" s="115">
        <v>2016.0</v>
      </c>
      <c r="J231" s="108" t="s">
        <v>1336</v>
      </c>
      <c r="K231" s="119"/>
      <c r="L231" s="99"/>
      <c r="M231" s="99">
        <v>14.0523361024415</v>
      </c>
      <c r="N231" s="99">
        <v>19.6496007142997</v>
      </c>
      <c r="O231" s="92" t="s">
        <v>1377</v>
      </c>
      <c r="P231" s="6"/>
      <c r="Q231" s="6"/>
      <c r="R231" s="6"/>
      <c r="S231" s="6"/>
      <c r="T231" s="6"/>
    </row>
    <row r="232">
      <c r="A232" s="92" t="s">
        <v>1379</v>
      </c>
      <c r="B232" s="92" t="s">
        <v>1380</v>
      </c>
      <c r="C232" s="92" t="s">
        <v>1381</v>
      </c>
      <c r="D232" s="93">
        <f t="shared" si="1"/>
        <v>1.995806165</v>
      </c>
      <c r="E232" s="92" t="s">
        <v>1383</v>
      </c>
      <c r="F232" s="118" t="s">
        <v>1379</v>
      </c>
      <c r="G232" s="95">
        <f t="shared" si="2"/>
        <v>315.3860176</v>
      </c>
      <c r="H232" s="102">
        <v>7.2491954642E10</v>
      </c>
      <c r="I232" s="115">
        <v>2015.0</v>
      </c>
      <c r="J232" s="108" t="s">
        <v>1336</v>
      </c>
      <c r="K232" s="119"/>
      <c r="L232" s="99"/>
      <c r="M232" s="99">
        <v>19.6496007142997</v>
      </c>
      <c r="N232" s="99">
        <v>28.846600976154</v>
      </c>
      <c r="O232" s="92" t="s">
        <v>1382</v>
      </c>
      <c r="P232" s="6"/>
      <c r="Q232" s="6"/>
      <c r="R232" s="6"/>
      <c r="S232" s="6"/>
      <c r="T232" s="6"/>
    </row>
    <row r="233">
      <c r="A233" s="92" t="s">
        <v>1384</v>
      </c>
      <c r="B233" s="92" t="s">
        <v>1385</v>
      </c>
      <c r="C233" s="92" t="s">
        <v>1386</v>
      </c>
      <c r="D233" s="93">
        <f t="shared" si="1"/>
        <v>-0.9721985305</v>
      </c>
      <c r="E233" s="92" t="s">
        <v>1388</v>
      </c>
      <c r="F233" s="118" t="s">
        <v>1384</v>
      </c>
      <c r="G233" s="95">
        <f t="shared" si="2"/>
        <v>215.0248391</v>
      </c>
      <c r="H233" s="102">
        <v>7.3590317591E10</v>
      </c>
      <c r="I233" s="115">
        <v>2014.0</v>
      </c>
      <c r="J233" s="108" t="s">
        <v>1336</v>
      </c>
      <c r="K233" s="119"/>
      <c r="L233" s="99"/>
      <c r="M233" s="99">
        <v>28.846600976154</v>
      </c>
      <c r="N233" s="6"/>
      <c r="O233" s="92" t="s">
        <v>1387</v>
      </c>
      <c r="P233" s="6"/>
      <c r="Q233" s="6"/>
      <c r="R233" s="6"/>
      <c r="S233" s="6"/>
      <c r="T233" s="6"/>
    </row>
    <row r="234">
      <c r="A234" s="113" t="s">
        <v>1017</v>
      </c>
      <c r="B234" s="113" t="s">
        <v>1018</v>
      </c>
      <c r="C234" s="113" t="s">
        <v>1019</v>
      </c>
      <c r="D234" s="93">
        <f t="shared" si="1"/>
        <v>0.02642297525</v>
      </c>
      <c r="E234" s="113" t="s">
        <v>1022</v>
      </c>
      <c r="F234" s="107" t="s">
        <v>1017</v>
      </c>
      <c r="G234" s="95">
        <f t="shared" si="2"/>
        <v>332.8373495</v>
      </c>
      <c r="H234" s="38">
        <f>(9586.78*478973330000)/10000</f>
        <v>459181194058</v>
      </c>
      <c r="I234" s="120">
        <v>2024.0</v>
      </c>
      <c r="J234" s="101" t="s">
        <v>1020</v>
      </c>
      <c r="K234" s="6">
        <v>65.35</v>
      </c>
      <c r="L234" s="6">
        <v>61.7</v>
      </c>
      <c r="M234" s="99">
        <v>23.6602096848236</v>
      </c>
      <c r="N234" s="99">
        <v>21.6148974043115</v>
      </c>
      <c r="O234" s="113" t="s">
        <v>1021</v>
      </c>
      <c r="P234" s="44"/>
      <c r="Q234" s="38"/>
      <c r="R234" s="38"/>
      <c r="S234" s="38"/>
      <c r="T234" s="6"/>
    </row>
    <row r="235">
      <c r="A235" s="113" t="s">
        <v>1023</v>
      </c>
      <c r="B235" s="113" t="s">
        <v>1024</v>
      </c>
      <c r="C235" s="113" t="s">
        <v>1025</v>
      </c>
      <c r="D235" s="93">
        <f t="shared" si="1"/>
        <v>-0.2238220225</v>
      </c>
      <c r="E235" s="113" t="s">
        <v>1027</v>
      </c>
      <c r="F235" s="107" t="s">
        <v>1023</v>
      </c>
      <c r="G235" s="95">
        <f t="shared" si="2"/>
        <v>293.0650105</v>
      </c>
      <c r="H235" s="6">
        <f>(7598.894942*478973330000)/10000</f>
        <v>363966801469</v>
      </c>
      <c r="I235" s="120">
        <v>2023.0</v>
      </c>
      <c r="J235" s="101" t="s">
        <v>1020</v>
      </c>
      <c r="K235" s="6">
        <v>61.7</v>
      </c>
      <c r="L235" s="6">
        <v>57.7</v>
      </c>
      <c r="M235" s="99">
        <v>21.6148974043115</v>
      </c>
      <c r="N235" s="99">
        <v>18.1756591237636</v>
      </c>
      <c r="O235" s="113" t="s">
        <v>1026</v>
      </c>
      <c r="P235" s="6"/>
      <c r="Q235" s="6"/>
      <c r="R235" s="6"/>
      <c r="S235" s="6"/>
      <c r="T235" s="6"/>
    </row>
    <row r="236">
      <c r="A236" s="113" t="s">
        <v>1028</v>
      </c>
      <c r="B236" s="113" t="s">
        <v>1029</v>
      </c>
      <c r="C236" s="113" t="s">
        <v>1030</v>
      </c>
      <c r="D236" s="93">
        <f t="shared" si="1"/>
        <v>-0.04795160044</v>
      </c>
      <c r="E236" s="113" t="s">
        <v>1032</v>
      </c>
      <c r="F236" s="107" t="s">
        <v>1028</v>
      </c>
      <c r="G236" s="95">
        <f t="shared" si="2"/>
        <v>371.3142205</v>
      </c>
      <c r="H236" s="6">
        <f>(8384.720851*478973330000)/10000</f>
        <v>401605766712</v>
      </c>
      <c r="I236" s="120">
        <v>2022.0</v>
      </c>
      <c r="J236" s="101" t="s">
        <v>1020</v>
      </c>
      <c r="K236" s="6">
        <v>57.7</v>
      </c>
      <c r="L236" s="6">
        <v>52.5</v>
      </c>
      <c r="M236" s="99">
        <v>18.1756591237636</v>
      </c>
      <c r="N236" s="99">
        <v>12.1839371970674</v>
      </c>
      <c r="O236" s="113" t="s">
        <v>1031</v>
      </c>
      <c r="P236" s="6"/>
      <c r="Q236" s="6"/>
      <c r="R236" s="6"/>
      <c r="S236" s="6"/>
      <c r="T236" s="6"/>
    </row>
    <row r="237">
      <c r="A237" s="113" t="s">
        <v>1033</v>
      </c>
      <c r="B237" s="113" t="s">
        <v>1034</v>
      </c>
      <c r="C237" s="113" t="s">
        <v>1035</v>
      </c>
      <c r="D237" s="93">
        <f t="shared" si="1"/>
        <v>0.5194319373</v>
      </c>
      <c r="E237" s="113" t="s">
        <v>1037</v>
      </c>
      <c r="F237" s="107" t="s">
        <v>1033</v>
      </c>
      <c r="G237" s="95">
        <f t="shared" si="2"/>
        <v>545.463248</v>
      </c>
      <c r="H237" s="6">
        <f>(16250.41421*478973330000)/10000</f>
        <v>778351500804</v>
      </c>
      <c r="I237" s="120">
        <v>2021.0</v>
      </c>
      <c r="J237" s="101" t="s">
        <v>1020</v>
      </c>
      <c r="K237" s="6">
        <v>52.5</v>
      </c>
      <c r="L237" s="6">
        <v>48.55</v>
      </c>
      <c r="M237" s="99">
        <v>12.1839371970674</v>
      </c>
      <c r="N237" s="99">
        <v>12.2738906719289</v>
      </c>
      <c r="O237" s="113" t="s">
        <v>1036</v>
      </c>
      <c r="P237" s="6"/>
      <c r="Q237" s="6"/>
      <c r="R237" s="6"/>
      <c r="S237" s="6"/>
      <c r="T237" s="6"/>
    </row>
    <row r="238">
      <c r="A238" s="113" t="s">
        <v>1038</v>
      </c>
      <c r="B238" s="113" t="s">
        <v>1039</v>
      </c>
      <c r="C238" s="113" t="s">
        <v>1040</v>
      </c>
      <c r="D238" s="93">
        <f t="shared" si="1"/>
        <v>-0.1466483057</v>
      </c>
      <c r="E238" s="113" t="s">
        <v>1042</v>
      </c>
      <c r="F238" s="107" t="s">
        <v>1038</v>
      </c>
      <c r="G238" s="95">
        <f t="shared" si="2"/>
        <v>288.7329032</v>
      </c>
      <c r="H238" s="6">
        <f>(6351.077885*478973330000)/10000</f>
        <v>304199692367</v>
      </c>
      <c r="I238" s="120">
        <v>2020.0</v>
      </c>
      <c r="J238" s="101" t="s">
        <v>1020</v>
      </c>
      <c r="K238" s="6">
        <v>48.55</v>
      </c>
      <c r="L238" s="6">
        <v>42.73</v>
      </c>
      <c r="M238" s="99">
        <v>12.2738906719289</v>
      </c>
      <c r="N238" s="99">
        <v>11.3076296512967</v>
      </c>
      <c r="O238" s="113" t="s">
        <v>1041</v>
      </c>
      <c r="P238" s="6"/>
      <c r="Q238" s="6"/>
      <c r="R238" s="6"/>
      <c r="S238" s="6"/>
      <c r="T238" s="6"/>
    </row>
    <row r="239">
      <c r="A239" s="113" t="s">
        <v>1043</v>
      </c>
      <c r="B239" s="113" t="s">
        <v>1044</v>
      </c>
      <c r="C239" s="113" t="s">
        <v>1045</v>
      </c>
      <c r="D239" s="93">
        <f t="shared" si="1"/>
        <v>-0.2740034113</v>
      </c>
      <c r="E239" s="113" t="s">
        <v>1047</v>
      </c>
      <c r="F239" s="107" t="s">
        <v>1043</v>
      </c>
      <c r="G239" s="95">
        <f t="shared" si="2"/>
        <v>229.5972284</v>
      </c>
      <c r="H239" s="6">
        <f>(478973330000*5198.664559)/10000</f>
        <v>249002167538</v>
      </c>
      <c r="I239" s="120">
        <v>2019.0</v>
      </c>
      <c r="J239" s="101" t="s">
        <v>1020</v>
      </c>
      <c r="K239" s="6">
        <v>42.73</v>
      </c>
      <c r="L239" s="6">
        <v>36.925</v>
      </c>
      <c r="M239" s="99">
        <v>11.3076296512967</v>
      </c>
      <c r="N239" s="99">
        <v>11.3396223992414</v>
      </c>
      <c r="O239" s="113" t="s">
        <v>1046</v>
      </c>
      <c r="P239" s="6"/>
      <c r="Q239" s="6"/>
      <c r="R239" s="6"/>
      <c r="S239" s="6"/>
      <c r="T239" s="6"/>
    </row>
    <row r="240">
      <c r="A240" s="113" t="s">
        <v>1048</v>
      </c>
      <c r="B240" s="113" t="s">
        <v>1049</v>
      </c>
      <c r="C240" s="113" t="s">
        <v>1050</v>
      </c>
      <c r="D240" s="93">
        <f t="shared" si="1"/>
        <v>-0.0593579493</v>
      </c>
      <c r="E240" s="113" t="s">
        <v>1052</v>
      </c>
      <c r="F240" s="107" t="s">
        <v>1048</v>
      </c>
      <c r="G240" s="95">
        <f t="shared" si="2"/>
        <v>432.0630694</v>
      </c>
      <c r="H240" s="6">
        <f>(11216.8192*478973330000)/10000</f>
        <v>537255724423</v>
      </c>
      <c r="I240" s="120">
        <v>2018.0</v>
      </c>
      <c r="J240" s="101" t="s">
        <v>1020</v>
      </c>
      <c r="K240" s="6">
        <v>36.925</v>
      </c>
      <c r="L240" s="6">
        <v>32.1</v>
      </c>
      <c r="M240" s="99">
        <v>11.3396223992414</v>
      </c>
      <c r="N240" s="99">
        <v>12.4741307475021</v>
      </c>
      <c r="O240" s="113" t="s">
        <v>1051</v>
      </c>
      <c r="P240" s="6"/>
      <c r="Q240" s="6"/>
      <c r="R240" s="6"/>
      <c r="S240" s="6"/>
      <c r="T240" s="6"/>
    </row>
    <row r="241">
      <c r="A241" s="113" t="s">
        <v>1053</v>
      </c>
      <c r="B241" s="113" t="s">
        <v>1054</v>
      </c>
      <c r="C241" s="113" t="s">
        <v>1055</v>
      </c>
      <c r="D241" s="93">
        <f t="shared" si="1"/>
        <v>0.01888350196</v>
      </c>
      <c r="E241" s="113" t="s">
        <v>1057</v>
      </c>
      <c r="F241" s="107" t="s">
        <v>1053</v>
      </c>
      <c r="G241" s="95">
        <f t="shared" si="2"/>
        <v>346.9326131</v>
      </c>
      <c r="H241" s="6">
        <f>(478973330000*8953.106478)/10000</f>
        <v>428829922361</v>
      </c>
      <c r="I241" s="120">
        <v>2017.0</v>
      </c>
      <c r="J241" s="101" t="s">
        <v>1020</v>
      </c>
      <c r="K241" s="6">
        <v>32.1</v>
      </c>
      <c r="L241" s="6">
        <v>28.5</v>
      </c>
      <c r="M241" s="99">
        <v>12.4741307475021</v>
      </c>
      <c r="N241" s="99">
        <v>14.0523361024415</v>
      </c>
      <c r="O241" s="113" t="s">
        <v>1056</v>
      </c>
      <c r="P241" s="6"/>
      <c r="Q241" s="6"/>
      <c r="R241" s="6"/>
      <c r="S241" s="6"/>
      <c r="T241" s="6"/>
    </row>
    <row r="242">
      <c r="A242" s="113" t="s">
        <v>1058</v>
      </c>
      <c r="B242" s="113" t="s">
        <v>1059</v>
      </c>
      <c r="C242" s="113" t="s">
        <v>1060</v>
      </c>
      <c r="D242" s="93">
        <f t="shared" si="1"/>
        <v>0.0002024833483</v>
      </c>
      <c r="E242" s="113" t="s">
        <v>1062</v>
      </c>
      <c r="F242" s="107" t="s">
        <v>1058</v>
      </c>
      <c r="G242" s="95">
        <f t="shared" si="2"/>
        <v>295.5837444</v>
      </c>
      <c r="H242" s="6">
        <f>(435433060000*7913.555446)/10000</f>
        <v>344582366333</v>
      </c>
      <c r="I242" s="120">
        <v>2016.0</v>
      </c>
      <c r="J242" s="101" t="s">
        <v>1020</v>
      </c>
      <c r="K242" s="6">
        <v>28.5</v>
      </c>
      <c r="L242" s="6">
        <v>25.76</v>
      </c>
      <c r="M242" s="99">
        <v>14.0523361024415</v>
      </c>
      <c r="N242" s="99">
        <v>19.6496007142997</v>
      </c>
      <c r="O242" s="113" t="s">
        <v>1061</v>
      </c>
      <c r="P242" s="6"/>
      <c r="Q242" s="6"/>
      <c r="R242" s="6"/>
      <c r="S242" s="6"/>
      <c r="T242" s="6"/>
    </row>
    <row r="243">
      <c r="A243" s="113" t="s">
        <v>1063</v>
      </c>
      <c r="B243" s="113" t="s">
        <v>1064</v>
      </c>
      <c r="C243" s="113" t="s">
        <v>1065</v>
      </c>
      <c r="D243" s="93">
        <f t="shared" si="1"/>
        <v>0.04466877459</v>
      </c>
      <c r="E243" s="113" t="s">
        <v>1067</v>
      </c>
      <c r="F243" s="107" t="s">
        <v>1063</v>
      </c>
      <c r="G243" s="95">
        <f t="shared" si="2"/>
        <v>236.8048637</v>
      </c>
      <c r="H243" s="6">
        <f>(435433060000*7332.484292)/10000</f>
        <v>319280607267</v>
      </c>
      <c r="I243" s="120">
        <v>2015.0</v>
      </c>
      <c r="J243" s="101" t="s">
        <v>1020</v>
      </c>
      <c r="K243" s="6">
        <v>25.76</v>
      </c>
      <c r="L243" s="101">
        <v>23.15</v>
      </c>
      <c r="M243" s="99">
        <v>19.6496007142997</v>
      </c>
      <c r="N243" s="99">
        <v>28.846600976154</v>
      </c>
      <c r="O243" s="113" t="s">
        <v>1066</v>
      </c>
      <c r="P243" s="6"/>
      <c r="Q243" s="6"/>
      <c r="R243" s="6"/>
      <c r="S243" s="6"/>
      <c r="T243" s="6"/>
    </row>
    <row r="244">
      <c r="A244" s="113" t="s">
        <v>1068</v>
      </c>
      <c r="B244" s="113" t="s">
        <v>1069</v>
      </c>
      <c r="C244" s="113" t="s">
        <v>1070</v>
      </c>
      <c r="D244" s="93">
        <f t="shared" si="1"/>
        <v>2.564535984</v>
      </c>
      <c r="E244" s="113" t="s">
        <v>1072</v>
      </c>
      <c r="F244" s="107" t="s">
        <v>1068</v>
      </c>
      <c r="G244" s="95">
        <f t="shared" si="2"/>
        <v>224.8898666</v>
      </c>
      <c r="H244" s="6">
        <f>(435433060000*8129.9657)/10000</f>
        <v>354005584245</v>
      </c>
      <c r="I244" s="120">
        <v>2014.0</v>
      </c>
      <c r="J244" s="101" t="s">
        <v>1020</v>
      </c>
      <c r="K244" s="101">
        <v>23.15</v>
      </c>
      <c r="L244" s="99"/>
      <c r="M244" s="99">
        <v>28.846600976154</v>
      </c>
      <c r="N244" s="6"/>
      <c r="O244" s="113" t="s">
        <v>1071</v>
      </c>
      <c r="P244" s="6"/>
      <c r="Q244" s="6"/>
      <c r="R244" s="6"/>
      <c r="S244" s="6"/>
      <c r="T244" s="6"/>
    </row>
    <row r="245">
      <c r="A245" s="113" t="s">
        <v>1073</v>
      </c>
      <c r="B245" s="113" t="s">
        <v>1074</v>
      </c>
      <c r="C245" s="113" t="s">
        <v>1075</v>
      </c>
      <c r="D245" s="93">
        <f t="shared" si="1"/>
        <v>-0.05041857708</v>
      </c>
      <c r="E245" s="113" t="s">
        <v>1078</v>
      </c>
      <c r="F245" s="107" t="s">
        <v>1073</v>
      </c>
      <c r="G245" s="95">
        <f t="shared" si="2"/>
        <v>2263.256829</v>
      </c>
      <c r="H245" s="38">
        <f>(1012063520000*32301.11841)/10000</f>
        <v>3269078359796</v>
      </c>
      <c r="I245" s="120">
        <v>2024.0</v>
      </c>
      <c r="J245" s="101" t="s">
        <v>1076</v>
      </c>
      <c r="K245" s="6">
        <v>72.75</v>
      </c>
      <c r="L245" s="6">
        <v>69.45</v>
      </c>
      <c r="M245" s="99">
        <v>23.6602096848236</v>
      </c>
      <c r="N245" s="99">
        <v>21.6148974043115</v>
      </c>
      <c r="O245" s="113" t="s">
        <v>1077</v>
      </c>
      <c r="P245" s="6"/>
      <c r="Q245" s="6"/>
      <c r="R245" s="6"/>
      <c r="S245" s="6"/>
      <c r="T245" s="6"/>
    </row>
    <row r="246">
      <c r="A246" s="113" t="s">
        <v>1079</v>
      </c>
      <c r="B246" s="113" t="s">
        <v>1080</v>
      </c>
      <c r="C246" s="113" t="s">
        <v>1081</v>
      </c>
      <c r="D246" s="93">
        <f t="shared" si="1"/>
        <v>-0.1138167814</v>
      </c>
      <c r="E246" s="113" t="s">
        <v>1083</v>
      </c>
      <c r="F246" s="107" t="s">
        <v>1079</v>
      </c>
      <c r="G246" s="95">
        <f t="shared" si="2"/>
        <v>1746.70706</v>
      </c>
      <c r="H246" s="6">
        <f>(1012063520000*26676.89698)/10000</f>
        <v>2699871426026</v>
      </c>
      <c r="I246" s="120">
        <v>2023.0</v>
      </c>
      <c r="J246" s="101" t="s">
        <v>1076</v>
      </c>
      <c r="K246" s="6">
        <v>69.45</v>
      </c>
      <c r="L246" s="6">
        <v>65.35</v>
      </c>
      <c r="M246" s="99">
        <v>21.6148974043115</v>
      </c>
      <c r="N246" s="99">
        <v>18.1756591237636</v>
      </c>
      <c r="O246" s="113" t="s">
        <v>1082</v>
      </c>
      <c r="P246" s="6"/>
      <c r="Q246" s="6"/>
      <c r="R246" s="6"/>
      <c r="S246" s="6"/>
      <c r="T246" s="6"/>
    </row>
    <row r="247">
      <c r="A247" s="113" t="s">
        <v>1084</v>
      </c>
      <c r="B247" s="113" t="s">
        <v>1085</v>
      </c>
      <c r="C247" s="113" t="s">
        <v>1086</v>
      </c>
      <c r="D247" s="93">
        <f t="shared" si="1"/>
        <v>0.1342094381</v>
      </c>
      <c r="E247" s="113" t="s">
        <v>1088</v>
      </c>
      <c r="F247" s="107" t="s">
        <v>1084</v>
      </c>
      <c r="G247" s="95">
        <f t="shared" si="2"/>
        <v>1061.190326</v>
      </c>
      <c r="H247" s="6">
        <f>(937102000000*20028.91052)/10000</f>
        <v>1876913210611</v>
      </c>
      <c r="I247" s="120">
        <v>2022.0</v>
      </c>
      <c r="J247" s="101" t="s">
        <v>1076</v>
      </c>
      <c r="K247" s="6">
        <v>65.35</v>
      </c>
      <c r="L247" s="6">
        <v>60.9</v>
      </c>
      <c r="M247" s="99">
        <v>18.1756591237636</v>
      </c>
      <c r="N247" s="99">
        <v>12.1839371970674</v>
      </c>
      <c r="O247" s="113" t="s">
        <v>1087</v>
      </c>
      <c r="P247" s="6"/>
      <c r="Q247" s="6"/>
      <c r="R247" s="6"/>
      <c r="S247" s="6"/>
      <c r="T247" s="6"/>
    </row>
    <row r="248">
      <c r="A248" s="113" t="s">
        <v>1089</v>
      </c>
      <c r="B248" s="113" t="s">
        <v>1090</v>
      </c>
      <c r="C248" s="113" t="s">
        <v>1091</v>
      </c>
      <c r="D248" s="93">
        <f t="shared" si="1"/>
        <v>0.5319996638</v>
      </c>
      <c r="E248" s="113" t="s">
        <v>1093</v>
      </c>
      <c r="F248" s="107" t="s">
        <v>1089</v>
      </c>
      <c r="G248" s="95">
        <f t="shared" si="2"/>
        <v>867.4351168</v>
      </c>
      <c r="H248" s="6">
        <f>(16957.50014*937102000000)/10000</f>
        <v>1589090729619</v>
      </c>
      <c r="I248" s="120">
        <v>2021.0</v>
      </c>
      <c r="J248" s="101" t="s">
        <v>1076</v>
      </c>
      <c r="K248" s="6">
        <v>60.9</v>
      </c>
      <c r="L248" s="6">
        <v>56.7</v>
      </c>
      <c r="M248" s="99">
        <v>12.1839371970674</v>
      </c>
      <c r="N248" s="99">
        <v>12.2738906719289</v>
      </c>
      <c r="O248" s="113" t="s">
        <v>1092</v>
      </c>
      <c r="P248" s="6"/>
      <c r="Q248" s="6"/>
      <c r="R248" s="6"/>
      <c r="S248" s="6"/>
      <c r="T248" s="6"/>
    </row>
    <row r="249">
      <c r="A249" s="113" t="s">
        <v>1094</v>
      </c>
      <c r="B249" s="113" t="s">
        <v>1095</v>
      </c>
      <c r="C249" s="113" t="s">
        <v>1096</v>
      </c>
      <c r="D249" s="93">
        <f t="shared" si="1"/>
        <v>-0.3322455688</v>
      </c>
      <c r="E249" s="113" t="s">
        <v>1098</v>
      </c>
      <c r="F249" s="107" t="s">
        <v>1094</v>
      </c>
      <c r="G249" s="95">
        <f t="shared" si="2"/>
        <v>756.5039325</v>
      </c>
      <c r="H249" s="6">
        <f>(937102000000*14726.12466)/10000</f>
        <v>1379988087114</v>
      </c>
      <c r="I249" s="120">
        <v>2020.0</v>
      </c>
      <c r="J249" s="101" t="s">
        <v>1076</v>
      </c>
      <c r="K249" s="6">
        <v>56.7</v>
      </c>
      <c r="L249" s="6">
        <v>51.85</v>
      </c>
      <c r="M249" s="99">
        <v>12.2738906719289</v>
      </c>
      <c r="N249" s="99">
        <v>11.3076296512967</v>
      </c>
      <c r="O249" s="113" t="s">
        <v>1097</v>
      </c>
      <c r="P249" s="6"/>
      <c r="Q249" s="6"/>
      <c r="R249" s="6"/>
      <c r="S249" s="6"/>
      <c r="T249" s="6"/>
    </row>
    <row r="250">
      <c r="A250" s="113" t="s">
        <v>1099</v>
      </c>
      <c r="B250" s="113" t="s">
        <v>1100</v>
      </c>
      <c r="C250" s="113" t="s">
        <v>1101</v>
      </c>
      <c r="D250" s="93">
        <f t="shared" si="1"/>
        <v>0.03833416838</v>
      </c>
      <c r="E250" s="113" t="s">
        <v>1103</v>
      </c>
      <c r="F250" s="107" t="s">
        <v>1099</v>
      </c>
      <c r="G250" s="95">
        <f t="shared" si="2"/>
        <v>570.142985</v>
      </c>
      <c r="H250" s="6">
        <f>(937102000000*12677.53088)/10000</f>
        <v>1188013954271</v>
      </c>
      <c r="I250" s="120">
        <v>2019.0</v>
      </c>
      <c r="J250" s="101" t="s">
        <v>1076</v>
      </c>
      <c r="K250" s="6">
        <v>51.85</v>
      </c>
      <c r="L250" s="6">
        <v>48.65</v>
      </c>
      <c r="M250" s="99">
        <v>11.3076296512967</v>
      </c>
      <c r="N250" s="99">
        <v>11.3396223992414</v>
      </c>
      <c r="O250" s="113" t="s">
        <v>1102</v>
      </c>
      <c r="P250" s="6"/>
      <c r="Q250" s="6"/>
      <c r="R250" s="6"/>
      <c r="S250" s="6"/>
      <c r="T250" s="6"/>
    </row>
    <row r="251">
      <c r="A251" s="113" t="s">
        <v>1104</v>
      </c>
      <c r="B251" s="113" t="s">
        <v>1105</v>
      </c>
      <c r="C251" s="113" t="s">
        <v>1106</v>
      </c>
      <c r="D251" s="93">
        <f t="shared" si="1"/>
        <v>0.003765895594</v>
      </c>
      <c r="E251" s="113" t="s">
        <v>1108</v>
      </c>
      <c r="F251" s="107" t="s">
        <v>1104</v>
      </c>
      <c r="G251" s="95">
        <f t="shared" si="2"/>
        <v>480.4694906</v>
      </c>
      <c r="H251" s="6">
        <f>(937102000000*11843.96047)/10000</f>
        <v>1109899904436</v>
      </c>
      <c r="I251" s="120">
        <v>2018.0</v>
      </c>
      <c r="J251" s="101" t="s">
        <v>1076</v>
      </c>
      <c r="K251" s="6">
        <v>48.65</v>
      </c>
      <c r="L251" s="6">
        <v>44.4</v>
      </c>
      <c r="M251" s="99">
        <v>11.3396223992414</v>
      </c>
      <c r="N251" s="99">
        <v>12.4741307475021</v>
      </c>
      <c r="O251" s="113" t="s">
        <v>1107</v>
      </c>
      <c r="P251" s="6"/>
      <c r="Q251" s="6"/>
      <c r="R251" s="6"/>
      <c r="S251" s="6"/>
      <c r="T251" s="6"/>
    </row>
    <row r="252">
      <c r="A252" s="113" t="s">
        <v>1109</v>
      </c>
      <c r="B252" s="113" t="s">
        <v>1110</v>
      </c>
      <c r="C252" s="113" t="s">
        <v>1111</v>
      </c>
      <c r="D252" s="93">
        <f t="shared" si="1"/>
        <v>0.2027364569</v>
      </c>
      <c r="E252" s="113" t="s">
        <v>1113</v>
      </c>
      <c r="F252" s="107" t="s">
        <v>1109</v>
      </c>
      <c r="G252" s="95">
        <f t="shared" si="2"/>
        <v>424.64996</v>
      </c>
      <c r="H252" s="6">
        <f>(937102000000*11193.38672/10000)</f>
        <v>1048934508209</v>
      </c>
      <c r="I252" s="120">
        <v>2017.0</v>
      </c>
      <c r="J252" s="101" t="s">
        <v>1076</v>
      </c>
      <c r="K252" s="6">
        <v>44.4</v>
      </c>
      <c r="L252" s="6">
        <v>36.65</v>
      </c>
      <c r="M252" s="99">
        <v>12.4741307475021</v>
      </c>
      <c r="N252" s="99">
        <v>14.0523361024415</v>
      </c>
      <c r="O252" s="113" t="s">
        <v>1112</v>
      </c>
      <c r="P252" s="6"/>
      <c r="Q252" s="6"/>
      <c r="R252" s="6"/>
      <c r="S252" s="6"/>
      <c r="T252" s="6"/>
    </row>
    <row r="253">
      <c r="A253" s="113" t="s">
        <v>1114</v>
      </c>
      <c r="B253" s="113" t="s">
        <v>1115</v>
      </c>
      <c r="C253" s="113" t="s">
        <v>1116</v>
      </c>
      <c r="D253" s="93">
        <f t="shared" si="1"/>
        <v>-0.1374151497</v>
      </c>
      <c r="E253" s="113" t="s">
        <v>1118</v>
      </c>
      <c r="F253" s="107" t="s">
        <v>1114</v>
      </c>
      <c r="G253" s="95">
        <f t="shared" si="2"/>
        <v>328.9215969</v>
      </c>
      <c r="H253" s="6">
        <f>(937102000000*9270.699133)/10000</f>
        <v>868759069893</v>
      </c>
      <c r="I253" s="120">
        <v>2016.0</v>
      </c>
      <c r="J253" s="101" t="s">
        <v>1076</v>
      </c>
      <c r="K253" s="6">
        <v>36.65</v>
      </c>
      <c r="L253" s="6">
        <v>35.0</v>
      </c>
      <c r="M253" s="99">
        <v>14.0523361024415</v>
      </c>
      <c r="N253" s="99">
        <v>19.6496007142997</v>
      </c>
      <c r="O253" s="113" t="s">
        <v>1117</v>
      </c>
      <c r="P253" s="6"/>
      <c r="Q253" s="6"/>
      <c r="R253" s="6"/>
      <c r="S253" s="6"/>
      <c r="T253" s="6"/>
    </row>
    <row r="254">
      <c r="A254" s="113" t="s">
        <v>1119</v>
      </c>
      <c r="B254" s="113" t="s">
        <v>1120</v>
      </c>
      <c r="C254" s="113" t="s">
        <v>1121</v>
      </c>
      <c r="D254" s="93">
        <f t="shared" si="1"/>
        <v>-0.002947961041</v>
      </c>
      <c r="E254" s="113" t="s">
        <v>1123</v>
      </c>
      <c r="F254" s="107" t="s">
        <v>1119</v>
      </c>
      <c r="G254" s="95">
        <f t="shared" si="2"/>
        <v>262.6576803</v>
      </c>
      <c r="H254" s="6">
        <f>(937102000000*8146.830446)/10000</f>
        <v>763441110461</v>
      </c>
      <c r="I254" s="120">
        <v>2015.0</v>
      </c>
      <c r="J254" s="101" t="s">
        <v>1076</v>
      </c>
      <c r="K254" s="6">
        <v>35.0</v>
      </c>
      <c r="L254" s="100">
        <v>34.55</v>
      </c>
      <c r="M254" s="99">
        <v>19.6496007142997</v>
      </c>
      <c r="N254" s="99">
        <v>28.846600976154</v>
      </c>
      <c r="O254" s="113" t="s">
        <v>1122</v>
      </c>
      <c r="P254" s="6"/>
      <c r="Q254" s="6"/>
      <c r="R254" s="6"/>
      <c r="S254" s="6"/>
      <c r="T254" s="6"/>
    </row>
    <row r="255">
      <c r="A255" s="113" t="s">
        <v>1124</v>
      </c>
      <c r="B255" s="113" t="s">
        <v>1125</v>
      </c>
      <c r="C255" s="113" t="s">
        <v>1126</v>
      </c>
      <c r="D255" s="93">
        <f t="shared" si="1"/>
        <v>0.5650001547</v>
      </c>
      <c r="E255" s="113" t="s">
        <v>1128</v>
      </c>
      <c r="F255" s="107" t="s">
        <v>1124</v>
      </c>
      <c r="G255" s="95">
        <f t="shared" si="2"/>
        <v>238.108694</v>
      </c>
      <c r="H255" s="6">
        <f>(937102000000*8124.088354)/10000</f>
        <v>761309944471</v>
      </c>
      <c r="I255" s="120">
        <v>2014.0</v>
      </c>
      <c r="J255" s="101" t="s">
        <v>1076</v>
      </c>
      <c r="K255" s="121">
        <v>34.55</v>
      </c>
      <c r="L255" s="6"/>
      <c r="M255" s="99">
        <v>28.846600976154</v>
      </c>
      <c r="N255" s="6"/>
      <c r="O255" s="113" t="s">
        <v>1127</v>
      </c>
      <c r="P255" s="6"/>
      <c r="Q255" s="6"/>
      <c r="R255" s="6"/>
      <c r="S255" s="6"/>
      <c r="T255" s="6"/>
    </row>
    <row r="256">
      <c r="A256" s="113" t="s">
        <v>1129</v>
      </c>
      <c r="B256" s="113" t="s">
        <v>1130</v>
      </c>
      <c r="C256" s="113" t="s">
        <v>1131</v>
      </c>
      <c r="D256" s="93">
        <f t="shared" si="1"/>
        <v>-0.06911226218</v>
      </c>
      <c r="E256" s="113" t="s">
        <v>1134</v>
      </c>
      <c r="F256" s="107" t="s">
        <v>1129</v>
      </c>
      <c r="G256" s="95">
        <f t="shared" si="2"/>
        <v>766.6763794</v>
      </c>
      <c r="H256" s="38">
        <f>(633317350000*10879.4532)/10000</f>
        <v>689014647007</v>
      </c>
      <c r="I256" s="120">
        <v>2024.0</v>
      </c>
      <c r="J256" s="101" t="s">
        <v>1132</v>
      </c>
      <c r="K256" s="6">
        <v>57.25</v>
      </c>
      <c r="L256" s="6">
        <v>56.0</v>
      </c>
      <c r="M256" s="99">
        <v>23.6602096848236</v>
      </c>
      <c r="N256" s="99">
        <v>21.6148974043115</v>
      </c>
      <c r="O256" s="113" t="s">
        <v>1133</v>
      </c>
      <c r="P256" s="6"/>
      <c r="Q256" s="6"/>
      <c r="R256" s="6"/>
      <c r="S256" s="6"/>
      <c r="T256" s="6"/>
    </row>
    <row r="257">
      <c r="A257" s="113" t="s">
        <v>1135</v>
      </c>
      <c r="B257" s="113" t="s">
        <v>1136</v>
      </c>
      <c r="C257" s="113" t="s">
        <v>1137</v>
      </c>
      <c r="D257" s="93">
        <f t="shared" si="1"/>
        <v>-0.001074315751</v>
      </c>
      <c r="E257" s="113" t="s">
        <v>1139</v>
      </c>
      <c r="F257" s="107" t="s">
        <v>1135</v>
      </c>
      <c r="G257" s="95">
        <f t="shared" si="2"/>
        <v>918.9050227</v>
      </c>
      <c r="H257" s="6">
        <f>(633317350000*13020.48407)/10000</f>
        <v>824609846693</v>
      </c>
      <c r="I257" s="120">
        <v>2023.0</v>
      </c>
      <c r="J257" s="101" t="s">
        <v>1132</v>
      </c>
      <c r="K257" s="6">
        <v>56.0</v>
      </c>
      <c r="L257" s="6">
        <v>52.55</v>
      </c>
      <c r="M257" s="99">
        <v>21.6148974043115</v>
      </c>
      <c r="N257" s="99">
        <v>18.1756591237636</v>
      </c>
      <c r="O257" s="113" t="s">
        <v>1138</v>
      </c>
      <c r="P257" s="6"/>
      <c r="Q257" s="6"/>
      <c r="R257" s="6"/>
      <c r="S257" s="6"/>
      <c r="T257" s="6"/>
    </row>
    <row r="258">
      <c r="A258" s="113" t="s">
        <v>1140</v>
      </c>
      <c r="B258" s="113" t="s">
        <v>1141</v>
      </c>
      <c r="C258" s="113" t="s">
        <v>1142</v>
      </c>
      <c r="D258" s="93">
        <f t="shared" si="1"/>
        <v>1.451853886</v>
      </c>
      <c r="E258" s="113" t="s">
        <v>1144</v>
      </c>
      <c r="F258" s="107" t="s">
        <v>1140</v>
      </c>
      <c r="G258" s="95">
        <f t="shared" si="2"/>
        <v>911.671486</v>
      </c>
      <c r="H258" s="6">
        <f>(633317350000*12337.80249)/10000</f>
        <v>781374437779</v>
      </c>
      <c r="I258" s="120">
        <v>2022.0</v>
      </c>
      <c r="J258" s="101" t="s">
        <v>1132</v>
      </c>
      <c r="K258" s="6">
        <v>52.55</v>
      </c>
      <c r="L258" s="6">
        <v>49.1</v>
      </c>
      <c r="M258" s="99">
        <v>18.1756591237636</v>
      </c>
      <c r="N258" s="99">
        <v>12.1839371970674</v>
      </c>
      <c r="O258" s="113" t="s">
        <v>1143</v>
      </c>
      <c r="P258" s="6"/>
      <c r="Q258" s="6"/>
      <c r="R258" s="6"/>
      <c r="S258" s="6"/>
      <c r="T258" s="6"/>
    </row>
    <row r="259">
      <c r="A259" s="113" t="s">
        <v>1145</v>
      </c>
      <c r="B259" s="113" t="s">
        <v>1146</v>
      </c>
      <c r="C259" s="113" t="s">
        <v>1147</v>
      </c>
      <c r="D259" s="93">
        <f t="shared" si="1"/>
        <v>-0.4507478384</v>
      </c>
      <c r="E259" s="113" t="s">
        <v>1149</v>
      </c>
      <c r="F259" s="107" t="s">
        <v>1145</v>
      </c>
      <c r="G259" s="95">
        <f t="shared" si="2"/>
        <v>1166.785416</v>
      </c>
      <c r="H259" s="6">
        <f>(633317350000*14951.01761)/10000</f>
        <v>946873885257</v>
      </c>
      <c r="I259" s="120">
        <v>2021.0</v>
      </c>
      <c r="J259" s="101" t="s">
        <v>1132</v>
      </c>
      <c r="K259" s="6">
        <v>49.1</v>
      </c>
      <c r="L259" s="6">
        <v>48.1</v>
      </c>
      <c r="M259" s="99">
        <v>12.1839371970674</v>
      </c>
      <c r="N259" s="99">
        <v>12.2738906719289</v>
      </c>
      <c r="O259" s="113" t="s">
        <v>1148</v>
      </c>
      <c r="P259" s="6"/>
      <c r="Q259" s="6"/>
      <c r="R259" s="6"/>
      <c r="S259" s="6"/>
      <c r="T259" s="6"/>
    </row>
    <row r="260">
      <c r="A260" s="113" t="s">
        <v>1150</v>
      </c>
      <c r="B260" s="113" t="s">
        <v>1151</v>
      </c>
      <c r="C260" s="113" t="s">
        <v>1152</v>
      </c>
      <c r="D260" s="93">
        <f t="shared" si="1"/>
        <v>-0.3268956177</v>
      </c>
      <c r="E260" s="113" t="s">
        <v>1154</v>
      </c>
      <c r="F260" s="107" t="s">
        <v>1150</v>
      </c>
      <c r="G260" s="95">
        <f t="shared" si="2"/>
        <v>717.5402939</v>
      </c>
      <c r="H260" s="6">
        <f>(633317350000*10026.21649)/10000</f>
        <v>634977685797</v>
      </c>
      <c r="I260" s="120">
        <v>2020.0</v>
      </c>
      <c r="J260" s="101" t="s">
        <v>1132</v>
      </c>
      <c r="K260" s="6">
        <v>48.1</v>
      </c>
      <c r="L260" s="6">
        <v>43.6</v>
      </c>
      <c r="M260" s="99">
        <v>12.2738906719289</v>
      </c>
      <c r="N260" s="99">
        <v>11.3076296512967</v>
      </c>
      <c r="O260" s="113" t="s">
        <v>1153</v>
      </c>
      <c r="P260" s="6"/>
      <c r="Q260" s="6"/>
      <c r="R260" s="6"/>
      <c r="S260" s="6"/>
      <c r="T260" s="6"/>
    </row>
    <row r="261">
      <c r="A261" s="113" t="s">
        <v>1155</v>
      </c>
      <c r="B261" s="113" t="s">
        <v>1156</v>
      </c>
      <c r="C261" s="113" t="s">
        <v>1157</v>
      </c>
      <c r="D261" s="93">
        <f t="shared" si="1"/>
        <v>0.02186657936</v>
      </c>
      <c r="E261" s="113" t="s">
        <v>1159</v>
      </c>
      <c r="F261" s="107" t="s">
        <v>1155</v>
      </c>
      <c r="G261" s="95">
        <f t="shared" si="2"/>
        <v>590.2786026</v>
      </c>
      <c r="H261" s="6">
        <f>(575749560000*9531.577541)/10000</f>
        <v>548780157534</v>
      </c>
      <c r="I261" s="120">
        <v>2019.0</v>
      </c>
      <c r="J261" s="101" t="s">
        <v>1132</v>
      </c>
      <c r="K261" s="6">
        <v>43.6</v>
      </c>
      <c r="L261" s="6">
        <v>39.9</v>
      </c>
      <c r="M261" s="99">
        <v>11.3076296512967</v>
      </c>
      <c r="N261" s="99">
        <v>11.3396223992414</v>
      </c>
      <c r="O261" s="113" t="s">
        <v>1158</v>
      </c>
      <c r="P261" s="6"/>
      <c r="Q261" s="6"/>
      <c r="R261" s="6"/>
      <c r="S261" s="6"/>
      <c r="T261" s="6"/>
    </row>
    <row r="262">
      <c r="A262" s="113" t="s">
        <v>1160</v>
      </c>
      <c r="B262" s="113" t="s">
        <v>1161</v>
      </c>
      <c r="C262" s="113" t="s">
        <v>1162</v>
      </c>
      <c r="D262" s="93">
        <f t="shared" si="1"/>
        <v>0.1019579108</v>
      </c>
      <c r="E262" s="113" t="s">
        <v>1164</v>
      </c>
      <c r="F262" s="107" t="s">
        <v>1160</v>
      </c>
      <c r="G262" s="95">
        <f t="shared" si="2"/>
        <v>598.2161102</v>
      </c>
      <c r="H262" s="6">
        <f>(479794370000*11114.137)/10000</f>
        <v>533250036001</v>
      </c>
      <c r="I262" s="120">
        <v>2018.0</v>
      </c>
      <c r="J262" s="101" t="s">
        <v>1132</v>
      </c>
      <c r="K262" s="6">
        <v>39.9</v>
      </c>
      <c r="L262" s="6">
        <v>36.0</v>
      </c>
      <c r="M262" s="99">
        <v>11.3396223992414</v>
      </c>
      <c r="N262" s="99">
        <v>12.4741307475021</v>
      </c>
      <c r="O262" s="113" t="s">
        <v>1163</v>
      </c>
      <c r="P262" s="6"/>
      <c r="Q262" s="6"/>
      <c r="R262" s="6"/>
      <c r="S262" s="6"/>
      <c r="T262" s="6"/>
    </row>
    <row r="263">
      <c r="A263" s="113" t="s">
        <v>1165</v>
      </c>
      <c r="B263" s="113" t="s">
        <v>1166</v>
      </c>
      <c r="C263" s="113" t="s">
        <v>1167</v>
      </c>
      <c r="D263" s="93">
        <f t="shared" si="1"/>
        <v>0.1287975205</v>
      </c>
      <c r="E263" s="113" t="s">
        <v>1169</v>
      </c>
      <c r="F263" s="107" t="s">
        <v>1165</v>
      </c>
      <c r="G263" s="95">
        <f t="shared" si="2"/>
        <v>656.5771655</v>
      </c>
      <c r="H263" s="6">
        <f>(342712420000*15818.26466)/10000</f>
        <v>542111576183</v>
      </c>
      <c r="I263" s="120">
        <v>2017.0</v>
      </c>
      <c r="J263" s="101" t="s">
        <v>1132</v>
      </c>
      <c r="K263" s="6">
        <v>36.0</v>
      </c>
      <c r="L263" s="6">
        <v>32.4</v>
      </c>
      <c r="M263" s="99">
        <v>12.4741307475021</v>
      </c>
      <c r="N263" s="99">
        <v>14.0523361024415</v>
      </c>
      <c r="O263" s="113" t="s">
        <v>1168</v>
      </c>
      <c r="P263" s="6"/>
      <c r="Q263" s="6"/>
      <c r="R263" s="6"/>
      <c r="S263" s="6"/>
      <c r="T263" s="6"/>
    </row>
    <row r="264">
      <c r="A264" s="113" t="s">
        <v>1170</v>
      </c>
      <c r="B264" s="113" t="s">
        <v>1171</v>
      </c>
      <c r="C264" s="113" t="s">
        <v>1172</v>
      </c>
      <c r="D264" s="93">
        <f t="shared" si="1"/>
        <v>0.1663738144</v>
      </c>
      <c r="E264" s="113" t="s">
        <v>1174</v>
      </c>
      <c r="F264" s="107" t="s">
        <v>1170</v>
      </c>
      <c r="G264" s="95">
        <f t="shared" si="2"/>
        <v>894.4488845</v>
      </c>
      <c r="H264" s="6">
        <f>(244795850000*26115.63804)/10000</f>
        <v>639299981229</v>
      </c>
      <c r="I264" s="120">
        <v>2016.0</v>
      </c>
      <c r="J264" s="101" t="s">
        <v>1132</v>
      </c>
      <c r="K264" s="6">
        <v>32.4</v>
      </c>
      <c r="L264" s="6">
        <v>29.15</v>
      </c>
      <c r="M264" s="99">
        <v>14.0523361024415</v>
      </c>
      <c r="N264" s="99">
        <v>19.6496007142997</v>
      </c>
      <c r="O264" s="113" t="s">
        <v>1173</v>
      </c>
      <c r="P264" s="6"/>
      <c r="Q264" s="6"/>
      <c r="R264" s="6"/>
      <c r="S264" s="6"/>
      <c r="T264" s="6"/>
    </row>
    <row r="265">
      <c r="A265" s="113" t="s">
        <v>1175</v>
      </c>
      <c r="B265" s="113" t="s">
        <v>1176</v>
      </c>
      <c r="C265" s="113" t="s">
        <v>1177</v>
      </c>
      <c r="D265" s="93">
        <f t="shared" si="1"/>
        <v>0.3629611508</v>
      </c>
      <c r="E265" s="113" t="s">
        <v>1179</v>
      </c>
      <c r="F265" s="107" t="s">
        <v>1175</v>
      </c>
      <c r="G265" s="95">
        <f t="shared" si="2"/>
        <v>832.6147447</v>
      </c>
      <c r="H265" s="6">
        <f>(199997920000*21953.21032)/10000</f>
        <v>439059640132</v>
      </c>
      <c r="I265" s="120">
        <v>2015.0</v>
      </c>
      <c r="J265" s="101" t="s">
        <v>1132</v>
      </c>
      <c r="K265" s="6">
        <v>29.15</v>
      </c>
      <c r="L265" s="100">
        <v>28.45</v>
      </c>
      <c r="M265" s="99">
        <v>19.6496007142997</v>
      </c>
      <c r="N265" s="99">
        <v>28.846600976154</v>
      </c>
      <c r="O265" s="113" t="s">
        <v>1178</v>
      </c>
      <c r="P265" s="6"/>
      <c r="Q265" s="6"/>
      <c r="R265" s="6"/>
      <c r="S265" s="6"/>
      <c r="T265" s="6"/>
    </row>
    <row r="266">
      <c r="A266" s="113" t="s">
        <v>1180</v>
      </c>
      <c r="B266" s="113" t="s">
        <v>1181</v>
      </c>
      <c r="C266" s="113" t="s">
        <v>1182</v>
      </c>
      <c r="D266" s="122">
        <v>0.0</v>
      </c>
      <c r="E266" s="113" t="s">
        <v>1184</v>
      </c>
      <c r="F266" s="107" t="s">
        <v>1180</v>
      </c>
      <c r="G266" s="95">
        <f t="shared" si="2"/>
        <v>506.5762864</v>
      </c>
      <c r="H266" s="6">
        <f>(199997920000*8997.217796)/10000</f>
        <v>179942484499</v>
      </c>
      <c r="I266" s="120">
        <v>2014.0</v>
      </c>
      <c r="J266" s="101" t="s">
        <v>1132</v>
      </c>
      <c r="K266" s="101">
        <v>28.45</v>
      </c>
      <c r="L266" s="99"/>
      <c r="M266" s="99">
        <v>28.846600976154</v>
      </c>
      <c r="N266" s="6"/>
      <c r="O266" s="113" t="s">
        <v>1183</v>
      </c>
      <c r="P266" s="6"/>
      <c r="Q266" s="6"/>
      <c r="R266" s="6"/>
      <c r="S266" s="6"/>
      <c r="T266" s="6"/>
    </row>
    <row r="267">
      <c r="A267" s="69">
        <v>2.2723949687E8</v>
      </c>
      <c r="B267" s="6"/>
      <c r="C267" s="69">
        <v>2.806129355E7</v>
      </c>
      <c r="D267" s="71"/>
      <c r="E267" s="72"/>
      <c r="F267" s="6"/>
      <c r="G267" s="6"/>
      <c r="H267" s="6"/>
      <c r="I267" s="6"/>
      <c r="J267" s="6"/>
      <c r="K267" s="6"/>
      <c r="L267" s="6"/>
      <c r="M267" s="6"/>
      <c r="N267" s="6"/>
      <c r="O267" s="69">
        <v>604046.24</v>
      </c>
      <c r="P267" s="6"/>
      <c r="Q267" s="6"/>
      <c r="R267" s="6"/>
      <c r="S267" s="6"/>
      <c r="T267" s="6"/>
    </row>
    <row r="268">
      <c r="A268" s="69">
        <v>2.321775482E8</v>
      </c>
      <c r="B268" s="6"/>
      <c r="C268" s="69">
        <v>3.589332654E7</v>
      </c>
      <c r="D268" s="71"/>
      <c r="E268" s="72"/>
      <c r="F268" s="6"/>
      <c r="G268" s="6"/>
      <c r="H268" s="6"/>
      <c r="I268" s="6"/>
      <c r="J268" s="6"/>
      <c r="K268" s="6"/>
      <c r="L268" s="6"/>
      <c r="M268" s="6"/>
      <c r="N268" s="6"/>
      <c r="O268" s="69">
        <v>76197.17</v>
      </c>
      <c r="P268" s="6"/>
      <c r="Q268" s="6"/>
      <c r="R268" s="6"/>
      <c r="S268" s="6"/>
      <c r="T268" s="6"/>
    </row>
    <row r="269">
      <c r="A269" s="69">
        <v>2.8939078946E8</v>
      </c>
      <c r="B269" s="6"/>
      <c r="C269" s="69">
        <v>2.31336527E7</v>
      </c>
      <c r="D269" s="71"/>
      <c r="E269" s="72"/>
      <c r="F269" s="6"/>
      <c r="G269" s="6"/>
      <c r="H269" s="6"/>
      <c r="I269" s="6"/>
      <c r="J269" s="6"/>
      <c r="K269" s="6"/>
      <c r="L269" s="6"/>
      <c r="M269" s="6"/>
      <c r="N269" s="6"/>
      <c r="O269" s="69">
        <v>196405.39</v>
      </c>
      <c r="P269" s="6"/>
      <c r="Q269" s="6"/>
      <c r="R269" s="6"/>
      <c r="S269" s="6"/>
      <c r="T269" s="6"/>
    </row>
    <row r="270">
      <c r="A270" s="69">
        <v>3.1775389288E8</v>
      </c>
      <c r="B270" s="6"/>
      <c r="C270" s="69">
        <v>1.770275522E7</v>
      </c>
      <c r="D270" s="71"/>
      <c r="E270" s="72"/>
      <c r="F270" s="6"/>
      <c r="G270" s="6"/>
      <c r="H270" s="6"/>
      <c r="I270" s="6"/>
      <c r="J270" s="6"/>
      <c r="K270" s="6"/>
      <c r="L270" s="6"/>
      <c r="M270" s="6"/>
      <c r="N270" s="6"/>
      <c r="O270" s="69">
        <v>3746406.17</v>
      </c>
      <c r="P270" s="6"/>
      <c r="Q270" s="6"/>
      <c r="R270" s="6"/>
      <c r="S270" s="6"/>
      <c r="T270" s="6"/>
    </row>
    <row r="271">
      <c r="A271" s="69">
        <v>3.949139422E8</v>
      </c>
      <c r="B271" s="6"/>
      <c r="C271" s="69">
        <v>3.091478172E7</v>
      </c>
      <c r="D271" s="71"/>
      <c r="E271" s="72"/>
      <c r="F271" s="6"/>
      <c r="G271" s="6"/>
      <c r="H271" s="6"/>
      <c r="I271" s="6"/>
      <c r="J271" s="6"/>
      <c r="K271" s="6"/>
      <c r="L271" s="6"/>
      <c r="M271" s="6"/>
      <c r="N271" s="6"/>
      <c r="O271" s="69">
        <v>4118222.78</v>
      </c>
      <c r="P271" s="6"/>
      <c r="Q271" s="6"/>
      <c r="R271" s="6"/>
      <c r="S271" s="6"/>
      <c r="T271" s="6"/>
    </row>
    <row r="272">
      <c r="A272" s="69">
        <v>4.6389293999E8</v>
      </c>
      <c r="B272" s="6"/>
      <c r="C272" s="69">
        <v>5.306313568E7</v>
      </c>
      <c r="D272" s="71"/>
      <c r="E272" s="72"/>
      <c r="F272" s="6"/>
      <c r="G272" s="6"/>
      <c r="H272" s="6"/>
      <c r="I272" s="6"/>
      <c r="J272" s="6"/>
      <c r="K272" s="6"/>
      <c r="L272" s="6"/>
      <c r="M272" s="6"/>
      <c r="N272" s="6"/>
      <c r="O272" s="69">
        <v>6286763.0</v>
      </c>
      <c r="P272" s="6"/>
      <c r="Q272" s="6"/>
      <c r="R272" s="6"/>
      <c r="S272" s="6"/>
      <c r="T272" s="6"/>
    </row>
    <row r="273">
      <c r="A273" s="69">
        <v>5.3502158416E8</v>
      </c>
      <c r="B273" s="6"/>
      <c r="C273" s="69">
        <v>4.314710838E7</v>
      </c>
      <c r="D273" s="71"/>
      <c r="E273" s="72"/>
      <c r="F273" s="6"/>
      <c r="G273" s="6"/>
      <c r="H273" s="6"/>
      <c r="I273" s="6"/>
      <c r="J273" s="6"/>
      <c r="K273" s="6"/>
      <c r="L273" s="6"/>
      <c r="M273" s="6"/>
      <c r="N273" s="6"/>
      <c r="O273" s="73">
        <v>-3813478.62</v>
      </c>
      <c r="P273" s="6"/>
      <c r="Q273" s="6"/>
      <c r="R273" s="6"/>
      <c r="S273" s="6"/>
      <c r="T273" s="6"/>
    </row>
    <row r="274">
      <c r="A274" s="69">
        <v>6.6884330976E8</v>
      </c>
      <c r="B274" s="6"/>
      <c r="C274" s="69">
        <v>1.0883867506E8</v>
      </c>
      <c r="D274" s="71"/>
      <c r="E274" s="72"/>
      <c r="F274" s="6"/>
      <c r="G274" s="6"/>
      <c r="H274" s="6"/>
      <c r="I274" s="6"/>
      <c r="J274" s="6"/>
      <c r="K274" s="6"/>
      <c r="L274" s="6"/>
      <c r="M274" s="6"/>
      <c r="N274" s="6"/>
      <c r="O274" s="69">
        <v>9968271.67</v>
      </c>
      <c r="P274" s="6"/>
      <c r="Q274" s="6"/>
      <c r="R274" s="6"/>
      <c r="S274" s="6"/>
      <c r="T274" s="6"/>
    </row>
    <row r="275">
      <c r="A275" s="69">
        <v>7.4901218855E8</v>
      </c>
      <c r="B275" s="6"/>
      <c r="C275" s="69">
        <v>1.2941220313E8</v>
      </c>
      <c r="D275" s="71"/>
      <c r="E275" s="72"/>
      <c r="F275" s="6"/>
      <c r="G275" s="6"/>
      <c r="H275" s="6"/>
      <c r="I275" s="6"/>
      <c r="J275" s="6"/>
      <c r="K275" s="6"/>
      <c r="L275" s="6"/>
      <c r="M275" s="6"/>
      <c r="N275" s="6"/>
      <c r="O275" s="69">
        <v>8064748.22</v>
      </c>
      <c r="P275" s="6"/>
      <c r="Q275" s="6"/>
      <c r="R275" s="6"/>
      <c r="S275" s="6"/>
      <c r="T275" s="6"/>
    </row>
    <row r="276">
      <c r="A276" s="69">
        <v>7.0889462113E8</v>
      </c>
      <c r="B276" s="6"/>
      <c r="C276" s="69">
        <v>9.993639116E7</v>
      </c>
      <c r="D276" s="71"/>
      <c r="E276" s="72"/>
      <c r="F276" s="6"/>
      <c r="G276" s="6"/>
      <c r="H276" s="6"/>
      <c r="I276" s="6"/>
      <c r="J276" s="6"/>
      <c r="K276" s="6"/>
      <c r="L276" s="6"/>
      <c r="M276" s="6"/>
      <c r="N276" s="6"/>
      <c r="O276" s="69">
        <v>1332721.13</v>
      </c>
      <c r="P276" s="6"/>
      <c r="Q276" s="6"/>
      <c r="R276" s="6"/>
      <c r="S276" s="6"/>
      <c r="T276" s="6"/>
    </row>
    <row r="277">
      <c r="A277" s="69">
        <v>6.3436759762E8</v>
      </c>
      <c r="B277" s="6"/>
      <c r="C277" s="69">
        <v>1.4186197392E8</v>
      </c>
      <c r="D277" s="71"/>
      <c r="E277" s="72"/>
      <c r="F277" s="6"/>
      <c r="G277" s="6"/>
      <c r="H277" s="6"/>
      <c r="I277" s="6"/>
      <c r="J277" s="6"/>
      <c r="K277" s="6"/>
      <c r="L277" s="6"/>
      <c r="M277" s="6"/>
      <c r="N277" s="6"/>
      <c r="O277" s="69">
        <v>1497515.31</v>
      </c>
      <c r="P277" s="6"/>
      <c r="Q277" s="6"/>
      <c r="R277" s="6"/>
      <c r="S277" s="6"/>
      <c r="T277" s="6"/>
    </row>
    <row r="278">
      <c r="A278" s="6"/>
      <c r="B278" s="6"/>
      <c r="C278" s="74"/>
      <c r="D278" s="71"/>
      <c r="E278" s="72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75">
        <v>8.99930092029E9</v>
      </c>
      <c r="B279" s="6"/>
      <c r="C279" s="76">
        <v>3.58633245101E9</v>
      </c>
      <c r="D279" s="71"/>
      <c r="E279" s="72"/>
      <c r="F279" s="6"/>
      <c r="G279" s="6"/>
      <c r="H279" s="6"/>
      <c r="I279" s="6"/>
      <c r="J279" s="6"/>
      <c r="K279" s="6"/>
      <c r="L279" s="6"/>
      <c r="M279" s="6"/>
      <c r="N279" s="6"/>
      <c r="O279" s="75">
        <v>4.6068261998E8</v>
      </c>
      <c r="P279" s="6"/>
      <c r="Q279" s="6"/>
      <c r="R279" s="6"/>
      <c r="S279" s="6"/>
      <c r="T279" s="6"/>
    </row>
    <row r="280">
      <c r="A280" s="75">
        <v>1.012120041691E10</v>
      </c>
      <c r="B280" s="6"/>
      <c r="C280" s="76">
        <v>3.74166888112E9</v>
      </c>
      <c r="D280" s="71"/>
      <c r="E280" s="72"/>
      <c r="F280" s="6"/>
      <c r="G280" s="6"/>
      <c r="H280" s="6"/>
      <c r="I280" s="6"/>
      <c r="J280" s="6"/>
      <c r="K280" s="6"/>
      <c r="L280" s="6"/>
      <c r="M280" s="6"/>
      <c r="N280" s="6"/>
      <c r="O280" s="75">
        <v>4.4373479102E8</v>
      </c>
      <c r="P280" s="6"/>
      <c r="Q280" s="6"/>
      <c r="R280" s="6"/>
      <c r="S280" s="6"/>
      <c r="T280" s="6"/>
    </row>
    <row r="281">
      <c r="A281" s="75">
        <v>1.129121720727E10</v>
      </c>
      <c r="B281" s="6"/>
      <c r="C281" s="76">
        <v>3.98396267661E9</v>
      </c>
      <c r="D281" s="71"/>
      <c r="E281" s="72"/>
      <c r="F281" s="6"/>
      <c r="G281" s="6"/>
      <c r="H281" s="6"/>
      <c r="I281" s="6"/>
      <c r="J281" s="6"/>
      <c r="K281" s="6"/>
      <c r="L281" s="6"/>
      <c r="M281" s="6"/>
      <c r="N281" s="6"/>
      <c r="O281" s="75">
        <v>5.8143627687E8</v>
      </c>
      <c r="P281" s="6"/>
      <c r="Q281" s="6"/>
      <c r="R281" s="6"/>
      <c r="S281" s="6"/>
      <c r="T281" s="6"/>
    </row>
    <row r="282">
      <c r="A282" s="75">
        <v>9.98406324412E9</v>
      </c>
      <c r="B282" s="6"/>
      <c r="C282" s="76">
        <v>2.70755639074E9</v>
      </c>
      <c r="D282" s="71"/>
      <c r="E282" s="72"/>
      <c r="F282" s="6"/>
      <c r="G282" s="6"/>
      <c r="H282" s="6"/>
      <c r="I282" s="6"/>
      <c r="J282" s="6"/>
      <c r="K282" s="6"/>
      <c r="L282" s="6"/>
      <c r="M282" s="6"/>
      <c r="N282" s="6"/>
      <c r="O282" s="75">
        <v>1.9002504254E9</v>
      </c>
      <c r="P282" s="6"/>
      <c r="Q282" s="6"/>
      <c r="R282" s="6"/>
      <c r="S282" s="6"/>
      <c r="T282" s="6"/>
    </row>
    <row r="283">
      <c r="A283" s="75">
        <v>1.0119906897E10</v>
      </c>
      <c r="B283" s="6"/>
      <c r="C283" s="76">
        <v>2.6429139262E9</v>
      </c>
      <c r="D283" s="71"/>
      <c r="E283" s="72"/>
      <c r="F283" s="6"/>
      <c r="G283" s="6"/>
      <c r="H283" s="6"/>
      <c r="I283" s="6"/>
      <c r="J283" s="6"/>
      <c r="K283" s="6"/>
      <c r="L283" s="6"/>
      <c r="M283" s="6"/>
      <c r="N283" s="6"/>
      <c r="O283" s="75">
        <v>6.13569052E8</v>
      </c>
      <c r="P283" s="6"/>
      <c r="Q283" s="6"/>
      <c r="R283" s="6"/>
      <c r="S283" s="6"/>
      <c r="T283" s="6"/>
    </row>
    <row r="284">
      <c r="A284" s="75">
        <v>9.83454420727E9</v>
      </c>
      <c r="B284" s="6"/>
      <c r="C284" s="76">
        <v>2.60566636983E9</v>
      </c>
      <c r="D284" s="71"/>
      <c r="E284" s="72"/>
      <c r="F284" s="6"/>
      <c r="G284" s="6"/>
      <c r="H284" s="6"/>
      <c r="I284" s="6"/>
      <c r="J284" s="6"/>
      <c r="K284" s="6"/>
      <c r="L284" s="6"/>
      <c r="M284" s="6"/>
      <c r="N284" s="6"/>
      <c r="O284" s="75">
        <v>4.4047575437E8</v>
      </c>
      <c r="P284" s="6"/>
      <c r="Q284" s="6"/>
      <c r="R284" s="6"/>
      <c r="S284" s="6"/>
      <c r="T284" s="6"/>
    </row>
    <row r="285">
      <c r="A285" s="75">
        <v>1.073121106328E10</v>
      </c>
      <c r="B285" s="6"/>
      <c r="C285" s="76">
        <v>3.20629016533E9</v>
      </c>
      <c r="D285" s="71"/>
      <c r="E285" s="72"/>
      <c r="F285" s="6"/>
      <c r="G285" s="6"/>
      <c r="H285" s="6"/>
      <c r="I285" s="6"/>
      <c r="J285" s="6"/>
      <c r="K285" s="6"/>
      <c r="L285" s="6"/>
      <c r="M285" s="6"/>
      <c r="N285" s="6"/>
      <c r="O285" s="75">
        <v>7.2056181618E8</v>
      </c>
      <c r="P285" s="6"/>
      <c r="Q285" s="6"/>
      <c r="R285" s="6"/>
      <c r="S285" s="6"/>
      <c r="T285" s="6"/>
    </row>
    <row r="286">
      <c r="A286" s="75">
        <v>1.303065300957E10</v>
      </c>
      <c r="B286" s="6"/>
      <c r="C286" s="76">
        <v>3.89824360857E9</v>
      </c>
      <c r="D286" s="71"/>
      <c r="E286" s="72"/>
      <c r="F286" s="6"/>
      <c r="G286" s="6"/>
      <c r="H286" s="6"/>
      <c r="I286" s="6"/>
      <c r="J286" s="6"/>
      <c r="K286" s="6"/>
      <c r="L286" s="6"/>
      <c r="M286" s="6"/>
      <c r="N286" s="6"/>
      <c r="O286" s="75">
        <v>1.16129379702E9</v>
      </c>
      <c r="P286" s="6"/>
      <c r="Q286" s="6"/>
      <c r="R286" s="6"/>
      <c r="S286" s="6"/>
      <c r="T286" s="6"/>
    </row>
    <row r="287">
      <c r="A287" s="75">
        <v>1.354602516843E10</v>
      </c>
      <c r="B287" s="6"/>
      <c r="C287" s="76">
        <v>3.84582629657E9</v>
      </c>
      <c r="D287" s="71"/>
      <c r="E287" s="72"/>
      <c r="F287" s="6"/>
      <c r="G287" s="6"/>
      <c r="H287" s="6"/>
      <c r="I287" s="6"/>
      <c r="J287" s="6"/>
      <c r="K287" s="6"/>
      <c r="L287" s="6"/>
      <c r="M287" s="6"/>
      <c r="N287" s="6"/>
      <c r="O287" s="75">
        <v>2.53393424642E9</v>
      </c>
      <c r="P287" s="6"/>
      <c r="Q287" s="6"/>
      <c r="R287" s="6"/>
      <c r="S287" s="6"/>
      <c r="T287" s="6"/>
    </row>
    <row r="288">
      <c r="A288" s="75">
        <v>1.799785331272E10</v>
      </c>
      <c r="B288" s="6"/>
      <c r="C288" s="76">
        <v>4.83202479896E9</v>
      </c>
      <c r="D288" s="71"/>
      <c r="E288" s="72"/>
      <c r="F288" s="6"/>
      <c r="G288" s="6"/>
      <c r="H288" s="6"/>
      <c r="I288" s="6"/>
      <c r="J288" s="6"/>
      <c r="K288" s="6"/>
      <c r="L288" s="6"/>
      <c r="M288" s="6"/>
      <c r="N288" s="6"/>
      <c r="O288" s="75">
        <v>1.92358348341E9</v>
      </c>
      <c r="P288" s="6"/>
      <c r="Q288" s="6"/>
      <c r="R288" s="6"/>
      <c r="S288" s="6"/>
      <c r="T288" s="6"/>
    </row>
    <row r="289">
      <c r="A289" s="6"/>
      <c r="B289" s="6"/>
      <c r="C289" s="74"/>
      <c r="D289" s="71"/>
      <c r="E289" s="72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75">
        <v>8.542937795E9</v>
      </c>
      <c r="B290" s="6"/>
      <c r="C290" s="74"/>
      <c r="D290" s="71"/>
      <c r="E290" s="72"/>
      <c r="F290" s="6"/>
      <c r="G290" s="6"/>
      <c r="H290" s="6"/>
      <c r="I290" s="6"/>
      <c r="J290" s="6"/>
      <c r="K290" s="6"/>
      <c r="L290" s="6"/>
      <c r="M290" s="6"/>
      <c r="N290" s="6"/>
      <c r="O290" s="75">
        <v>2.68443413E8</v>
      </c>
      <c r="P290" s="6"/>
      <c r="Q290" s="6"/>
      <c r="R290" s="6"/>
      <c r="S290" s="6"/>
      <c r="T290" s="6"/>
    </row>
    <row r="291">
      <c r="A291" s="75">
        <v>7.936911538E9</v>
      </c>
      <c r="B291" s="6"/>
      <c r="C291" s="74"/>
      <c r="D291" s="71"/>
      <c r="E291" s="72"/>
      <c r="F291" s="6"/>
      <c r="G291" s="6"/>
      <c r="H291" s="6"/>
      <c r="I291" s="6"/>
      <c r="J291" s="6"/>
      <c r="K291" s="6"/>
      <c r="L291" s="6"/>
      <c r="M291" s="6"/>
      <c r="N291" s="6"/>
      <c r="O291" s="75">
        <v>4.05356052E8</v>
      </c>
      <c r="P291" s="6"/>
      <c r="Q291" s="6"/>
      <c r="R291" s="6"/>
      <c r="S291" s="6"/>
      <c r="T291" s="6"/>
    </row>
    <row r="292">
      <c r="A292" s="75">
        <v>9.716622302E9</v>
      </c>
      <c r="B292" s="6"/>
      <c r="C292" s="74"/>
      <c r="D292" s="71"/>
      <c r="E292" s="72"/>
      <c r="F292" s="6"/>
      <c r="G292" s="6"/>
      <c r="H292" s="6"/>
      <c r="I292" s="6"/>
      <c r="J292" s="6"/>
      <c r="K292" s="6"/>
      <c r="L292" s="6"/>
      <c r="M292" s="6"/>
      <c r="N292" s="6"/>
      <c r="O292" s="75">
        <v>5.58889933E8</v>
      </c>
      <c r="P292" s="6"/>
      <c r="Q292" s="6"/>
      <c r="R292" s="6"/>
      <c r="S292" s="6"/>
      <c r="T292" s="6"/>
    </row>
    <row r="293">
      <c r="A293" s="75">
        <v>1.0227894681E10</v>
      </c>
      <c r="B293" s="6"/>
      <c r="C293" s="74"/>
      <c r="D293" s="71"/>
      <c r="E293" s="72"/>
      <c r="F293" s="6"/>
      <c r="G293" s="6"/>
      <c r="H293" s="6"/>
      <c r="I293" s="6"/>
      <c r="J293" s="6"/>
      <c r="K293" s="6"/>
      <c r="L293" s="6"/>
      <c r="M293" s="6"/>
      <c r="N293" s="6"/>
      <c r="O293" s="75">
        <v>8.0959324E8</v>
      </c>
      <c r="P293" s="6"/>
      <c r="Q293" s="6"/>
      <c r="R293" s="6"/>
      <c r="S293" s="6"/>
      <c r="T293" s="6"/>
    </row>
    <row r="294">
      <c r="A294" s="75">
        <v>1.3237325073E10</v>
      </c>
      <c r="B294" s="6"/>
      <c r="C294" s="74"/>
      <c r="D294" s="71"/>
      <c r="E294" s="72"/>
      <c r="F294" s="6"/>
      <c r="G294" s="6"/>
      <c r="H294" s="6"/>
      <c r="I294" s="6"/>
      <c r="J294" s="6"/>
      <c r="K294" s="6"/>
      <c r="L294" s="6"/>
      <c r="M294" s="6"/>
      <c r="N294" s="6"/>
      <c r="O294" s="75">
        <v>9.16876662E8</v>
      </c>
      <c r="P294" s="6"/>
      <c r="Q294" s="6"/>
      <c r="R294" s="6"/>
      <c r="S294" s="6"/>
      <c r="T294" s="6"/>
    </row>
    <row r="295">
      <c r="A295" s="75">
        <v>1.393447224E10</v>
      </c>
      <c r="B295" s="6"/>
      <c r="C295" s="74"/>
      <c r="D295" s="71"/>
      <c r="E295" s="72"/>
      <c r="F295" s="6"/>
      <c r="G295" s="6"/>
      <c r="H295" s="6"/>
      <c r="I295" s="6"/>
      <c r="J295" s="6"/>
      <c r="K295" s="6"/>
      <c r="L295" s="6"/>
      <c r="M295" s="6"/>
      <c r="N295" s="6"/>
      <c r="O295" s="75">
        <v>1.154467461E9</v>
      </c>
      <c r="P295" s="6"/>
      <c r="Q295" s="6"/>
      <c r="R295" s="6"/>
      <c r="S295" s="6"/>
      <c r="T295" s="6"/>
    </row>
    <row r="296">
      <c r="A296" s="75">
        <v>1.4372699213E10</v>
      </c>
      <c r="B296" s="6"/>
      <c r="C296" s="74"/>
      <c r="D296" s="71"/>
      <c r="E296" s="72"/>
      <c r="F296" s="6"/>
      <c r="G296" s="6"/>
      <c r="H296" s="6"/>
      <c r="I296" s="6"/>
      <c r="J296" s="6"/>
      <c r="K296" s="6"/>
      <c r="L296" s="6"/>
      <c r="M296" s="6"/>
      <c r="N296" s="6"/>
      <c r="O296" s="75">
        <v>1.20454886E9</v>
      </c>
      <c r="P296" s="6"/>
      <c r="Q296" s="6"/>
      <c r="R296" s="6"/>
      <c r="S296" s="6"/>
      <c r="T296" s="6"/>
    </row>
    <row r="297">
      <c r="A297" s="75">
        <v>2.1539250652E10</v>
      </c>
      <c r="B297" s="6"/>
      <c r="C297" s="74"/>
      <c r="D297" s="71"/>
      <c r="E297" s="72"/>
      <c r="F297" s="6"/>
      <c r="G297" s="6"/>
      <c r="H297" s="6"/>
      <c r="I297" s="6"/>
      <c r="J297" s="6"/>
      <c r="K297" s="6"/>
      <c r="L297" s="6"/>
      <c r="M297" s="6"/>
      <c r="N297" s="6"/>
      <c r="O297" s="75">
        <v>1.082246744E9</v>
      </c>
      <c r="P297" s="6"/>
      <c r="Q297" s="6"/>
      <c r="R297" s="6"/>
      <c r="S297" s="6"/>
      <c r="T297" s="6"/>
    </row>
    <row r="298">
      <c r="A298" s="75">
        <v>2.6480719916E10</v>
      </c>
      <c r="B298" s="6"/>
      <c r="C298" s="74"/>
      <c r="D298" s="71"/>
      <c r="E298" s="72"/>
      <c r="F298" s="6"/>
      <c r="G298" s="6"/>
      <c r="H298" s="6"/>
      <c r="I298" s="6"/>
      <c r="J298" s="6"/>
      <c r="K298" s="6"/>
      <c r="L298" s="6"/>
      <c r="M298" s="6"/>
      <c r="N298" s="6"/>
      <c r="O298" s="75">
        <v>7.29500026E8</v>
      </c>
      <c r="P298" s="6"/>
      <c r="Q298" s="6"/>
      <c r="R298" s="6"/>
      <c r="S298" s="6"/>
      <c r="T298" s="6"/>
    </row>
    <row r="299">
      <c r="A299" s="75">
        <v>3.075771991E10</v>
      </c>
      <c r="B299" s="6"/>
      <c r="C299" s="74"/>
      <c r="D299" s="71"/>
      <c r="E299" s="72"/>
      <c r="F299" s="6"/>
      <c r="G299" s="6"/>
      <c r="H299" s="6"/>
      <c r="I299" s="6"/>
      <c r="J299" s="6"/>
      <c r="K299" s="6"/>
      <c r="L299" s="6"/>
      <c r="M299" s="6"/>
      <c r="N299" s="6"/>
      <c r="O299" s="75">
        <v>8.03639057E8</v>
      </c>
      <c r="P299" s="6"/>
      <c r="Q299" s="6"/>
      <c r="R299" s="6"/>
      <c r="S299" s="6"/>
      <c r="T299" s="6"/>
    </row>
    <row r="300">
      <c r="A300" s="6"/>
      <c r="B300" s="6"/>
      <c r="C300" s="74"/>
      <c r="D300" s="71"/>
      <c r="E300" s="72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75">
        <v>1.8905350993E8</v>
      </c>
      <c r="B301" s="6"/>
      <c r="C301" s="74"/>
      <c r="D301" s="71"/>
      <c r="E301" s="72"/>
      <c r="F301" s="6"/>
      <c r="G301" s="6"/>
      <c r="H301" s="6"/>
      <c r="I301" s="6"/>
      <c r="J301" s="6"/>
      <c r="K301" s="6"/>
      <c r="L301" s="6"/>
      <c r="M301" s="6"/>
      <c r="N301" s="6"/>
      <c r="O301" s="75">
        <v>1.782902124E7</v>
      </c>
      <c r="P301" s="6"/>
      <c r="Q301" s="6"/>
      <c r="R301" s="6"/>
      <c r="S301" s="6"/>
      <c r="T301" s="6"/>
    </row>
    <row r="302">
      <c r="A302" s="77">
        <v>1.4370564892E8</v>
      </c>
      <c r="B302" s="6"/>
      <c r="C302" s="74"/>
      <c r="D302" s="71"/>
      <c r="E302" s="72"/>
      <c r="F302" s="6"/>
      <c r="G302" s="6"/>
      <c r="H302" s="6"/>
      <c r="I302" s="6"/>
      <c r="J302" s="6"/>
      <c r="K302" s="6"/>
      <c r="L302" s="6"/>
      <c r="M302" s="6"/>
      <c r="N302" s="6"/>
      <c r="O302" s="77">
        <v>1.63491906E7</v>
      </c>
      <c r="P302" s="6"/>
      <c r="Q302" s="6"/>
      <c r="R302" s="6"/>
      <c r="S302" s="6"/>
      <c r="T302" s="6"/>
    </row>
    <row r="303">
      <c r="A303" s="77">
        <v>1.5822233786E8</v>
      </c>
      <c r="B303" s="6"/>
      <c r="C303" s="74"/>
      <c r="D303" s="71"/>
      <c r="E303" s="72"/>
      <c r="F303" s="6"/>
      <c r="G303" s="6"/>
      <c r="H303" s="6"/>
      <c r="I303" s="6"/>
      <c r="J303" s="6"/>
      <c r="K303" s="6"/>
      <c r="L303" s="6"/>
      <c r="M303" s="6"/>
      <c r="N303" s="6"/>
      <c r="O303" s="77">
        <v>2.32552258E7</v>
      </c>
      <c r="P303" s="6"/>
      <c r="Q303" s="6"/>
      <c r="R303" s="6"/>
      <c r="S303" s="6"/>
      <c r="T303" s="6"/>
    </row>
    <row r="304">
      <c r="A304" s="77">
        <v>1.8764174852E8</v>
      </c>
      <c r="B304" s="6"/>
      <c r="C304" s="74"/>
      <c r="D304" s="71"/>
      <c r="E304" s="72"/>
      <c r="F304" s="6"/>
      <c r="G304" s="6"/>
      <c r="H304" s="6"/>
      <c r="I304" s="6"/>
      <c r="J304" s="6"/>
      <c r="K304" s="6"/>
      <c r="L304" s="6"/>
      <c r="M304" s="6"/>
      <c r="N304" s="6"/>
      <c r="O304" s="77">
        <v>2.737653139E7</v>
      </c>
      <c r="P304" s="6"/>
      <c r="Q304" s="6"/>
      <c r="R304" s="6"/>
      <c r="S304" s="6"/>
      <c r="T304" s="6"/>
    </row>
    <row r="305">
      <c r="A305" s="77">
        <v>2.6912124782E8</v>
      </c>
      <c r="B305" s="6"/>
      <c r="C305" s="74"/>
      <c r="D305" s="71"/>
      <c r="E305" s="72"/>
      <c r="F305" s="6"/>
      <c r="G305" s="6"/>
      <c r="H305" s="6"/>
      <c r="I305" s="6"/>
      <c r="J305" s="6"/>
      <c r="K305" s="6"/>
      <c r="L305" s="6"/>
      <c r="M305" s="6"/>
      <c r="N305" s="6"/>
      <c r="O305" s="77">
        <v>6.831591955E7</v>
      </c>
      <c r="P305" s="6"/>
      <c r="Q305" s="6"/>
      <c r="R305" s="6"/>
      <c r="S305" s="6"/>
      <c r="T305" s="6"/>
    </row>
    <row r="306">
      <c r="A306" s="77">
        <v>3.175237827E8</v>
      </c>
      <c r="B306" s="6"/>
      <c r="C306" s="74"/>
      <c r="D306" s="71"/>
      <c r="E306" s="72"/>
      <c r="F306" s="6"/>
      <c r="G306" s="6"/>
      <c r="H306" s="6"/>
      <c r="I306" s="6"/>
      <c r="J306" s="6"/>
      <c r="K306" s="6"/>
      <c r="L306" s="6"/>
      <c r="M306" s="6"/>
      <c r="N306" s="6"/>
      <c r="O306" s="77">
        <v>3.602073275E7</v>
      </c>
      <c r="P306" s="6"/>
      <c r="Q306" s="6"/>
      <c r="R306" s="6"/>
      <c r="S306" s="6"/>
      <c r="T306" s="6"/>
    </row>
    <row r="307">
      <c r="A307" s="75">
        <v>5.0618567085E8</v>
      </c>
      <c r="B307" s="6"/>
      <c r="C307" s="74"/>
      <c r="D307" s="71"/>
      <c r="E307" s="72"/>
      <c r="F307" s="6"/>
      <c r="G307" s="6"/>
      <c r="H307" s="6"/>
      <c r="I307" s="6"/>
      <c r="J307" s="6"/>
      <c r="K307" s="6"/>
      <c r="L307" s="6"/>
      <c r="M307" s="6"/>
      <c r="N307" s="6"/>
      <c r="O307" s="75">
        <v>2384611.81</v>
      </c>
      <c r="P307" s="6"/>
      <c r="Q307" s="6"/>
      <c r="R307" s="6"/>
      <c r="S307" s="6"/>
      <c r="T307" s="6"/>
    </row>
    <row r="308">
      <c r="A308" s="75">
        <v>6.9708486747E8</v>
      </c>
      <c r="B308" s="6"/>
      <c r="C308" s="74"/>
      <c r="D308" s="71"/>
      <c r="E308" s="72"/>
      <c r="F308" s="6"/>
      <c r="G308" s="6"/>
      <c r="H308" s="6"/>
      <c r="I308" s="6"/>
      <c r="J308" s="6"/>
      <c r="K308" s="6"/>
      <c r="L308" s="6"/>
      <c r="M308" s="6"/>
      <c r="N308" s="6"/>
      <c r="O308" s="75">
        <v>1872404.16</v>
      </c>
      <c r="P308" s="6"/>
      <c r="Q308" s="6"/>
      <c r="R308" s="6"/>
      <c r="S308" s="6"/>
      <c r="T308" s="6"/>
    </row>
    <row r="309">
      <c r="A309" s="75">
        <v>6.8468408611E8</v>
      </c>
      <c r="B309" s="6"/>
      <c r="C309" s="74"/>
      <c r="D309" s="71"/>
      <c r="E309" s="72"/>
      <c r="F309" s="6"/>
      <c r="G309" s="6"/>
      <c r="H309" s="6"/>
      <c r="I309" s="6"/>
      <c r="J309" s="6"/>
      <c r="K309" s="6"/>
      <c r="L309" s="6"/>
      <c r="M309" s="6"/>
      <c r="N309" s="6"/>
      <c r="O309" s="75">
        <v>5893045.62</v>
      </c>
      <c r="P309" s="6"/>
      <c r="Q309" s="6"/>
      <c r="R309" s="6"/>
      <c r="S309" s="6"/>
      <c r="T309" s="6"/>
    </row>
    <row r="310">
      <c r="A310" s="75">
        <v>8.006710144E8</v>
      </c>
      <c r="B310" s="6"/>
      <c r="C310" s="74"/>
      <c r="D310" s="71"/>
      <c r="E310" s="72"/>
      <c r="F310" s="6"/>
      <c r="G310" s="6"/>
      <c r="H310" s="6"/>
      <c r="I310" s="6"/>
      <c r="J310" s="6"/>
      <c r="K310" s="6"/>
      <c r="L310" s="6"/>
      <c r="M310" s="6"/>
      <c r="N310" s="6"/>
      <c r="O310" s="75">
        <v>6.300368333E7</v>
      </c>
      <c r="P310" s="6"/>
      <c r="Q310" s="6"/>
      <c r="R310" s="6"/>
      <c r="S310" s="6"/>
      <c r="T310" s="6"/>
    </row>
    <row r="311">
      <c r="A311" s="6"/>
      <c r="B311" s="6"/>
      <c r="C311" s="74"/>
      <c r="D311" s="71"/>
      <c r="E311" s="72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75">
        <v>9.60892345743E9</v>
      </c>
      <c r="B312" s="6"/>
      <c r="C312" s="74"/>
      <c r="D312" s="71"/>
      <c r="E312" s="72"/>
      <c r="F312" s="6"/>
      <c r="G312" s="6"/>
      <c r="H312" s="6"/>
      <c r="I312" s="6"/>
      <c r="J312" s="6"/>
      <c r="K312" s="6"/>
      <c r="L312" s="6"/>
      <c r="M312" s="6"/>
      <c r="N312" s="6"/>
      <c r="O312" s="75">
        <v>8.8808681369E8</v>
      </c>
      <c r="P312" s="6"/>
      <c r="Q312" s="6"/>
      <c r="R312" s="6"/>
      <c r="S312" s="6"/>
      <c r="T312" s="6"/>
    </row>
    <row r="313">
      <c r="A313" s="75">
        <v>1.139663517657E10</v>
      </c>
      <c r="B313" s="6"/>
      <c r="C313" s="74"/>
      <c r="D313" s="71"/>
      <c r="E313" s="72"/>
      <c r="F313" s="6"/>
      <c r="G313" s="6"/>
      <c r="H313" s="6"/>
      <c r="I313" s="6"/>
      <c r="J313" s="6"/>
      <c r="K313" s="6"/>
      <c r="L313" s="6"/>
      <c r="M313" s="6"/>
      <c r="N313" s="6"/>
      <c r="O313" s="75">
        <v>1.1736592038E9</v>
      </c>
      <c r="P313" s="6"/>
      <c r="Q313" s="6"/>
      <c r="R313" s="6"/>
      <c r="S313" s="6"/>
      <c r="T313" s="6"/>
    </row>
    <row r="314">
      <c r="A314" s="75">
        <v>1.429466734893E10</v>
      </c>
      <c r="B314" s="6"/>
      <c r="C314" s="74"/>
      <c r="D314" s="71"/>
      <c r="E314" s="72"/>
      <c r="F314" s="6"/>
      <c r="G314" s="6"/>
      <c r="H314" s="6"/>
      <c r="I314" s="6"/>
      <c r="J314" s="6"/>
      <c r="K314" s="6"/>
      <c r="L314" s="6"/>
      <c r="M314" s="6"/>
      <c r="N314" s="6"/>
      <c r="O314" s="75">
        <v>1.52282518075E9</v>
      </c>
      <c r="P314" s="6"/>
      <c r="Q314" s="6"/>
      <c r="R314" s="6"/>
      <c r="S314" s="6"/>
      <c r="T314" s="6"/>
    </row>
    <row r="315">
      <c r="A315" s="75">
        <v>1.549966310762E10</v>
      </c>
      <c r="B315" s="6"/>
      <c r="C315" s="74"/>
      <c r="D315" s="71"/>
      <c r="E315" s="72"/>
      <c r="F315" s="6"/>
      <c r="G315" s="6"/>
      <c r="H315" s="6"/>
      <c r="I315" s="6"/>
      <c r="J315" s="6"/>
      <c r="K315" s="6"/>
      <c r="L315" s="6"/>
      <c r="M315" s="6"/>
      <c r="N315" s="6"/>
      <c r="O315" s="75">
        <v>1.88475863868E9</v>
      </c>
      <c r="P315" s="6"/>
      <c r="Q315" s="6"/>
      <c r="R315" s="6"/>
      <c r="S315" s="6"/>
      <c r="T315" s="6"/>
    </row>
    <row r="316">
      <c r="A316" s="75">
        <v>1.962276479572E10</v>
      </c>
      <c r="B316" s="6"/>
      <c r="C316" s="74"/>
      <c r="D316" s="71"/>
      <c r="E316" s="72"/>
      <c r="F316" s="6"/>
      <c r="G316" s="6"/>
      <c r="H316" s="6"/>
      <c r="I316" s="6"/>
      <c r="J316" s="6"/>
      <c r="K316" s="6"/>
      <c r="L316" s="6"/>
      <c r="M316" s="6"/>
      <c r="N316" s="6"/>
      <c r="O316" s="75">
        <v>1.71992437062E9</v>
      </c>
      <c r="P316" s="6"/>
      <c r="Q316" s="6"/>
      <c r="R316" s="6"/>
      <c r="S316" s="6"/>
      <c r="T316" s="6"/>
    </row>
    <row r="317">
      <c r="A317" s="75">
        <v>2.053045373494E10</v>
      </c>
      <c r="B317" s="6"/>
      <c r="C317" s="74"/>
      <c r="D317" s="71"/>
      <c r="E317" s="72"/>
      <c r="F317" s="6"/>
      <c r="G317" s="6"/>
      <c r="H317" s="6"/>
      <c r="I317" s="6"/>
      <c r="J317" s="6"/>
      <c r="K317" s="6"/>
      <c r="L317" s="6"/>
      <c r="M317" s="6"/>
      <c r="N317" s="6"/>
      <c r="O317" s="75">
        <v>1.7135017789E9</v>
      </c>
      <c r="P317" s="6"/>
      <c r="Q317" s="6"/>
      <c r="R317" s="6"/>
      <c r="S317" s="6"/>
      <c r="T317" s="6"/>
    </row>
    <row r="318">
      <c r="A318" s="75">
        <v>3.182700337446E10</v>
      </c>
      <c r="B318" s="6"/>
      <c r="C318" s="74"/>
      <c r="D318" s="71"/>
      <c r="E318" s="72"/>
      <c r="F318" s="6"/>
      <c r="G318" s="6"/>
      <c r="H318" s="6"/>
      <c r="I318" s="6"/>
      <c r="J318" s="6"/>
      <c r="K318" s="6"/>
      <c r="L318" s="6"/>
      <c r="M318" s="6"/>
      <c r="N318" s="6"/>
      <c r="O318" s="75">
        <v>2.13541024725E9</v>
      </c>
      <c r="P318" s="6"/>
      <c r="Q318" s="6"/>
      <c r="R318" s="6"/>
      <c r="S318" s="6"/>
      <c r="T318" s="6"/>
    </row>
    <row r="319">
      <c r="A319" s="75">
        <v>3.391455673351E10</v>
      </c>
      <c r="B319" s="6"/>
      <c r="C319" s="74"/>
      <c r="D319" s="71"/>
      <c r="E319" s="72"/>
      <c r="F319" s="6"/>
      <c r="G319" s="6"/>
      <c r="H319" s="6"/>
      <c r="I319" s="6"/>
      <c r="J319" s="6"/>
      <c r="K319" s="6"/>
      <c r="L319" s="6"/>
      <c r="M319" s="6"/>
      <c r="N319" s="6"/>
      <c r="O319" s="75">
        <v>3.51537697517E9</v>
      </c>
      <c r="P319" s="6"/>
      <c r="Q319" s="6"/>
      <c r="R319" s="6"/>
      <c r="S319" s="6"/>
      <c r="T319" s="6"/>
    </row>
    <row r="320">
      <c r="A320" s="75">
        <v>3.491227284609E10</v>
      </c>
      <c r="B320" s="6"/>
      <c r="C320" s="74"/>
      <c r="D320" s="71"/>
      <c r="E320" s="72"/>
      <c r="F320" s="6"/>
      <c r="G320" s="6"/>
      <c r="H320" s="6"/>
      <c r="I320" s="6"/>
      <c r="J320" s="6"/>
      <c r="K320" s="6"/>
      <c r="L320" s="6"/>
      <c r="M320" s="6"/>
      <c r="N320" s="6"/>
      <c r="O320" s="75">
        <v>2.78665806422E9</v>
      </c>
      <c r="P320" s="6"/>
      <c r="Q320" s="6"/>
      <c r="R320" s="6"/>
      <c r="S320" s="6"/>
      <c r="T320" s="6"/>
    </row>
    <row r="321">
      <c r="A321" s="75">
        <v>3.636233988358E10</v>
      </c>
      <c r="B321" s="6"/>
      <c r="C321" s="74"/>
      <c r="D321" s="71"/>
      <c r="E321" s="72"/>
      <c r="F321" s="6"/>
      <c r="G321" s="6"/>
      <c r="H321" s="6"/>
      <c r="I321" s="6"/>
      <c r="J321" s="6"/>
      <c r="K321" s="6"/>
      <c r="L321" s="6"/>
      <c r="M321" s="6"/>
      <c r="N321" s="6"/>
      <c r="O321" s="75">
        <v>2.39600025525E9</v>
      </c>
      <c r="P321" s="6"/>
      <c r="Q321" s="6"/>
      <c r="R321" s="6"/>
      <c r="S321" s="6"/>
      <c r="T321" s="6"/>
    </row>
    <row r="322">
      <c r="A322" s="6"/>
      <c r="B322" s="6"/>
      <c r="C322" s="74"/>
      <c r="D322" s="71"/>
      <c r="E322" s="72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>
      <c r="A323" s="6"/>
      <c r="B323" s="6"/>
      <c r="C323" s="74"/>
      <c r="D323" s="71"/>
      <c r="E323" s="72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>
      <c r="A324" s="6"/>
      <c r="B324" s="6"/>
      <c r="C324" s="74"/>
      <c r="D324" s="71"/>
      <c r="E324" s="72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>
      <c r="A325" s="6"/>
      <c r="B325" s="6"/>
      <c r="C325" s="74"/>
      <c r="D325" s="71"/>
      <c r="E325" s="72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>
      <c r="A326" s="6"/>
      <c r="B326" s="6"/>
      <c r="C326" s="74"/>
      <c r="D326" s="71"/>
      <c r="E326" s="72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>
      <c r="A327" s="6"/>
      <c r="B327" s="6"/>
      <c r="C327" s="74"/>
      <c r="D327" s="71"/>
      <c r="E327" s="72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>
      <c r="A328" s="6"/>
      <c r="B328" s="6"/>
      <c r="C328" s="74"/>
      <c r="D328" s="71"/>
      <c r="E328" s="72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>
      <c r="A329" s="6"/>
      <c r="B329" s="6"/>
      <c r="C329" s="74"/>
      <c r="D329" s="71"/>
      <c r="E329" s="72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>
      <c r="A330" s="6"/>
      <c r="B330" s="6"/>
      <c r="C330" s="74"/>
      <c r="D330" s="71"/>
      <c r="E330" s="72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>
      <c r="A331" s="6"/>
      <c r="B331" s="6"/>
      <c r="C331" s="74"/>
      <c r="D331" s="71"/>
      <c r="E331" s="72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>
      <c r="A332" s="6"/>
      <c r="B332" s="6"/>
      <c r="C332" s="74"/>
      <c r="D332" s="71"/>
      <c r="E332" s="72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>
      <c r="A333" s="6"/>
      <c r="B333" s="6"/>
      <c r="C333" s="74"/>
      <c r="D333" s="71"/>
      <c r="E333" s="72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>
      <c r="A334" s="6"/>
      <c r="B334" s="6"/>
      <c r="C334" s="74"/>
      <c r="D334" s="71"/>
      <c r="E334" s="72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>
      <c r="A335" s="6"/>
      <c r="B335" s="6"/>
      <c r="C335" s="74"/>
      <c r="D335" s="71"/>
      <c r="E335" s="72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>
      <c r="A336" s="6"/>
      <c r="B336" s="6"/>
      <c r="C336" s="74"/>
      <c r="D336" s="71"/>
      <c r="E336" s="72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>
      <c r="A337" s="6"/>
      <c r="B337" s="6"/>
      <c r="C337" s="74"/>
      <c r="D337" s="71"/>
      <c r="E337" s="72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>
      <c r="A338" s="6"/>
      <c r="B338" s="6"/>
      <c r="C338" s="74"/>
      <c r="D338" s="71"/>
      <c r="E338" s="72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>
      <c r="A339" s="6"/>
      <c r="B339" s="6"/>
      <c r="C339" s="74"/>
      <c r="D339" s="71"/>
      <c r="E339" s="72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>
      <c r="A340" s="6"/>
      <c r="B340" s="6"/>
      <c r="C340" s="74"/>
      <c r="D340" s="71"/>
      <c r="E340" s="72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>
      <c r="A341" s="6"/>
      <c r="B341" s="6"/>
      <c r="C341" s="74"/>
      <c r="D341" s="71"/>
      <c r="E341" s="72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>
      <c r="A342" s="6"/>
      <c r="B342" s="6"/>
      <c r="C342" s="74"/>
      <c r="D342" s="71"/>
      <c r="E342" s="72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>
      <c r="A343" s="6"/>
      <c r="B343" s="6"/>
      <c r="C343" s="74"/>
      <c r="D343" s="71"/>
      <c r="E343" s="72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>
      <c r="A344" s="6"/>
      <c r="B344" s="6"/>
      <c r="C344" s="74"/>
      <c r="D344" s="71"/>
      <c r="E344" s="72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>
      <c r="A345" s="6"/>
      <c r="B345" s="6"/>
      <c r="C345" s="74"/>
      <c r="D345" s="71"/>
      <c r="E345" s="72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>
      <c r="A346" s="6"/>
      <c r="B346" s="6"/>
      <c r="C346" s="74"/>
      <c r="D346" s="71"/>
      <c r="E346" s="72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>
      <c r="A347" s="6"/>
      <c r="B347" s="6"/>
      <c r="C347" s="74"/>
      <c r="D347" s="71"/>
      <c r="E347" s="72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>
      <c r="A348" s="6"/>
      <c r="B348" s="6"/>
      <c r="C348" s="74"/>
      <c r="D348" s="71"/>
      <c r="E348" s="72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>
      <c r="A349" s="6"/>
      <c r="B349" s="6"/>
      <c r="C349" s="74"/>
      <c r="D349" s="71"/>
      <c r="E349" s="72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>
      <c r="A350" s="6"/>
      <c r="B350" s="6"/>
      <c r="C350" s="74"/>
      <c r="D350" s="71"/>
      <c r="E350" s="72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>
      <c r="A351" s="6"/>
      <c r="B351" s="6"/>
      <c r="C351" s="74"/>
      <c r="D351" s="71"/>
      <c r="E351" s="72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>
      <c r="A352" s="6"/>
      <c r="B352" s="6"/>
      <c r="C352" s="74"/>
      <c r="D352" s="71"/>
      <c r="E352" s="72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>
      <c r="A353" s="6"/>
      <c r="B353" s="6"/>
      <c r="C353" s="74"/>
      <c r="D353" s="71"/>
      <c r="E353" s="72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>
      <c r="A354" s="6"/>
      <c r="B354" s="6"/>
      <c r="C354" s="74"/>
      <c r="D354" s="71"/>
      <c r="E354" s="72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>
      <c r="A355" s="6"/>
      <c r="B355" s="6"/>
      <c r="C355" s="74"/>
      <c r="D355" s="71"/>
      <c r="E355" s="72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>
      <c r="A356" s="6"/>
      <c r="B356" s="6"/>
      <c r="C356" s="74"/>
      <c r="D356" s="71"/>
      <c r="E356" s="72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>
      <c r="A357" s="6"/>
      <c r="B357" s="6"/>
      <c r="C357" s="74"/>
      <c r="D357" s="71"/>
      <c r="E357" s="72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>
      <c r="A358" s="6"/>
      <c r="B358" s="6"/>
      <c r="C358" s="74"/>
      <c r="D358" s="71"/>
      <c r="E358" s="72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>
      <c r="A359" s="6"/>
      <c r="B359" s="6"/>
      <c r="C359" s="74"/>
      <c r="D359" s="71"/>
      <c r="E359" s="72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>
      <c r="A360" s="6"/>
      <c r="B360" s="6"/>
      <c r="C360" s="74"/>
      <c r="D360" s="71"/>
      <c r="E360" s="72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>
      <c r="A361" s="6"/>
      <c r="B361" s="6"/>
      <c r="C361" s="74"/>
      <c r="D361" s="71"/>
      <c r="E361" s="72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>
      <c r="A362" s="6"/>
      <c r="B362" s="6"/>
      <c r="C362" s="74"/>
      <c r="D362" s="71"/>
      <c r="E362" s="72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>
      <c r="A363" s="6"/>
      <c r="B363" s="6"/>
      <c r="C363" s="74"/>
      <c r="D363" s="71"/>
      <c r="E363" s="72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>
      <c r="A364" s="6"/>
      <c r="B364" s="6"/>
      <c r="C364" s="74"/>
      <c r="D364" s="71"/>
      <c r="E364" s="72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>
      <c r="A365" s="6"/>
      <c r="B365" s="6"/>
      <c r="C365" s="74"/>
      <c r="D365" s="71"/>
      <c r="E365" s="72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>
      <c r="A366" s="6"/>
      <c r="B366" s="6"/>
      <c r="C366" s="74"/>
      <c r="D366" s="71"/>
      <c r="E366" s="72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>
      <c r="A367" s="6"/>
      <c r="B367" s="6"/>
      <c r="C367" s="74"/>
      <c r="D367" s="71"/>
      <c r="E367" s="72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>
      <c r="A368" s="6"/>
      <c r="B368" s="6"/>
      <c r="C368" s="74"/>
      <c r="D368" s="71"/>
      <c r="E368" s="72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>
      <c r="A369" s="6"/>
      <c r="B369" s="6"/>
      <c r="C369" s="74"/>
      <c r="D369" s="71"/>
      <c r="E369" s="72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>
      <c r="A370" s="6"/>
      <c r="B370" s="6"/>
      <c r="C370" s="74"/>
      <c r="D370" s="71"/>
      <c r="E370" s="72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>
      <c r="A371" s="6"/>
      <c r="B371" s="6"/>
      <c r="C371" s="74"/>
      <c r="D371" s="71"/>
      <c r="E371" s="72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>
      <c r="A372" s="6"/>
      <c r="B372" s="6"/>
      <c r="C372" s="74"/>
      <c r="D372" s="71"/>
      <c r="E372" s="72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>
      <c r="A373" s="6"/>
      <c r="B373" s="6"/>
      <c r="C373" s="74"/>
      <c r="D373" s="71"/>
      <c r="E373" s="72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>
      <c r="A374" s="6"/>
      <c r="B374" s="6"/>
      <c r="C374" s="74"/>
      <c r="D374" s="71"/>
      <c r="E374" s="72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>
      <c r="A375" s="6"/>
      <c r="B375" s="6"/>
      <c r="C375" s="74"/>
      <c r="D375" s="71"/>
      <c r="E375" s="72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>
      <c r="A376" s="6"/>
      <c r="B376" s="6"/>
      <c r="C376" s="74"/>
      <c r="D376" s="71"/>
      <c r="E376" s="72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>
      <c r="A377" s="6"/>
      <c r="B377" s="6"/>
      <c r="C377" s="74"/>
      <c r="D377" s="71"/>
      <c r="E377" s="72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>
      <c r="A378" s="6"/>
      <c r="B378" s="6"/>
      <c r="C378" s="74"/>
      <c r="D378" s="71"/>
      <c r="E378" s="72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>
      <c r="A379" s="6"/>
      <c r="B379" s="6"/>
      <c r="C379" s="74"/>
      <c r="D379" s="71"/>
      <c r="E379" s="72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>
      <c r="A380" s="6"/>
      <c r="B380" s="6"/>
      <c r="C380" s="74"/>
      <c r="D380" s="71"/>
      <c r="E380" s="72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>
      <c r="A381" s="6"/>
      <c r="B381" s="6"/>
      <c r="C381" s="74"/>
      <c r="D381" s="71"/>
      <c r="E381" s="72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>
      <c r="A382" s="6"/>
      <c r="B382" s="6"/>
      <c r="C382" s="74"/>
      <c r="D382" s="71"/>
      <c r="E382" s="72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>
      <c r="A383" s="6"/>
      <c r="B383" s="6"/>
      <c r="C383" s="74"/>
      <c r="D383" s="71"/>
      <c r="E383" s="72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>
      <c r="A384" s="6"/>
      <c r="B384" s="6"/>
      <c r="C384" s="74"/>
      <c r="D384" s="71"/>
      <c r="E384" s="72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>
      <c r="A385" s="6"/>
      <c r="B385" s="6"/>
      <c r="C385" s="74"/>
      <c r="D385" s="71"/>
      <c r="E385" s="72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>
      <c r="A386" s="6"/>
      <c r="B386" s="6"/>
      <c r="C386" s="74"/>
      <c r="D386" s="71"/>
      <c r="E386" s="72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>
      <c r="A387" s="6"/>
      <c r="B387" s="6"/>
      <c r="C387" s="74"/>
      <c r="D387" s="71"/>
      <c r="E387" s="72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>
      <c r="A388" s="6"/>
      <c r="B388" s="6"/>
      <c r="C388" s="74"/>
      <c r="D388" s="71"/>
      <c r="E388" s="72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>
      <c r="A389" s="6"/>
      <c r="B389" s="6"/>
      <c r="C389" s="74"/>
      <c r="D389" s="71"/>
      <c r="E389" s="72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>
      <c r="A390" s="6"/>
      <c r="B390" s="6"/>
      <c r="C390" s="74"/>
      <c r="D390" s="71"/>
      <c r="E390" s="72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>
      <c r="A391" s="6"/>
      <c r="B391" s="6"/>
      <c r="C391" s="74"/>
      <c r="D391" s="71"/>
      <c r="E391" s="72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>
      <c r="A392" s="6"/>
      <c r="B392" s="6"/>
      <c r="C392" s="74"/>
      <c r="D392" s="71"/>
      <c r="E392" s="72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>
      <c r="A393" s="6"/>
      <c r="B393" s="6"/>
      <c r="C393" s="74"/>
      <c r="D393" s="71"/>
      <c r="E393" s="72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>
      <c r="A394" s="6"/>
      <c r="B394" s="6"/>
      <c r="C394" s="74"/>
      <c r="D394" s="71"/>
      <c r="E394" s="72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>
      <c r="A395" s="6"/>
      <c r="B395" s="6"/>
      <c r="C395" s="74"/>
      <c r="D395" s="71"/>
      <c r="E395" s="72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>
      <c r="A396" s="6"/>
      <c r="B396" s="6"/>
      <c r="C396" s="74"/>
      <c r="D396" s="71"/>
      <c r="E396" s="72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>
      <c r="A397" s="6"/>
      <c r="B397" s="6"/>
      <c r="C397" s="74"/>
      <c r="D397" s="71"/>
      <c r="E397" s="72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>
      <c r="A398" s="6"/>
      <c r="B398" s="6"/>
      <c r="C398" s="74"/>
      <c r="D398" s="71"/>
      <c r="E398" s="72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>
      <c r="A399" s="6"/>
      <c r="B399" s="6"/>
      <c r="C399" s="74"/>
      <c r="D399" s="71"/>
      <c r="E399" s="72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>
      <c r="A400" s="6"/>
      <c r="B400" s="6"/>
      <c r="C400" s="74"/>
      <c r="D400" s="71"/>
      <c r="E400" s="72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>
      <c r="A401" s="6"/>
      <c r="B401" s="6"/>
      <c r="C401" s="74"/>
      <c r="D401" s="71"/>
      <c r="E401" s="72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>
      <c r="A402" s="6"/>
      <c r="B402" s="6"/>
      <c r="C402" s="74"/>
      <c r="D402" s="71"/>
      <c r="E402" s="72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>
      <c r="A403" s="6"/>
      <c r="B403" s="6"/>
      <c r="C403" s="74"/>
      <c r="D403" s="71"/>
      <c r="E403" s="72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>
      <c r="A404" s="6"/>
      <c r="B404" s="6"/>
      <c r="C404" s="74"/>
      <c r="D404" s="71"/>
      <c r="E404" s="72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>
      <c r="A405" s="6"/>
      <c r="B405" s="6"/>
      <c r="C405" s="74"/>
      <c r="D405" s="71"/>
      <c r="E405" s="72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>
      <c r="A406" s="6"/>
      <c r="B406" s="6"/>
      <c r="C406" s="74"/>
      <c r="D406" s="71"/>
      <c r="E406" s="72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>
      <c r="A407" s="6"/>
      <c r="B407" s="6"/>
      <c r="C407" s="74"/>
      <c r="D407" s="71"/>
      <c r="E407" s="72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>
      <c r="A408" s="6"/>
      <c r="B408" s="6"/>
      <c r="C408" s="74"/>
      <c r="D408" s="71"/>
      <c r="E408" s="72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>
      <c r="A409" s="6"/>
      <c r="B409" s="6"/>
      <c r="C409" s="74"/>
      <c r="D409" s="71"/>
      <c r="E409" s="72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>
      <c r="A410" s="6"/>
      <c r="B410" s="6"/>
      <c r="C410" s="74"/>
      <c r="D410" s="71"/>
      <c r="E410" s="72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>
      <c r="A411" s="6"/>
      <c r="B411" s="6"/>
      <c r="C411" s="74"/>
      <c r="D411" s="71"/>
      <c r="E411" s="72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>
      <c r="A412" s="6"/>
      <c r="B412" s="6"/>
      <c r="C412" s="74"/>
      <c r="D412" s="71"/>
      <c r="E412" s="72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>
      <c r="A413" s="6"/>
      <c r="B413" s="6"/>
      <c r="C413" s="74"/>
      <c r="D413" s="71"/>
      <c r="E413" s="72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>
      <c r="A414" s="6"/>
      <c r="B414" s="6"/>
      <c r="C414" s="74"/>
      <c r="D414" s="71"/>
      <c r="E414" s="72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>
      <c r="A415" s="6"/>
      <c r="B415" s="6"/>
      <c r="C415" s="74"/>
      <c r="D415" s="71"/>
      <c r="E415" s="72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>
      <c r="A416" s="6"/>
      <c r="B416" s="6"/>
      <c r="C416" s="74"/>
      <c r="D416" s="71"/>
      <c r="E416" s="72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>
      <c r="A417" s="6"/>
      <c r="B417" s="6"/>
      <c r="C417" s="74"/>
      <c r="D417" s="71"/>
      <c r="E417" s="72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>
      <c r="A418" s="6"/>
      <c r="B418" s="6"/>
      <c r="C418" s="74"/>
      <c r="D418" s="71"/>
      <c r="E418" s="72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>
      <c r="A419" s="6"/>
      <c r="B419" s="6"/>
      <c r="C419" s="74"/>
      <c r="D419" s="71"/>
      <c r="E419" s="72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>
      <c r="A420" s="6"/>
      <c r="B420" s="6"/>
      <c r="C420" s="74"/>
      <c r="D420" s="71"/>
      <c r="E420" s="72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>
      <c r="A421" s="6"/>
      <c r="B421" s="6"/>
      <c r="C421" s="74"/>
      <c r="D421" s="71"/>
      <c r="E421" s="72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>
      <c r="A422" s="6"/>
      <c r="B422" s="6"/>
      <c r="C422" s="74"/>
      <c r="D422" s="71"/>
      <c r="E422" s="72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>
      <c r="A423" s="6"/>
      <c r="B423" s="6"/>
      <c r="C423" s="74"/>
      <c r="D423" s="71"/>
      <c r="E423" s="72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>
      <c r="A424" s="6"/>
      <c r="B424" s="6"/>
      <c r="C424" s="74"/>
      <c r="D424" s="71"/>
      <c r="E424" s="72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>
      <c r="A425" s="6"/>
      <c r="B425" s="6"/>
      <c r="C425" s="74"/>
      <c r="D425" s="71"/>
      <c r="E425" s="72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>
      <c r="A426" s="6"/>
      <c r="B426" s="6"/>
      <c r="C426" s="74"/>
      <c r="D426" s="71"/>
      <c r="E426" s="72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>
      <c r="A427" s="6"/>
      <c r="B427" s="6"/>
      <c r="C427" s="74"/>
      <c r="D427" s="71"/>
      <c r="E427" s="72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>
      <c r="A428" s="6"/>
      <c r="B428" s="6"/>
      <c r="C428" s="74"/>
      <c r="D428" s="71"/>
      <c r="E428" s="72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>
      <c r="A429" s="6"/>
      <c r="B429" s="6"/>
      <c r="C429" s="74"/>
      <c r="D429" s="71"/>
      <c r="E429" s="72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>
      <c r="A430" s="6"/>
      <c r="B430" s="6"/>
      <c r="C430" s="74"/>
      <c r="D430" s="71"/>
      <c r="E430" s="72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>
      <c r="A431" s="6"/>
      <c r="B431" s="6"/>
      <c r="C431" s="74"/>
      <c r="D431" s="71"/>
      <c r="E431" s="72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>
      <c r="A432" s="6"/>
      <c r="B432" s="6"/>
      <c r="C432" s="74"/>
      <c r="D432" s="71"/>
      <c r="E432" s="72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>
      <c r="A433" s="6"/>
      <c r="B433" s="6"/>
      <c r="C433" s="74"/>
      <c r="D433" s="71"/>
      <c r="E433" s="72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>
      <c r="A434" s="6"/>
      <c r="B434" s="6"/>
      <c r="C434" s="74"/>
      <c r="D434" s="71"/>
      <c r="E434" s="72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>
      <c r="A435" s="6"/>
      <c r="B435" s="6"/>
      <c r="C435" s="74"/>
      <c r="D435" s="71"/>
      <c r="E435" s="72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>
      <c r="A436" s="6"/>
      <c r="B436" s="6"/>
      <c r="C436" s="74"/>
      <c r="D436" s="71"/>
      <c r="E436" s="72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>
      <c r="A437" s="6"/>
      <c r="B437" s="6"/>
      <c r="C437" s="74"/>
      <c r="D437" s="71"/>
      <c r="E437" s="72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>
      <c r="A438" s="6"/>
      <c r="B438" s="6"/>
      <c r="C438" s="74"/>
      <c r="D438" s="71"/>
      <c r="E438" s="72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>
      <c r="A439" s="6"/>
      <c r="B439" s="6"/>
      <c r="C439" s="74"/>
      <c r="D439" s="71"/>
      <c r="E439" s="72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>
      <c r="A440" s="6"/>
      <c r="B440" s="6"/>
      <c r="C440" s="74"/>
      <c r="D440" s="71"/>
      <c r="E440" s="72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>
      <c r="A441" s="6"/>
      <c r="B441" s="6"/>
      <c r="C441" s="74"/>
      <c r="D441" s="71"/>
      <c r="E441" s="72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>
      <c r="A442" s="6"/>
      <c r="B442" s="6"/>
      <c r="C442" s="74"/>
      <c r="D442" s="71"/>
      <c r="E442" s="72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>
      <c r="A443" s="6"/>
      <c r="B443" s="6"/>
      <c r="C443" s="74"/>
      <c r="D443" s="71"/>
      <c r="E443" s="72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>
      <c r="A444" s="6"/>
      <c r="B444" s="6"/>
      <c r="C444" s="74"/>
      <c r="D444" s="71"/>
      <c r="E444" s="72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>
      <c r="A445" s="6"/>
      <c r="B445" s="6"/>
      <c r="C445" s="74"/>
      <c r="D445" s="71"/>
      <c r="E445" s="72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>
      <c r="A446" s="6"/>
      <c r="B446" s="6"/>
      <c r="C446" s="74"/>
      <c r="D446" s="71"/>
      <c r="E446" s="72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>
      <c r="A447" s="6"/>
      <c r="B447" s="6"/>
      <c r="C447" s="74"/>
      <c r="D447" s="71"/>
      <c r="E447" s="72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>
      <c r="A448" s="6"/>
      <c r="B448" s="6"/>
      <c r="C448" s="74"/>
      <c r="D448" s="71"/>
      <c r="E448" s="72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>
      <c r="A449" s="6"/>
      <c r="B449" s="6"/>
      <c r="C449" s="74"/>
      <c r="D449" s="71"/>
      <c r="E449" s="72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>
      <c r="A450" s="6"/>
      <c r="B450" s="6"/>
      <c r="C450" s="74"/>
      <c r="D450" s="71"/>
      <c r="E450" s="72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>
      <c r="A451" s="6"/>
      <c r="B451" s="6"/>
      <c r="C451" s="74"/>
      <c r="D451" s="71"/>
      <c r="E451" s="72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>
      <c r="A452" s="6"/>
      <c r="B452" s="6"/>
      <c r="C452" s="74"/>
      <c r="D452" s="71"/>
      <c r="E452" s="72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>
      <c r="A453" s="6"/>
      <c r="B453" s="6"/>
      <c r="C453" s="74"/>
      <c r="D453" s="71"/>
      <c r="E453" s="72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>
      <c r="A454" s="6"/>
      <c r="B454" s="6"/>
      <c r="C454" s="74"/>
      <c r="D454" s="71"/>
      <c r="E454" s="72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>
      <c r="A455" s="6"/>
      <c r="B455" s="6"/>
      <c r="C455" s="74"/>
      <c r="D455" s="71"/>
      <c r="E455" s="72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>
      <c r="A456" s="6"/>
      <c r="B456" s="6"/>
      <c r="C456" s="74"/>
      <c r="D456" s="71"/>
      <c r="E456" s="72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>
      <c r="A457" s="6"/>
      <c r="B457" s="6"/>
      <c r="C457" s="74"/>
      <c r="D457" s="71"/>
      <c r="E457" s="72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>
      <c r="A458" s="6"/>
      <c r="B458" s="6"/>
      <c r="C458" s="74"/>
      <c r="D458" s="71"/>
      <c r="E458" s="72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>
      <c r="A459" s="6"/>
      <c r="B459" s="6"/>
      <c r="C459" s="74"/>
      <c r="D459" s="71"/>
      <c r="E459" s="72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>
      <c r="A460" s="6"/>
      <c r="B460" s="6"/>
      <c r="C460" s="74"/>
      <c r="D460" s="71"/>
      <c r="E460" s="72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>
      <c r="A461" s="6"/>
      <c r="B461" s="6"/>
      <c r="C461" s="74"/>
      <c r="D461" s="71"/>
      <c r="E461" s="72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>
      <c r="A462" s="6"/>
      <c r="B462" s="6"/>
      <c r="C462" s="74"/>
      <c r="D462" s="71"/>
      <c r="E462" s="72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>
      <c r="A463" s="6"/>
      <c r="B463" s="6"/>
      <c r="C463" s="74"/>
      <c r="D463" s="71"/>
      <c r="E463" s="72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>
      <c r="A464" s="6"/>
      <c r="B464" s="6"/>
      <c r="C464" s="74"/>
      <c r="D464" s="71"/>
      <c r="E464" s="72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>
      <c r="A465" s="6"/>
      <c r="B465" s="6"/>
      <c r="C465" s="74"/>
      <c r="D465" s="71"/>
      <c r="E465" s="72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>
      <c r="A466" s="6"/>
      <c r="B466" s="6"/>
      <c r="C466" s="74"/>
      <c r="D466" s="71"/>
      <c r="E466" s="72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>
      <c r="A467" s="6"/>
      <c r="B467" s="6"/>
      <c r="C467" s="74"/>
      <c r="D467" s="71"/>
      <c r="E467" s="72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>
      <c r="A468" s="6"/>
      <c r="B468" s="6"/>
      <c r="C468" s="74"/>
      <c r="D468" s="71"/>
      <c r="E468" s="72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>
      <c r="A469" s="6"/>
      <c r="B469" s="6"/>
      <c r="C469" s="74"/>
      <c r="D469" s="71"/>
      <c r="E469" s="72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>
      <c r="A470" s="6"/>
      <c r="B470" s="6"/>
      <c r="C470" s="74"/>
      <c r="D470" s="71"/>
      <c r="E470" s="72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>
      <c r="A471" s="6"/>
      <c r="B471" s="6"/>
      <c r="C471" s="74"/>
      <c r="D471" s="71"/>
      <c r="E471" s="72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>
      <c r="A472" s="6"/>
      <c r="B472" s="6"/>
      <c r="C472" s="74"/>
      <c r="D472" s="71"/>
      <c r="E472" s="72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>
      <c r="A473" s="6"/>
      <c r="B473" s="6"/>
      <c r="C473" s="74"/>
      <c r="D473" s="71"/>
      <c r="E473" s="72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>
      <c r="A474" s="6"/>
      <c r="B474" s="6"/>
      <c r="C474" s="74"/>
      <c r="D474" s="71"/>
      <c r="E474" s="72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>
      <c r="A475" s="6"/>
      <c r="B475" s="6"/>
      <c r="C475" s="74"/>
      <c r="D475" s="71"/>
      <c r="E475" s="72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>
      <c r="A476" s="6"/>
      <c r="B476" s="6"/>
      <c r="C476" s="74"/>
      <c r="D476" s="71"/>
      <c r="E476" s="72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>
      <c r="A477" s="6"/>
      <c r="B477" s="6"/>
      <c r="C477" s="74"/>
      <c r="D477" s="71"/>
      <c r="E477" s="72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>
      <c r="A478" s="6"/>
      <c r="B478" s="6"/>
      <c r="C478" s="74"/>
      <c r="D478" s="71"/>
      <c r="E478" s="72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>
      <c r="A479" s="6"/>
      <c r="B479" s="6"/>
      <c r="C479" s="74"/>
      <c r="D479" s="71"/>
      <c r="E479" s="72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>
      <c r="A480" s="6"/>
      <c r="B480" s="6"/>
      <c r="C480" s="74"/>
      <c r="D480" s="71"/>
      <c r="E480" s="72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>
      <c r="A481" s="6"/>
      <c r="B481" s="6"/>
      <c r="C481" s="74"/>
      <c r="D481" s="71"/>
      <c r="E481" s="72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>
      <c r="A482" s="6"/>
      <c r="B482" s="6"/>
      <c r="C482" s="74"/>
      <c r="D482" s="71"/>
      <c r="E482" s="72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>
      <c r="A483" s="6"/>
      <c r="B483" s="6"/>
      <c r="C483" s="74"/>
      <c r="D483" s="71"/>
      <c r="E483" s="72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>
      <c r="A484" s="6"/>
      <c r="B484" s="6"/>
      <c r="C484" s="74"/>
      <c r="D484" s="71"/>
      <c r="E484" s="72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>
      <c r="A485" s="6"/>
      <c r="B485" s="6"/>
      <c r="C485" s="74"/>
      <c r="D485" s="71"/>
      <c r="E485" s="72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>
      <c r="A486" s="6"/>
      <c r="B486" s="6"/>
      <c r="C486" s="74"/>
      <c r="D486" s="71"/>
      <c r="E486" s="72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>
      <c r="A487" s="6"/>
      <c r="B487" s="6"/>
      <c r="C487" s="74"/>
      <c r="D487" s="71"/>
      <c r="E487" s="72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>
      <c r="A488" s="6"/>
      <c r="B488" s="6"/>
      <c r="C488" s="74"/>
      <c r="D488" s="71"/>
      <c r="E488" s="72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>
      <c r="A489" s="6"/>
      <c r="B489" s="6"/>
      <c r="C489" s="74"/>
      <c r="D489" s="71"/>
      <c r="E489" s="72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>
      <c r="A490" s="6"/>
      <c r="B490" s="6"/>
      <c r="C490" s="74"/>
      <c r="D490" s="71"/>
      <c r="E490" s="72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>
      <c r="A491" s="6"/>
      <c r="B491" s="6"/>
      <c r="C491" s="74"/>
      <c r="D491" s="71"/>
      <c r="E491" s="72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>
      <c r="A492" s="6"/>
      <c r="B492" s="6"/>
      <c r="C492" s="74"/>
      <c r="D492" s="71"/>
      <c r="E492" s="72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>
      <c r="A493" s="6"/>
      <c r="B493" s="6"/>
      <c r="C493" s="74"/>
      <c r="D493" s="71"/>
      <c r="E493" s="72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>
      <c r="A494" s="6"/>
      <c r="B494" s="6"/>
      <c r="C494" s="74"/>
      <c r="D494" s="71"/>
      <c r="E494" s="72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>
      <c r="A495" s="6"/>
      <c r="B495" s="6"/>
      <c r="C495" s="74"/>
      <c r="D495" s="71"/>
      <c r="E495" s="72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>
      <c r="A496" s="6"/>
      <c r="B496" s="6"/>
      <c r="C496" s="74"/>
      <c r="D496" s="71"/>
      <c r="E496" s="72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>
      <c r="A497" s="6"/>
      <c r="B497" s="6"/>
      <c r="C497" s="74"/>
      <c r="D497" s="71"/>
      <c r="E497" s="72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>
      <c r="A498" s="6"/>
      <c r="B498" s="6"/>
      <c r="C498" s="74"/>
      <c r="D498" s="71"/>
      <c r="E498" s="72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>
      <c r="A499" s="6"/>
      <c r="B499" s="6"/>
      <c r="C499" s="74"/>
      <c r="D499" s="71"/>
      <c r="E499" s="72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>
      <c r="A500" s="6"/>
      <c r="B500" s="6"/>
      <c r="C500" s="74"/>
      <c r="D500" s="71"/>
      <c r="E500" s="72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>
      <c r="A501" s="6"/>
      <c r="B501" s="6"/>
      <c r="C501" s="74"/>
      <c r="D501" s="71"/>
      <c r="E501" s="72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>
      <c r="A502" s="6"/>
      <c r="B502" s="6"/>
      <c r="C502" s="74"/>
      <c r="D502" s="71"/>
      <c r="E502" s="72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>
      <c r="A503" s="6"/>
      <c r="B503" s="6"/>
      <c r="C503" s="74"/>
      <c r="D503" s="71"/>
      <c r="E503" s="72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>
      <c r="A504" s="6"/>
      <c r="B504" s="6"/>
      <c r="C504" s="74"/>
      <c r="D504" s="71"/>
      <c r="E504" s="72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>
      <c r="A505" s="6"/>
      <c r="B505" s="6"/>
      <c r="C505" s="74"/>
      <c r="D505" s="71"/>
      <c r="E505" s="72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>
      <c r="A506" s="6"/>
      <c r="B506" s="6"/>
      <c r="C506" s="74"/>
      <c r="D506" s="71"/>
      <c r="E506" s="72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>
      <c r="A507" s="6"/>
      <c r="B507" s="6"/>
      <c r="C507" s="74"/>
      <c r="D507" s="71"/>
      <c r="E507" s="72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>
      <c r="A508" s="6"/>
      <c r="B508" s="6"/>
      <c r="C508" s="74"/>
      <c r="D508" s="71"/>
      <c r="E508" s="72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>
      <c r="A509" s="6"/>
      <c r="B509" s="6"/>
      <c r="C509" s="74"/>
      <c r="D509" s="71"/>
      <c r="E509" s="72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>
      <c r="A510" s="6"/>
      <c r="B510" s="6"/>
      <c r="C510" s="74"/>
      <c r="D510" s="71"/>
      <c r="E510" s="72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>
      <c r="A511" s="6"/>
      <c r="B511" s="6"/>
      <c r="C511" s="74"/>
      <c r="D511" s="71"/>
      <c r="E511" s="72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>
      <c r="A512" s="6"/>
      <c r="B512" s="6"/>
      <c r="C512" s="74"/>
      <c r="D512" s="71"/>
      <c r="E512" s="72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>
      <c r="A513" s="6"/>
      <c r="B513" s="6"/>
      <c r="C513" s="74"/>
      <c r="D513" s="71"/>
      <c r="E513" s="72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>
      <c r="A514" s="6"/>
      <c r="B514" s="6"/>
      <c r="C514" s="74"/>
      <c r="D514" s="71"/>
      <c r="E514" s="72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>
      <c r="A515" s="6"/>
      <c r="B515" s="6"/>
      <c r="C515" s="74"/>
      <c r="D515" s="71"/>
      <c r="E515" s="72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>
      <c r="A516" s="6"/>
      <c r="B516" s="6"/>
      <c r="C516" s="74"/>
      <c r="D516" s="71"/>
      <c r="E516" s="72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>
      <c r="A517" s="6"/>
      <c r="B517" s="6"/>
      <c r="C517" s="74"/>
      <c r="D517" s="71"/>
      <c r="E517" s="72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>
      <c r="A518" s="6"/>
      <c r="B518" s="6"/>
      <c r="C518" s="74"/>
      <c r="D518" s="71"/>
      <c r="E518" s="72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>
      <c r="A519" s="6"/>
      <c r="B519" s="6"/>
      <c r="C519" s="74"/>
      <c r="D519" s="71"/>
      <c r="E519" s="72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>
      <c r="A520" s="6"/>
      <c r="B520" s="6"/>
      <c r="C520" s="74"/>
      <c r="D520" s="71"/>
      <c r="E520" s="72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>
      <c r="A521" s="6"/>
      <c r="B521" s="6"/>
      <c r="C521" s="74"/>
      <c r="D521" s="71"/>
      <c r="E521" s="72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>
      <c r="A522" s="6"/>
      <c r="B522" s="6"/>
      <c r="C522" s="74"/>
      <c r="D522" s="71"/>
      <c r="E522" s="72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>
      <c r="A523" s="6"/>
      <c r="B523" s="6"/>
      <c r="C523" s="74"/>
      <c r="D523" s="71"/>
      <c r="E523" s="72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>
      <c r="A524" s="6"/>
      <c r="B524" s="6"/>
      <c r="C524" s="74"/>
      <c r="D524" s="71"/>
      <c r="E524" s="72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>
      <c r="A525" s="6"/>
      <c r="B525" s="6"/>
      <c r="C525" s="74"/>
      <c r="D525" s="71"/>
      <c r="E525" s="72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>
      <c r="A526" s="6"/>
      <c r="B526" s="6"/>
      <c r="C526" s="74"/>
      <c r="D526" s="71"/>
      <c r="E526" s="72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>
      <c r="A527" s="6"/>
      <c r="B527" s="6"/>
      <c r="C527" s="74"/>
      <c r="D527" s="71"/>
      <c r="E527" s="72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>
      <c r="A528" s="6"/>
      <c r="B528" s="6"/>
      <c r="C528" s="74"/>
      <c r="D528" s="71"/>
      <c r="E528" s="72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>
      <c r="A529" s="6"/>
      <c r="B529" s="6"/>
      <c r="C529" s="74"/>
      <c r="D529" s="71"/>
      <c r="E529" s="72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>
      <c r="A530" s="6"/>
      <c r="B530" s="6"/>
      <c r="C530" s="74"/>
      <c r="D530" s="71"/>
      <c r="E530" s="72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>
      <c r="A531" s="6"/>
      <c r="B531" s="6"/>
      <c r="C531" s="74"/>
      <c r="D531" s="71"/>
      <c r="E531" s="72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>
      <c r="A532" s="6"/>
      <c r="B532" s="6"/>
      <c r="C532" s="74"/>
      <c r="D532" s="71"/>
      <c r="E532" s="72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>
      <c r="A533" s="6"/>
      <c r="B533" s="6"/>
      <c r="C533" s="74"/>
      <c r="D533" s="71"/>
      <c r="E533" s="72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>
      <c r="A534" s="6"/>
      <c r="B534" s="6"/>
      <c r="C534" s="74"/>
      <c r="D534" s="71"/>
      <c r="E534" s="72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>
      <c r="A535" s="6"/>
      <c r="B535" s="6"/>
      <c r="C535" s="74"/>
      <c r="D535" s="71"/>
      <c r="E535" s="72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>
      <c r="A536" s="6"/>
      <c r="B536" s="6"/>
      <c r="C536" s="74"/>
      <c r="D536" s="71"/>
      <c r="E536" s="72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>
      <c r="A537" s="6"/>
      <c r="B537" s="6"/>
      <c r="C537" s="74"/>
      <c r="D537" s="71"/>
      <c r="E537" s="72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>
      <c r="A538" s="6"/>
      <c r="B538" s="6"/>
      <c r="C538" s="74"/>
      <c r="D538" s="71"/>
      <c r="E538" s="72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>
      <c r="A539" s="6"/>
      <c r="B539" s="6"/>
      <c r="C539" s="74"/>
      <c r="D539" s="71"/>
      <c r="E539" s="72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>
      <c r="A540" s="6"/>
      <c r="B540" s="6"/>
      <c r="C540" s="74"/>
      <c r="D540" s="71"/>
      <c r="E540" s="72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>
      <c r="A541" s="6"/>
      <c r="B541" s="6"/>
      <c r="C541" s="74"/>
      <c r="D541" s="71"/>
      <c r="E541" s="72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>
      <c r="A542" s="6"/>
      <c r="B542" s="6"/>
      <c r="C542" s="74"/>
      <c r="D542" s="71"/>
      <c r="E542" s="72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>
      <c r="A543" s="6"/>
      <c r="B543" s="6"/>
      <c r="C543" s="74"/>
      <c r="D543" s="71"/>
      <c r="E543" s="72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>
      <c r="A544" s="6"/>
      <c r="B544" s="6"/>
      <c r="C544" s="74"/>
      <c r="D544" s="71"/>
      <c r="E544" s="72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>
      <c r="A545" s="6"/>
      <c r="B545" s="6"/>
      <c r="C545" s="74"/>
      <c r="D545" s="71"/>
      <c r="E545" s="72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>
      <c r="A546" s="6"/>
      <c r="B546" s="6"/>
      <c r="C546" s="74"/>
      <c r="D546" s="71"/>
      <c r="E546" s="72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>
      <c r="A547" s="6"/>
      <c r="B547" s="6"/>
      <c r="C547" s="74"/>
      <c r="D547" s="71"/>
      <c r="E547" s="72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>
      <c r="A548" s="6"/>
      <c r="B548" s="6"/>
      <c r="C548" s="74"/>
      <c r="D548" s="71"/>
      <c r="E548" s="72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>
      <c r="A549" s="6"/>
      <c r="B549" s="6"/>
      <c r="C549" s="74"/>
      <c r="D549" s="71"/>
      <c r="E549" s="72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>
      <c r="A550" s="6"/>
      <c r="B550" s="6"/>
      <c r="C550" s="74"/>
      <c r="D550" s="71"/>
      <c r="E550" s="72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>
      <c r="A551" s="6"/>
      <c r="B551" s="6"/>
      <c r="C551" s="74"/>
      <c r="D551" s="71"/>
      <c r="E551" s="72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>
      <c r="A552" s="6"/>
      <c r="B552" s="6"/>
      <c r="C552" s="74"/>
      <c r="D552" s="71"/>
      <c r="E552" s="72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>
      <c r="A553" s="6"/>
      <c r="B553" s="6"/>
      <c r="C553" s="74"/>
      <c r="D553" s="71"/>
      <c r="E553" s="72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>
      <c r="A554" s="6"/>
      <c r="B554" s="6"/>
      <c r="C554" s="74"/>
      <c r="D554" s="71"/>
      <c r="E554" s="72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>
      <c r="A555" s="6"/>
      <c r="B555" s="6"/>
      <c r="C555" s="74"/>
      <c r="D555" s="71"/>
      <c r="E555" s="72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>
      <c r="A556" s="6"/>
      <c r="B556" s="6"/>
      <c r="C556" s="74"/>
      <c r="D556" s="71"/>
      <c r="E556" s="72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>
      <c r="A557" s="6"/>
      <c r="B557" s="6"/>
      <c r="C557" s="74"/>
      <c r="D557" s="71"/>
      <c r="E557" s="72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>
      <c r="A558" s="6"/>
      <c r="B558" s="6"/>
      <c r="C558" s="74"/>
      <c r="D558" s="71"/>
      <c r="E558" s="72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>
      <c r="A559" s="6"/>
      <c r="B559" s="6"/>
      <c r="C559" s="74"/>
      <c r="D559" s="71"/>
      <c r="E559" s="72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>
      <c r="A560" s="6"/>
      <c r="B560" s="6"/>
      <c r="C560" s="74"/>
      <c r="D560" s="71"/>
      <c r="E560" s="72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>
      <c r="A561" s="6"/>
      <c r="B561" s="6"/>
      <c r="C561" s="74"/>
      <c r="D561" s="71"/>
      <c r="E561" s="72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>
      <c r="A562" s="6"/>
      <c r="B562" s="6"/>
      <c r="C562" s="74"/>
      <c r="D562" s="71"/>
      <c r="E562" s="72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>
      <c r="A563" s="6"/>
      <c r="B563" s="6"/>
      <c r="C563" s="74"/>
      <c r="D563" s="71"/>
      <c r="E563" s="72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>
      <c r="A564" s="6"/>
      <c r="B564" s="6"/>
      <c r="C564" s="74"/>
      <c r="D564" s="71"/>
      <c r="E564" s="72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>
      <c r="A565" s="6"/>
      <c r="B565" s="6"/>
      <c r="C565" s="74"/>
      <c r="D565" s="71"/>
      <c r="E565" s="72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>
      <c r="A566" s="6"/>
      <c r="B566" s="6"/>
      <c r="C566" s="74"/>
      <c r="D566" s="71"/>
      <c r="E566" s="72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>
      <c r="A567" s="6"/>
      <c r="B567" s="6"/>
      <c r="C567" s="74"/>
      <c r="D567" s="71"/>
      <c r="E567" s="72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>
      <c r="A568" s="6"/>
      <c r="B568" s="6"/>
      <c r="C568" s="74"/>
      <c r="D568" s="71"/>
      <c r="E568" s="72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>
      <c r="A569" s="6"/>
      <c r="B569" s="6"/>
      <c r="C569" s="74"/>
      <c r="D569" s="71"/>
      <c r="E569" s="72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>
      <c r="A570" s="6"/>
      <c r="B570" s="6"/>
      <c r="C570" s="74"/>
      <c r="D570" s="71"/>
      <c r="E570" s="72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>
      <c r="A571" s="6"/>
      <c r="B571" s="6"/>
      <c r="C571" s="74"/>
      <c r="D571" s="71"/>
      <c r="E571" s="72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>
      <c r="A572" s="6"/>
      <c r="B572" s="6"/>
      <c r="C572" s="74"/>
      <c r="D572" s="71"/>
      <c r="E572" s="72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>
      <c r="A573" s="6"/>
      <c r="B573" s="6"/>
      <c r="C573" s="74"/>
      <c r="D573" s="71"/>
      <c r="E573" s="72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>
      <c r="A574" s="6"/>
      <c r="B574" s="6"/>
      <c r="C574" s="74"/>
      <c r="D574" s="71"/>
      <c r="E574" s="72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>
      <c r="A575" s="6"/>
      <c r="B575" s="6"/>
      <c r="C575" s="74"/>
      <c r="D575" s="71"/>
      <c r="E575" s="72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>
      <c r="A576" s="6"/>
      <c r="B576" s="6"/>
      <c r="C576" s="74"/>
      <c r="D576" s="71"/>
      <c r="E576" s="72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>
      <c r="A577" s="6"/>
      <c r="B577" s="6"/>
      <c r="C577" s="74"/>
      <c r="D577" s="71"/>
      <c r="E577" s="72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>
      <c r="A578" s="6"/>
      <c r="B578" s="6"/>
      <c r="C578" s="74"/>
      <c r="D578" s="71"/>
      <c r="E578" s="72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>
      <c r="A579" s="6"/>
      <c r="B579" s="6"/>
      <c r="C579" s="74"/>
      <c r="D579" s="71"/>
      <c r="E579" s="72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>
      <c r="A580" s="6"/>
      <c r="B580" s="6"/>
      <c r="C580" s="74"/>
      <c r="D580" s="71"/>
      <c r="E580" s="72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>
      <c r="A581" s="6"/>
      <c r="B581" s="6"/>
      <c r="C581" s="74"/>
      <c r="D581" s="71"/>
      <c r="E581" s="72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>
      <c r="A582" s="6"/>
      <c r="B582" s="6"/>
      <c r="C582" s="74"/>
      <c r="D582" s="71"/>
      <c r="E582" s="72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>
      <c r="A583" s="6"/>
      <c r="B583" s="6"/>
      <c r="C583" s="74"/>
      <c r="D583" s="71"/>
      <c r="E583" s="72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>
      <c r="A584" s="6"/>
      <c r="B584" s="6"/>
      <c r="C584" s="74"/>
      <c r="D584" s="71"/>
      <c r="E584" s="72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>
      <c r="A585" s="6"/>
      <c r="B585" s="6"/>
      <c r="C585" s="74"/>
      <c r="D585" s="71"/>
      <c r="E585" s="72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>
      <c r="A586" s="6"/>
      <c r="B586" s="6"/>
      <c r="C586" s="74"/>
      <c r="D586" s="71"/>
      <c r="E586" s="72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>
      <c r="A587" s="6"/>
      <c r="B587" s="6"/>
      <c r="C587" s="74"/>
      <c r="D587" s="71"/>
      <c r="E587" s="72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>
      <c r="A588" s="6"/>
      <c r="B588" s="6"/>
      <c r="C588" s="74"/>
      <c r="D588" s="71"/>
      <c r="E588" s="72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>
      <c r="A589" s="6"/>
      <c r="B589" s="6"/>
      <c r="C589" s="74"/>
      <c r="D589" s="71"/>
      <c r="E589" s="72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>
      <c r="A590" s="6"/>
      <c r="B590" s="6"/>
      <c r="C590" s="74"/>
      <c r="D590" s="71"/>
      <c r="E590" s="72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>
      <c r="A591" s="6"/>
      <c r="B591" s="6"/>
      <c r="C591" s="74"/>
      <c r="D591" s="71"/>
      <c r="E591" s="72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>
      <c r="A592" s="6"/>
      <c r="B592" s="6"/>
      <c r="C592" s="74"/>
      <c r="D592" s="71"/>
      <c r="E592" s="72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>
      <c r="A593" s="6"/>
      <c r="B593" s="6"/>
      <c r="C593" s="74"/>
      <c r="D593" s="71"/>
      <c r="E593" s="72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>
      <c r="A594" s="6"/>
      <c r="B594" s="6"/>
      <c r="C594" s="74"/>
      <c r="D594" s="71"/>
      <c r="E594" s="72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>
      <c r="A595" s="6"/>
      <c r="B595" s="6"/>
      <c r="C595" s="74"/>
      <c r="D595" s="71"/>
      <c r="E595" s="72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>
      <c r="A596" s="6"/>
      <c r="B596" s="6"/>
      <c r="C596" s="74"/>
      <c r="D596" s="71"/>
      <c r="E596" s="72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>
      <c r="A597" s="6"/>
      <c r="B597" s="6"/>
      <c r="C597" s="74"/>
      <c r="D597" s="71"/>
      <c r="E597" s="72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>
      <c r="A598" s="6"/>
      <c r="B598" s="6"/>
      <c r="C598" s="74"/>
      <c r="D598" s="71"/>
      <c r="E598" s="72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>
      <c r="A599" s="6"/>
      <c r="B599" s="6"/>
      <c r="C599" s="74"/>
      <c r="D599" s="71"/>
      <c r="E599" s="72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>
      <c r="A600" s="6"/>
      <c r="B600" s="6"/>
      <c r="C600" s="74"/>
      <c r="D600" s="71"/>
      <c r="E600" s="72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>
      <c r="A601" s="6"/>
      <c r="B601" s="6"/>
      <c r="C601" s="74"/>
      <c r="D601" s="71"/>
      <c r="E601" s="72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>
      <c r="A602" s="6"/>
      <c r="B602" s="6"/>
      <c r="C602" s="74"/>
      <c r="D602" s="71"/>
      <c r="E602" s="72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>
      <c r="A603" s="6"/>
      <c r="B603" s="6"/>
      <c r="C603" s="74"/>
      <c r="D603" s="71"/>
      <c r="E603" s="72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>
      <c r="A604" s="6"/>
      <c r="B604" s="6"/>
      <c r="C604" s="74"/>
      <c r="D604" s="71"/>
      <c r="E604" s="72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>
      <c r="A605" s="6"/>
      <c r="B605" s="6"/>
      <c r="C605" s="74"/>
      <c r="D605" s="71"/>
      <c r="E605" s="72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>
      <c r="A606" s="6"/>
      <c r="B606" s="6"/>
      <c r="C606" s="74"/>
      <c r="D606" s="71"/>
      <c r="E606" s="72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>
      <c r="A607" s="6"/>
      <c r="B607" s="6"/>
      <c r="C607" s="74"/>
      <c r="D607" s="71"/>
      <c r="E607" s="72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>
      <c r="A608" s="6"/>
      <c r="B608" s="6"/>
      <c r="C608" s="74"/>
      <c r="D608" s="71"/>
      <c r="E608" s="72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>
      <c r="A609" s="6"/>
      <c r="B609" s="6"/>
      <c r="C609" s="74"/>
      <c r="D609" s="71"/>
      <c r="E609" s="72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>
      <c r="A610" s="6"/>
      <c r="B610" s="6"/>
      <c r="C610" s="74"/>
      <c r="D610" s="71"/>
      <c r="E610" s="72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>
      <c r="A611" s="6"/>
      <c r="B611" s="6"/>
      <c r="C611" s="74"/>
      <c r="D611" s="71"/>
      <c r="E611" s="72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>
      <c r="A612" s="6"/>
      <c r="B612" s="6"/>
      <c r="C612" s="74"/>
      <c r="D612" s="71"/>
      <c r="E612" s="72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>
      <c r="A613" s="6"/>
      <c r="B613" s="6"/>
      <c r="C613" s="74"/>
      <c r="D613" s="71"/>
      <c r="E613" s="72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>
      <c r="A614" s="6"/>
      <c r="B614" s="6"/>
      <c r="C614" s="74"/>
      <c r="D614" s="71"/>
      <c r="E614" s="72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>
      <c r="A615" s="6"/>
      <c r="B615" s="6"/>
      <c r="C615" s="74"/>
      <c r="D615" s="71"/>
      <c r="E615" s="72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>
      <c r="A616" s="6"/>
      <c r="B616" s="6"/>
      <c r="C616" s="74"/>
      <c r="D616" s="71"/>
      <c r="E616" s="72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>
      <c r="A617" s="6"/>
      <c r="B617" s="6"/>
      <c r="C617" s="74"/>
      <c r="D617" s="71"/>
      <c r="E617" s="72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>
      <c r="A618" s="6"/>
      <c r="B618" s="6"/>
      <c r="C618" s="74"/>
      <c r="D618" s="71"/>
      <c r="E618" s="72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>
      <c r="A619" s="6"/>
      <c r="B619" s="6"/>
      <c r="C619" s="74"/>
      <c r="D619" s="71"/>
      <c r="E619" s="72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>
      <c r="A620" s="6"/>
      <c r="B620" s="6"/>
      <c r="C620" s="74"/>
      <c r="D620" s="71"/>
      <c r="E620" s="72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>
      <c r="A621" s="6"/>
      <c r="B621" s="6"/>
      <c r="C621" s="74"/>
      <c r="D621" s="71"/>
      <c r="E621" s="72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>
      <c r="A622" s="6"/>
      <c r="B622" s="6"/>
      <c r="C622" s="74"/>
      <c r="D622" s="71"/>
      <c r="E622" s="72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>
      <c r="A623" s="6"/>
      <c r="B623" s="6"/>
      <c r="C623" s="74"/>
      <c r="D623" s="71"/>
      <c r="E623" s="72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>
      <c r="A624" s="6"/>
      <c r="B624" s="6"/>
      <c r="C624" s="74"/>
      <c r="D624" s="71"/>
      <c r="E624" s="72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>
      <c r="A625" s="6"/>
      <c r="B625" s="6"/>
      <c r="C625" s="74"/>
      <c r="D625" s="71"/>
      <c r="E625" s="72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>
      <c r="A626" s="6"/>
      <c r="B626" s="6"/>
      <c r="C626" s="74"/>
      <c r="D626" s="71"/>
      <c r="E626" s="72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>
      <c r="A627" s="6"/>
      <c r="B627" s="6"/>
      <c r="C627" s="74"/>
      <c r="D627" s="71"/>
      <c r="E627" s="72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>
      <c r="A628" s="6"/>
      <c r="B628" s="6"/>
      <c r="C628" s="74"/>
      <c r="D628" s="71"/>
      <c r="E628" s="72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>
      <c r="A629" s="6"/>
      <c r="B629" s="6"/>
      <c r="C629" s="74"/>
      <c r="D629" s="71"/>
      <c r="E629" s="72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>
      <c r="A630" s="6"/>
      <c r="B630" s="6"/>
      <c r="C630" s="74"/>
      <c r="D630" s="71"/>
      <c r="E630" s="72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>
      <c r="A631" s="6"/>
      <c r="B631" s="6"/>
      <c r="C631" s="74"/>
      <c r="D631" s="71"/>
      <c r="E631" s="72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>
      <c r="A632" s="6"/>
      <c r="B632" s="6"/>
      <c r="C632" s="74"/>
      <c r="D632" s="71"/>
      <c r="E632" s="72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>
      <c r="A633" s="6"/>
      <c r="B633" s="6"/>
      <c r="C633" s="74"/>
      <c r="D633" s="71"/>
      <c r="E633" s="72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>
      <c r="A634" s="6"/>
      <c r="B634" s="6"/>
      <c r="C634" s="74"/>
      <c r="D634" s="71"/>
      <c r="E634" s="72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>
      <c r="A635" s="6"/>
      <c r="B635" s="6"/>
      <c r="C635" s="74"/>
      <c r="D635" s="71"/>
      <c r="E635" s="72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>
      <c r="A636" s="6"/>
      <c r="B636" s="6"/>
      <c r="C636" s="74"/>
      <c r="D636" s="71"/>
      <c r="E636" s="72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>
      <c r="A637" s="6"/>
      <c r="B637" s="6"/>
      <c r="C637" s="74"/>
      <c r="D637" s="71"/>
      <c r="E637" s="72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>
      <c r="A638" s="6"/>
      <c r="B638" s="6"/>
      <c r="C638" s="74"/>
      <c r="D638" s="71"/>
      <c r="E638" s="72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>
      <c r="A639" s="6"/>
      <c r="B639" s="6"/>
      <c r="C639" s="74"/>
      <c r="D639" s="71"/>
      <c r="E639" s="72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>
      <c r="A640" s="6"/>
      <c r="B640" s="6"/>
      <c r="C640" s="74"/>
      <c r="D640" s="71"/>
      <c r="E640" s="72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>
      <c r="A641" s="6"/>
      <c r="B641" s="6"/>
      <c r="C641" s="74"/>
      <c r="D641" s="71"/>
      <c r="E641" s="72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>
      <c r="A642" s="6"/>
      <c r="B642" s="6"/>
      <c r="C642" s="74"/>
      <c r="D642" s="71"/>
      <c r="E642" s="72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>
      <c r="A643" s="6"/>
      <c r="B643" s="6"/>
      <c r="C643" s="74"/>
      <c r="D643" s="71"/>
      <c r="E643" s="72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>
      <c r="A644" s="6"/>
      <c r="B644" s="6"/>
      <c r="C644" s="74"/>
      <c r="D644" s="71"/>
      <c r="E644" s="72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>
      <c r="A645" s="6"/>
      <c r="B645" s="6"/>
      <c r="C645" s="74"/>
      <c r="D645" s="71"/>
      <c r="E645" s="72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>
      <c r="A646" s="6"/>
      <c r="B646" s="6"/>
      <c r="C646" s="74"/>
      <c r="D646" s="71"/>
      <c r="E646" s="72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>
      <c r="A647" s="6"/>
      <c r="B647" s="6"/>
      <c r="C647" s="74"/>
      <c r="D647" s="71"/>
      <c r="E647" s="72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>
      <c r="A648" s="6"/>
      <c r="B648" s="6"/>
      <c r="C648" s="74"/>
      <c r="D648" s="71"/>
      <c r="E648" s="72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>
      <c r="A649" s="6"/>
      <c r="B649" s="6"/>
      <c r="C649" s="74"/>
      <c r="D649" s="71"/>
      <c r="E649" s="72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>
      <c r="A650" s="6"/>
      <c r="B650" s="6"/>
      <c r="C650" s="74"/>
      <c r="D650" s="71"/>
      <c r="E650" s="72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>
      <c r="A651" s="6"/>
      <c r="B651" s="6"/>
      <c r="C651" s="74"/>
      <c r="D651" s="71"/>
      <c r="E651" s="72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>
      <c r="A652" s="6"/>
      <c r="B652" s="6"/>
      <c r="C652" s="74"/>
      <c r="D652" s="71"/>
      <c r="E652" s="72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>
      <c r="A653" s="6"/>
      <c r="B653" s="6"/>
      <c r="C653" s="74"/>
      <c r="D653" s="71"/>
      <c r="E653" s="72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>
      <c r="A654" s="6"/>
      <c r="B654" s="6"/>
      <c r="C654" s="74"/>
      <c r="D654" s="71"/>
      <c r="E654" s="72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>
      <c r="A655" s="6"/>
      <c r="B655" s="6"/>
      <c r="C655" s="74"/>
      <c r="D655" s="71"/>
      <c r="E655" s="72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>
      <c r="A656" s="6"/>
      <c r="B656" s="6"/>
      <c r="C656" s="74"/>
      <c r="D656" s="71"/>
      <c r="E656" s="72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>
      <c r="A657" s="6"/>
      <c r="B657" s="6"/>
      <c r="C657" s="74"/>
      <c r="D657" s="71"/>
      <c r="E657" s="72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>
      <c r="A658" s="6"/>
      <c r="B658" s="6"/>
      <c r="C658" s="74"/>
      <c r="D658" s="71"/>
      <c r="E658" s="72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>
      <c r="A659" s="6"/>
      <c r="B659" s="6"/>
      <c r="C659" s="74"/>
      <c r="D659" s="71"/>
      <c r="E659" s="72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>
      <c r="A660" s="6"/>
      <c r="B660" s="6"/>
      <c r="C660" s="74"/>
      <c r="D660" s="71"/>
      <c r="E660" s="72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>
      <c r="A661" s="6"/>
      <c r="B661" s="6"/>
      <c r="C661" s="74"/>
      <c r="D661" s="71"/>
      <c r="E661" s="72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>
      <c r="A662" s="6"/>
      <c r="B662" s="6"/>
      <c r="C662" s="74"/>
      <c r="D662" s="71"/>
      <c r="E662" s="72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>
      <c r="A663" s="6"/>
      <c r="B663" s="6"/>
      <c r="C663" s="74"/>
      <c r="D663" s="71"/>
      <c r="E663" s="72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>
      <c r="A664" s="6"/>
      <c r="B664" s="6"/>
      <c r="C664" s="74"/>
      <c r="D664" s="71"/>
      <c r="E664" s="72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>
      <c r="A665" s="6"/>
      <c r="B665" s="6"/>
      <c r="C665" s="74"/>
      <c r="D665" s="71"/>
      <c r="E665" s="72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>
      <c r="A666" s="6"/>
      <c r="B666" s="6"/>
      <c r="C666" s="74"/>
      <c r="D666" s="71"/>
      <c r="E666" s="72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>
      <c r="A667" s="6"/>
      <c r="B667" s="6"/>
      <c r="C667" s="74"/>
      <c r="D667" s="71"/>
      <c r="E667" s="72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>
      <c r="A668" s="6"/>
      <c r="B668" s="6"/>
      <c r="C668" s="74"/>
      <c r="D668" s="71"/>
      <c r="E668" s="72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>
      <c r="A669" s="6"/>
      <c r="B669" s="6"/>
      <c r="C669" s="74"/>
      <c r="D669" s="71"/>
      <c r="E669" s="72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>
      <c r="A670" s="6"/>
      <c r="B670" s="6"/>
      <c r="C670" s="74"/>
      <c r="D670" s="71"/>
      <c r="E670" s="72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>
      <c r="A671" s="6"/>
      <c r="B671" s="6"/>
      <c r="C671" s="74"/>
      <c r="D671" s="71"/>
      <c r="E671" s="72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>
      <c r="A672" s="6"/>
      <c r="B672" s="6"/>
      <c r="C672" s="74"/>
      <c r="D672" s="71"/>
      <c r="E672" s="72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>
      <c r="A673" s="6"/>
      <c r="B673" s="6"/>
      <c r="C673" s="74"/>
      <c r="D673" s="71"/>
      <c r="E673" s="72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>
      <c r="A674" s="6"/>
      <c r="B674" s="6"/>
      <c r="C674" s="74"/>
      <c r="D674" s="71"/>
      <c r="E674" s="72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>
      <c r="A675" s="6"/>
      <c r="B675" s="6"/>
      <c r="C675" s="74"/>
      <c r="D675" s="71"/>
      <c r="E675" s="72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>
      <c r="A676" s="6"/>
      <c r="B676" s="6"/>
      <c r="C676" s="74"/>
      <c r="D676" s="71"/>
      <c r="E676" s="72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>
      <c r="A677" s="6"/>
      <c r="B677" s="6"/>
      <c r="C677" s="74"/>
      <c r="D677" s="71"/>
      <c r="E677" s="72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>
      <c r="A678" s="6"/>
      <c r="B678" s="6"/>
      <c r="C678" s="74"/>
      <c r="D678" s="71"/>
      <c r="E678" s="72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>
      <c r="A679" s="6"/>
      <c r="B679" s="6"/>
      <c r="C679" s="74"/>
      <c r="D679" s="71"/>
      <c r="E679" s="72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>
      <c r="A680" s="6"/>
      <c r="B680" s="6"/>
      <c r="C680" s="74"/>
      <c r="D680" s="71"/>
      <c r="E680" s="72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>
      <c r="A681" s="6"/>
      <c r="B681" s="6"/>
      <c r="C681" s="74"/>
      <c r="D681" s="71"/>
      <c r="E681" s="72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>
      <c r="A682" s="6"/>
      <c r="B682" s="6"/>
      <c r="C682" s="74"/>
      <c r="D682" s="71"/>
      <c r="E682" s="72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>
      <c r="A683" s="6"/>
      <c r="B683" s="6"/>
      <c r="C683" s="74"/>
      <c r="D683" s="71"/>
      <c r="E683" s="72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>
      <c r="A684" s="6"/>
      <c r="B684" s="6"/>
      <c r="C684" s="74"/>
      <c r="D684" s="71"/>
      <c r="E684" s="72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>
      <c r="A685" s="6"/>
      <c r="B685" s="6"/>
      <c r="C685" s="74"/>
      <c r="D685" s="71"/>
      <c r="E685" s="72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>
      <c r="A686" s="6"/>
      <c r="B686" s="6"/>
      <c r="C686" s="74"/>
      <c r="D686" s="71"/>
      <c r="E686" s="72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>
      <c r="A687" s="6"/>
      <c r="B687" s="6"/>
      <c r="C687" s="74"/>
      <c r="D687" s="71"/>
      <c r="E687" s="72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>
      <c r="A688" s="6"/>
      <c r="B688" s="6"/>
      <c r="C688" s="74"/>
      <c r="D688" s="71"/>
      <c r="E688" s="72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>
      <c r="A689" s="6"/>
      <c r="B689" s="6"/>
      <c r="C689" s="74"/>
      <c r="D689" s="71"/>
      <c r="E689" s="72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>
      <c r="A690" s="6"/>
      <c r="B690" s="6"/>
      <c r="C690" s="74"/>
      <c r="D690" s="71"/>
      <c r="E690" s="72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>
      <c r="A691" s="6"/>
      <c r="B691" s="6"/>
      <c r="C691" s="74"/>
      <c r="D691" s="71"/>
      <c r="E691" s="72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>
      <c r="A692" s="6"/>
      <c r="B692" s="6"/>
      <c r="C692" s="74"/>
      <c r="D692" s="71"/>
      <c r="E692" s="72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>
      <c r="A693" s="6"/>
      <c r="B693" s="6"/>
      <c r="C693" s="74"/>
      <c r="D693" s="71"/>
      <c r="E693" s="72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>
      <c r="A694" s="6"/>
      <c r="B694" s="6"/>
      <c r="C694" s="74"/>
      <c r="D694" s="71"/>
      <c r="E694" s="72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>
      <c r="A695" s="6"/>
      <c r="B695" s="6"/>
      <c r="C695" s="74"/>
      <c r="D695" s="71"/>
      <c r="E695" s="72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>
      <c r="A696" s="6"/>
      <c r="B696" s="6"/>
      <c r="C696" s="74"/>
      <c r="D696" s="71"/>
      <c r="E696" s="72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>
      <c r="A697" s="6"/>
      <c r="B697" s="6"/>
      <c r="C697" s="74"/>
      <c r="D697" s="71"/>
      <c r="E697" s="72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>
      <c r="A698" s="6"/>
      <c r="B698" s="6"/>
      <c r="C698" s="74"/>
      <c r="D698" s="71"/>
      <c r="E698" s="72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>
      <c r="A699" s="6"/>
      <c r="B699" s="6"/>
      <c r="C699" s="74"/>
      <c r="D699" s="71"/>
      <c r="E699" s="72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>
      <c r="A700" s="6"/>
      <c r="B700" s="6"/>
      <c r="C700" s="74"/>
      <c r="D700" s="71"/>
      <c r="E700" s="72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>
      <c r="A701" s="6"/>
      <c r="B701" s="6"/>
      <c r="C701" s="74"/>
      <c r="D701" s="71"/>
      <c r="E701" s="72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>
      <c r="A702" s="6"/>
      <c r="B702" s="6"/>
      <c r="C702" s="74"/>
      <c r="D702" s="71"/>
      <c r="E702" s="72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>
      <c r="A703" s="6"/>
      <c r="B703" s="6"/>
      <c r="C703" s="74"/>
      <c r="D703" s="71"/>
      <c r="E703" s="72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>
      <c r="A704" s="6"/>
      <c r="B704" s="6"/>
      <c r="C704" s="74"/>
      <c r="D704" s="71"/>
      <c r="E704" s="72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>
      <c r="A705" s="6"/>
      <c r="B705" s="6"/>
      <c r="C705" s="74"/>
      <c r="D705" s="71"/>
      <c r="E705" s="72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>
      <c r="A706" s="6"/>
      <c r="B706" s="6"/>
      <c r="C706" s="74"/>
      <c r="D706" s="71"/>
      <c r="E706" s="72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>
      <c r="A707" s="6"/>
      <c r="B707" s="6"/>
      <c r="C707" s="74"/>
      <c r="D707" s="71"/>
      <c r="E707" s="72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>
      <c r="A708" s="6"/>
      <c r="B708" s="6"/>
      <c r="C708" s="74"/>
      <c r="D708" s="71"/>
      <c r="E708" s="72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>
      <c r="A709" s="6"/>
      <c r="B709" s="6"/>
      <c r="C709" s="74"/>
      <c r="D709" s="71"/>
      <c r="E709" s="72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>
      <c r="A710" s="6"/>
      <c r="B710" s="6"/>
      <c r="C710" s="74"/>
      <c r="D710" s="71"/>
      <c r="E710" s="72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>
      <c r="A711" s="6"/>
      <c r="B711" s="6"/>
      <c r="C711" s="74"/>
      <c r="D711" s="71"/>
      <c r="E711" s="72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>
      <c r="A712" s="6"/>
      <c r="B712" s="6"/>
      <c r="C712" s="74"/>
      <c r="D712" s="71"/>
      <c r="E712" s="72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>
      <c r="A713" s="6"/>
      <c r="B713" s="6"/>
      <c r="C713" s="74"/>
      <c r="D713" s="71"/>
      <c r="E713" s="72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>
      <c r="A714" s="6"/>
      <c r="B714" s="6"/>
      <c r="C714" s="74"/>
      <c r="D714" s="71"/>
      <c r="E714" s="72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>
      <c r="A715" s="6"/>
      <c r="B715" s="6"/>
      <c r="C715" s="74"/>
      <c r="D715" s="71"/>
      <c r="E715" s="72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>
      <c r="A716" s="6"/>
      <c r="B716" s="6"/>
      <c r="C716" s="74"/>
      <c r="D716" s="71"/>
      <c r="E716" s="72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>
      <c r="A717" s="6"/>
      <c r="B717" s="6"/>
      <c r="C717" s="74"/>
      <c r="D717" s="71"/>
      <c r="E717" s="72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>
      <c r="A718" s="6"/>
      <c r="B718" s="6"/>
      <c r="C718" s="74"/>
      <c r="D718" s="71"/>
      <c r="E718" s="72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>
      <c r="A719" s="6"/>
      <c r="B719" s="6"/>
      <c r="C719" s="74"/>
      <c r="D719" s="71"/>
      <c r="E719" s="72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>
      <c r="A720" s="6"/>
      <c r="B720" s="6"/>
      <c r="C720" s="74"/>
      <c r="D720" s="71"/>
      <c r="E720" s="72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>
      <c r="A721" s="6"/>
      <c r="B721" s="6"/>
      <c r="C721" s="74"/>
      <c r="D721" s="71"/>
      <c r="E721" s="72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>
      <c r="A722" s="6"/>
      <c r="B722" s="6"/>
      <c r="C722" s="74"/>
      <c r="D722" s="71"/>
      <c r="E722" s="72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>
      <c r="A723" s="6"/>
      <c r="B723" s="6"/>
      <c r="C723" s="74"/>
      <c r="D723" s="71"/>
      <c r="E723" s="72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>
      <c r="A724" s="6"/>
      <c r="B724" s="6"/>
      <c r="C724" s="74"/>
      <c r="D724" s="71"/>
      <c r="E724" s="72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>
      <c r="A725" s="6"/>
      <c r="B725" s="6"/>
      <c r="C725" s="74"/>
      <c r="D725" s="71"/>
      <c r="E725" s="72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>
      <c r="A726" s="6"/>
      <c r="B726" s="6"/>
      <c r="C726" s="74"/>
      <c r="D726" s="71"/>
      <c r="E726" s="72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>
      <c r="A727" s="6"/>
      <c r="B727" s="6"/>
      <c r="C727" s="74"/>
      <c r="D727" s="71"/>
      <c r="E727" s="72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>
      <c r="A728" s="6"/>
      <c r="B728" s="6"/>
      <c r="C728" s="74"/>
      <c r="D728" s="71"/>
      <c r="E728" s="72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>
      <c r="A729" s="6"/>
      <c r="B729" s="6"/>
      <c r="C729" s="74"/>
      <c r="D729" s="71"/>
      <c r="E729" s="72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>
      <c r="A730" s="6"/>
      <c r="B730" s="6"/>
      <c r="C730" s="74"/>
      <c r="D730" s="71"/>
      <c r="E730" s="72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>
      <c r="A731" s="6"/>
      <c r="B731" s="6"/>
      <c r="C731" s="74"/>
      <c r="D731" s="71"/>
      <c r="E731" s="72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>
      <c r="A732" s="6"/>
      <c r="B732" s="6"/>
      <c r="C732" s="74"/>
      <c r="D732" s="71"/>
      <c r="E732" s="72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>
      <c r="A733" s="6"/>
      <c r="B733" s="6"/>
      <c r="C733" s="74"/>
      <c r="D733" s="71"/>
      <c r="E733" s="72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>
      <c r="A734" s="6"/>
      <c r="B734" s="6"/>
      <c r="C734" s="74"/>
      <c r="D734" s="71"/>
      <c r="E734" s="72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>
      <c r="A735" s="6"/>
      <c r="B735" s="6"/>
      <c r="C735" s="74"/>
      <c r="D735" s="71"/>
      <c r="E735" s="72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>
      <c r="A736" s="6"/>
      <c r="B736" s="6"/>
      <c r="C736" s="74"/>
      <c r="D736" s="71"/>
      <c r="E736" s="72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>
      <c r="A737" s="6"/>
      <c r="B737" s="6"/>
      <c r="C737" s="74"/>
      <c r="D737" s="71"/>
      <c r="E737" s="72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>
      <c r="A738" s="6"/>
      <c r="B738" s="6"/>
      <c r="C738" s="74"/>
      <c r="D738" s="71"/>
      <c r="E738" s="72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>
      <c r="A739" s="6"/>
      <c r="B739" s="6"/>
      <c r="C739" s="74"/>
      <c r="D739" s="71"/>
      <c r="E739" s="72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>
      <c r="A740" s="6"/>
      <c r="B740" s="6"/>
      <c r="C740" s="74"/>
      <c r="D740" s="71"/>
      <c r="E740" s="72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>
      <c r="A741" s="6"/>
      <c r="B741" s="6"/>
      <c r="C741" s="74"/>
      <c r="D741" s="71"/>
      <c r="E741" s="72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>
      <c r="A742" s="6"/>
      <c r="B742" s="6"/>
      <c r="C742" s="74"/>
      <c r="D742" s="71"/>
      <c r="E742" s="72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>
      <c r="A743" s="6"/>
      <c r="B743" s="6"/>
      <c r="C743" s="74"/>
      <c r="D743" s="71"/>
      <c r="E743" s="72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>
      <c r="A744" s="6"/>
      <c r="B744" s="6"/>
      <c r="C744" s="74"/>
      <c r="D744" s="71"/>
      <c r="E744" s="72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>
      <c r="A745" s="6"/>
      <c r="B745" s="6"/>
      <c r="C745" s="74"/>
      <c r="D745" s="71"/>
      <c r="E745" s="72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>
      <c r="A746" s="6"/>
      <c r="B746" s="6"/>
      <c r="C746" s="74"/>
      <c r="D746" s="71"/>
      <c r="E746" s="72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>
      <c r="A747" s="6"/>
      <c r="B747" s="6"/>
      <c r="C747" s="74"/>
      <c r="D747" s="71"/>
      <c r="E747" s="72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>
      <c r="A748" s="6"/>
      <c r="B748" s="6"/>
      <c r="C748" s="74"/>
      <c r="D748" s="71"/>
      <c r="E748" s="72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>
      <c r="A749" s="6"/>
      <c r="B749" s="6"/>
      <c r="C749" s="74"/>
      <c r="D749" s="71"/>
      <c r="E749" s="72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>
      <c r="A750" s="6"/>
      <c r="B750" s="6"/>
      <c r="C750" s="74"/>
      <c r="D750" s="71"/>
      <c r="E750" s="72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>
      <c r="A751" s="6"/>
      <c r="B751" s="6"/>
      <c r="C751" s="74"/>
      <c r="D751" s="71"/>
      <c r="E751" s="72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>
      <c r="A752" s="6"/>
      <c r="B752" s="6"/>
      <c r="C752" s="74"/>
      <c r="D752" s="71"/>
      <c r="E752" s="72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>
      <c r="A753" s="6"/>
      <c r="B753" s="6"/>
      <c r="C753" s="74"/>
      <c r="D753" s="71"/>
      <c r="E753" s="72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>
      <c r="A754" s="6"/>
      <c r="B754" s="6"/>
      <c r="C754" s="74"/>
      <c r="D754" s="71"/>
      <c r="E754" s="72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>
      <c r="A755" s="6"/>
      <c r="B755" s="6"/>
      <c r="C755" s="74"/>
      <c r="D755" s="71"/>
      <c r="E755" s="72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>
      <c r="A756" s="6"/>
      <c r="B756" s="6"/>
      <c r="C756" s="74"/>
      <c r="D756" s="71"/>
      <c r="E756" s="72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>
      <c r="A757" s="6"/>
      <c r="B757" s="6"/>
      <c r="C757" s="74"/>
      <c r="D757" s="71"/>
      <c r="E757" s="72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>
      <c r="A758" s="6"/>
      <c r="B758" s="6"/>
      <c r="C758" s="74"/>
      <c r="D758" s="71"/>
      <c r="E758" s="72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>
      <c r="A759" s="6"/>
      <c r="B759" s="6"/>
      <c r="C759" s="74"/>
      <c r="D759" s="71"/>
      <c r="E759" s="72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>
      <c r="A760" s="6"/>
      <c r="B760" s="6"/>
      <c r="C760" s="74"/>
      <c r="D760" s="71"/>
      <c r="E760" s="72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>
      <c r="A761" s="6"/>
      <c r="B761" s="6"/>
      <c r="C761" s="74"/>
      <c r="D761" s="71"/>
      <c r="E761" s="72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>
      <c r="A762" s="6"/>
      <c r="B762" s="6"/>
      <c r="C762" s="74"/>
      <c r="D762" s="71"/>
      <c r="E762" s="72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>
      <c r="A763" s="6"/>
      <c r="B763" s="6"/>
      <c r="C763" s="74"/>
      <c r="D763" s="71"/>
      <c r="E763" s="72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>
      <c r="A764" s="6"/>
      <c r="B764" s="6"/>
      <c r="C764" s="74"/>
      <c r="D764" s="71"/>
      <c r="E764" s="72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>
      <c r="A765" s="6"/>
      <c r="B765" s="6"/>
      <c r="C765" s="74"/>
      <c r="D765" s="71"/>
      <c r="E765" s="72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>
      <c r="A766" s="6"/>
      <c r="B766" s="6"/>
      <c r="C766" s="74"/>
      <c r="D766" s="71"/>
      <c r="E766" s="72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>
      <c r="A767" s="6"/>
      <c r="B767" s="6"/>
      <c r="C767" s="74"/>
      <c r="D767" s="71"/>
      <c r="E767" s="72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>
      <c r="A768" s="6"/>
      <c r="B768" s="6"/>
      <c r="C768" s="74"/>
      <c r="D768" s="71"/>
      <c r="E768" s="72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>
      <c r="A769" s="6"/>
      <c r="B769" s="6"/>
      <c r="C769" s="74"/>
      <c r="D769" s="71"/>
      <c r="E769" s="72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>
      <c r="A770" s="6"/>
      <c r="B770" s="6"/>
      <c r="C770" s="74"/>
      <c r="D770" s="71"/>
      <c r="E770" s="72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>
      <c r="A771" s="6"/>
      <c r="B771" s="6"/>
      <c r="C771" s="74"/>
      <c r="D771" s="71"/>
      <c r="E771" s="72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>
      <c r="A772" s="6"/>
      <c r="B772" s="6"/>
      <c r="C772" s="74"/>
      <c r="D772" s="71"/>
      <c r="E772" s="72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>
      <c r="A773" s="6"/>
      <c r="B773" s="6"/>
      <c r="C773" s="74"/>
      <c r="D773" s="71"/>
      <c r="E773" s="72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>
      <c r="A774" s="6"/>
      <c r="B774" s="6"/>
      <c r="C774" s="74"/>
      <c r="D774" s="71"/>
      <c r="E774" s="72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>
      <c r="A775" s="6"/>
      <c r="B775" s="6"/>
      <c r="C775" s="74"/>
      <c r="D775" s="71"/>
      <c r="E775" s="72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>
      <c r="A776" s="6"/>
      <c r="B776" s="6"/>
      <c r="C776" s="74"/>
      <c r="D776" s="71"/>
      <c r="E776" s="72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>
      <c r="A777" s="6"/>
      <c r="B777" s="6"/>
      <c r="C777" s="74"/>
      <c r="D777" s="71"/>
      <c r="E777" s="72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>
      <c r="A778" s="6"/>
      <c r="B778" s="6"/>
      <c r="C778" s="74"/>
      <c r="D778" s="71"/>
      <c r="E778" s="72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>
      <c r="A779" s="6"/>
      <c r="B779" s="6"/>
      <c r="C779" s="74"/>
      <c r="D779" s="71"/>
      <c r="E779" s="72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>
      <c r="A780" s="6"/>
      <c r="B780" s="6"/>
      <c r="C780" s="74"/>
      <c r="D780" s="71"/>
      <c r="E780" s="72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>
      <c r="A781" s="6"/>
      <c r="B781" s="6"/>
      <c r="C781" s="74"/>
      <c r="D781" s="71"/>
      <c r="E781" s="72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>
      <c r="A782" s="6"/>
      <c r="B782" s="6"/>
      <c r="C782" s="74"/>
      <c r="D782" s="71"/>
      <c r="E782" s="72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>
      <c r="A783" s="6"/>
      <c r="B783" s="6"/>
      <c r="C783" s="74"/>
      <c r="D783" s="71"/>
      <c r="E783" s="72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>
      <c r="A784" s="6"/>
      <c r="B784" s="6"/>
      <c r="C784" s="74"/>
      <c r="D784" s="71"/>
      <c r="E784" s="72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>
      <c r="A785" s="6"/>
      <c r="B785" s="6"/>
      <c r="C785" s="74"/>
      <c r="D785" s="71"/>
      <c r="E785" s="72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>
      <c r="A786" s="6"/>
      <c r="B786" s="6"/>
      <c r="C786" s="74"/>
      <c r="D786" s="71"/>
      <c r="E786" s="72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>
      <c r="A787" s="6"/>
      <c r="B787" s="6"/>
      <c r="C787" s="74"/>
      <c r="D787" s="71"/>
      <c r="E787" s="72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>
      <c r="A788" s="6"/>
      <c r="B788" s="6"/>
      <c r="C788" s="74"/>
      <c r="D788" s="71"/>
      <c r="E788" s="72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>
      <c r="A789" s="6"/>
      <c r="B789" s="6"/>
      <c r="C789" s="74"/>
      <c r="D789" s="71"/>
      <c r="E789" s="72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>
      <c r="A790" s="6"/>
      <c r="B790" s="6"/>
      <c r="C790" s="74"/>
      <c r="D790" s="71"/>
      <c r="E790" s="72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>
      <c r="A791" s="6"/>
      <c r="B791" s="6"/>
      <c r="C791" s="74"/>
      <c r="D791" s="71"/>
      <c r="E791" s="72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>
      <c r="A792" s="6"/>
      <c r="B792" s="6"/>
      <c r="C792" s="74"/>
      <c r="D792" s="71"/>
      <c r="E792" s="72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>
      <c r="A793" s="6"/>
      <c r="B793" s="6"/>
      <c r="C793" s="74"/>
      <c r="D793" s="71"/>
      <c r="E793" s="72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>
      <c r="A794" s="6"/>
      <c r="B794" s="6"/>
      <c r="C794" s="74"/>
      <c r="D794" s="71"/>
      <c r="E794" s="72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>
      <c r="A795" s="6"/>
      <c r="B795" s="6"/>
      <c r="C795" s="74"/>
      <c r="D795" s="71"/>
      <c r="E795" s="72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>
      <c r="A796" s="6"/>
      <c r="B796" s="6"/>
      <c r="C796" s="74"/>
      <c r="D796" s="71"/>
      <c r="E796" s="72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>
      <c r="A797" s="6"/>
      <c r="B797" s="6"/>
      <c r="C797" s="74"/>
      <c r="D797" s="71"/>
      <c r="E797" s="72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>
      <c r="A798" s="6"/>
      <c r="B798" s="6"/>
      <c r="C798" s="74"/>
      <c r="D798" s="71"/>
      <c r="E798" s="72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>
      <c r="A799" s="6"/>
      <c r="B799" s="6"/>
      <c r="C799" s="74"/>
      <c r="D799" s="71"/>
      <c r="E799" s="72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>
      <c r="A800" s="6"/>
      <c r="B800" s="6"/>
      <c r="C800" s="74"/>
      <c r="D800" s="71"/>
      <c r="E800" s="72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>
      <c r="A801" s="6"/>
      <c r="B801" s="6"/>
      <c r="C801" s="74"/>
      <c r="D801" s="71"/>
      <c r="E801" s="72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>
      <c r="A802" s="6"/>
      <c r="B802" s="6"/>
      <c r="C802" s="74"/>
      <c r="D802" s="71"/>
      <c r="E802" s="72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>
      <c r="A803" s="6"/>
      <c r="B803" s="6"/>
      <c r="C803" s="74"/>
      <c r="D803" s="71"/>
      <c r="E803" s="72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>
      <c r="A804" s="6"/>
      <c r="B804" s="6"/>
      <c r="C804" s="74"/>
      <c r="D804" s="71"/>
      <c r="E804" s="72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>
      <c r="A805" s="6"/>
      <c r="B805" s="6"/>
      <c r="C805" s="74"/>
      <c r="D805" s="71"/>
      <c r="E805" s="72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>
      <c r="A806" s="6"/>
      <c r="B806" s="6"/>
      <c r="C806" s="74"/>
      <c r="D806" s="71"/>
      <c r="E806" s="72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>
      <c r="A807" s="6"/>
      <c r="B807" s="6"/>
      <c r="C807" s="74"/>
      <c r="D807" s="71"/>
      <c r="E807" s="72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>
      <c r="A808" s="6"/>
      <c r="B808" s="6"/>
      <c r="C808" s="74"/>
      <c r="D808" s="71"/>
      <c r="E808" s="72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>
      <c r="A809" s="6"/>
      <c r="B809" s="6"/>
      <c r="C809" s="74"/>
      <c r="D809" s="71"/>
      <c r="E809" s="72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>
      <c r="A810" s="6"/>
      <c r="B810" s="6"/>
      <c r="C810" s="74"/>
      <c r="D810" s="71"/>
      <c r="E810" s="72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>
      <c r="A811" s="6"/>
      <c r="B811" s="6"/>
      <c r="C811" s="74"/>
      <c r="D811" s="71"/>
      <c r="E811" s="72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>
      <c r="A812" s="6"/>
      <c r="B812" s="6"/>
      <c r="C812" s="74"/>
      <c r="D812" s="71"/>
      <c r="E812" s="72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>
      <c r="A813" s="6"/>
      <c r="B813" s="6"/>
      <c r="C813" s="74"/>
      <c r="D813" s="71"/>
      <c r="E813" s="72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>
      <c r="A814" s="6"/>
      <c r="B814" s="6"/>
      <c r="C814" s="74"/>
      <c r="D814" s="71"/>
      <c r="E814" s="72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>
      <c r="A815" s="6"/>
      <c r="B815" s="6"/>
      <c r="C815" s="74"/>
      <c r="D815" s="71"/>
      <c r="E815" s="72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>
      <c r="A816" s="6"/>
      <c r="B816" s="6"/>
      <c r="C816" s="74"/>
      <c r="D816" s="71"/>
      <c r="E816" s="72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>
      <c r="A817" s="6"/>
      <c r="B817" s="6"/>
      <c r="C817" s="74"/>
      <c r="D817" s="71"/>
      <c r="E817" s="72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>
      <c r="A818" s="6"/>
      <c r="B818" s="6"/>
      <c r="C818" s="74"/>
      <c r="D818" s="71"/>
      <c r="E818" s="72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>
      <c r="A819" s="6"/>
      <c r="B819" s="6"/>
      <c r="C819" s="74"/>
      <c r="D819" s="71"/>
      <c r="E819" s="72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>
      <c r="A820" s="6"/>
      <c r="B820" s="6"/>
      <c r="C820" s="74"/>
      <c r="D820" s="71"/>
      <c r="E820" s="72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>
      <c r="A821" s="6"/>
      <c r="B821" s="6"/>
      <c r="C821" s="74"/>
      <c r="D821" s="71"/>
      <c r="E821" s="72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>
      <c r="A822" s="6"/>
      <c r="B822" s="6"/>
      <c r="C822" s="74"/>
      <c r="D822" s="71"/>
      <c r="E822" s="72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>
      <c r="A823" s="6"/>
      <c r="B823" s="6"/>
      <c r="C823" s="74"/>
      <c r="D823" s="71"/>
      <c r="E823" s="72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>
      <c r="A824" s="6"/>
      <c r="B824" s="6"/>
      <c r="C824" s="74"/>
      <c r="D824" s="71"/>
      <c r="E824" s="72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>
      <c r="A825" s="6"/>
      <c r="B825" s="6"/>
      <c r="C825" s="74"/>
      <c r="D825" s="71"/>
      <c r="E825" s="72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>
      <c r="A826" s="6"/>
      <c r="B826" s="6"/>
      <c r="C826" s="74"/>
      <c r="D826" s="71"/>
      <c r="E826" s="72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>
      <c r="A827" s="6"/>
      <c r="B827" s="6"/>
      <c r="C827" s="74"/>
      <c r="D827" s="71"/>
      <c r="E827" s="72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>
      <c r="A828" s="6"/>
      <c r="B828" s="6"/>
      <c r="C828" s="74"/>
      <c r="D828" s="71"/>
      <c r="E828" s="72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>
      <c r="A829" s="6"/>
      <c r="B829" s="6"/>
      <c r="C829" s="74"/>
      <c r="D829" s="71"/>
      <c r="E829" s="72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>
      <c r="A830" s="6"/>
      <c r="B830" s="6"/>
      <c r="C830" s="74"/>
      <c r="D830" s="71"/>
      <c r="E830" s="72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>
      <c r="A831" s="6"/>
      <c r="B831" s="6"/>
      <c r="C831" s="74"/>
      <c r="D831" s="71"/>
      <c r="E831" s="72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>
      <c r="A832" s="6"/>
      <c r="B832" s="6"/>
      <c r="C832" s="74"/>
      <c r="D832" s="71"/>
      <c r="E832" s="72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>
      <c r="A833" s="6"/>
      <c r="B833" s="6"/>
      <c r="C833" s="74"/>
      <c r="D833" s="71"/>
      <c r="E833" s="72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>
      <c r="A834" s="6"/>
      <c r="B834" s="6"/>
      <c r="C834" s="74"/>
      <c r="D834" s="71"/>
      <c r="E834" s="72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>
      <c r="A835" s="6"/>
      <c r="B835" s="6"/>
      <c r="C835" s="74"/>
      <c r="D835" s="71"/>
      <c r="E835" s="72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>
      <c r="A836" s="6"/>
      <c r="B836" s="6"/>
      <c r="C836" s="74"/>
      <c r="D836" s="71"/>
      <c r="E836" s="72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>
      <c r="A837" s="6"/>
      <c r="B837" s="6"/>
      <c r="C837" s="74"/>
      <c r="D837" s="71"/>
      <c r="E837" s="72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>
      <c r="A838" s="6"/>
      <c r="B838" s="6"/>
      <c r="C838" s="74"/>
      <c r="D838" s="71"/>
      <c r="E838" s="72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>
      <c r="A839" s="6"/>
      <c r="B839" s="6"/>
      <c r="C839" s="74"/>
      <c r="D839" s="71"/>
      <c r="E839" s="72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>
      <c r="A840" s="6"/>
      <c r="B840" s="6"/>
      <c r="C840" s="74"/>
      <c r="D840" s="71"/>
      <c r="E840" s="72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>
      <c r="A841" s="6"/>
      <c r="B841" s="6"/>
      <c r="C841" s="74"/>
      <c r="D841" s="71"/>
      <c r="E841" s="72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>
      <c r="A842" s="6"/>
      <c r="B842" s="6"/>
      <c r="C842" s="74"/>
      <c r="D842" s="71"/>
      <c r="E842" s="72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>
      <c r="A843" s="6"/>
      <c r="B843" s="6"/>
      <c r="C843" s="74"/>
      <c r="D843" s="71"/>
      <c r="E843" s="72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>
      <c r="A844" s="6"/>
      <c r="B844" s="6"/>
      <c r="C844" s="74"/>
      <c r="D844" s="71"/>
      <c r="E844" s="72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>
      <c r="A845" s="6"/>
      <c r="B845" s="6"/>
      <c r="C845" s="74"/>
      <c r="D845" s="71"/>
      <c r="E845" s="72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>
      <c r="A846" s="6"/>
      <c r="B846" s="6"/>
      <c r="C846" s="74"/>
      <c r="D846" s="71"/>
      <c r="E846" s="72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>
      <c r="A847" s="6"/>
      <c r="B847" s="6"/>
      <c r="C847" s="74"/>
      <c r="D847" s="71"/>
      <c r="E847" s="72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>
      <c r="A848" s="6"/>
      <c r="B848" s="6"/>
      <c r="C848" s="74"/>
      <c r="D848" s="71"/>
      <c r="E848" s="72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>
      <c r="A849" s="6"/>
      <c r="B849" s="6"/>
      <c r="C849" s="74"/>
      <c r="D849" s="71"/>
      <c r="E849" s="72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>
      <c r="A850" s="6"/>
      <c r="B850" s="6"/>
      <c r="C850" s="74"/>
      <c r="D850" s="71"/>
      <c r="E850" s="72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>
      <c r="A851" s="6"/>
      <c r="B851" s="6"/>
      <c r="C851" s="74"/>
      <c r="D851" s="71"/>
      <c r="E851" s="72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>
      <c r="A852" s="6"/>
      <c r="B852" s="6"/>
      <c r="C852" s="74"/>
      <c r="D852" s="71"/>
      <c r="E852" s="72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>
      <c r="A853" s="6"/>
      <c r="B853" s="6"/>
      <c r="C853" s="74"/>
      <c r="D853" s="71"/>
      <c r="E853" s="72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>
      <c r="A854" s="6"/>
      <c r="B854" s="6"/>
      <c r="C854" s="74"/>
      <c r="D854" s="71"/>
      <c r="E854" s="72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>
      <c r="A855" s="6"/>
      <c r="B855" s="6"/>
      <c r="C855" s="74"/>
      <c r="D855" s="71"/>
      <c r="E855" s="72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>
      <c r="A856" s="6"/>
      <c r="B856" s="6"/>
      <c r="C856" s="74"/>
      <c r="D856" s="71"/>
      <c r="E856" s="72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>
      <c r="A857" s="6"/>
      <c r="B857" s="6"/>
      <c r="C857" s="74"/>
      <c r="D857" s="71"/>
      <c r="E857" s="72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>
      <c r="A858" s="6"/>
      <c r="B858" s="6"/>
      <c r="C858" s="74"/>
      <c r="D858" s="71"/>
      <c r="E858" s="72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>
      <c r="A859" s="6"/>
      <c r="B859" s="6"/>
      <c r="C859" s="74"/>
      <c r="D859" s="71"/>
      <c r="E859" s="72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>
      <c r="A860" s="6"/>
      <c r="B860" s="6"/>
      <c r="C860" s="74"/>
      <c r="D860" s="71"/>
      <c r="E860" s="72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>
      <c r="A861" s="6"/>
      <c r="B861" s="6"/>
      <c r="C861" s="74"/>
      <c r="D861" s="71"/>
      <c r="E861" s="72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>
      <c r="A862" s="6"/>
      <c r="B862" s="6"/>
      <c r="C862" s="74"/>
      <c r="D862" s="71"/>
      <c r="E862" s="72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>
      <c r="A863" s="6"/>
      <c r="B863" s="6"/>
      <c r="C863" s="74"/>
      <c r="D863" s="71"/>
      <c r="E863" s="72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>
      <c r="A864" s="6"/>
      <c r="B864" s="6"/>
      <c r="C864" s="74"/>
      <c r="D864" s="71"/>
      <c r="E864" s="72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>
      <c r="A865" s="6"/>
      <c r="B865" s="6"/>
      <c r="C865" s="74"/>
      <c r="D865" s="71"/>
      <c r="E865" s="72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>
      <c r="A866" s="6"/>
      <c r="B866" s="6"/>
      <c r="C866" s="74"/>
      <c r="D866" s="71"/>
      <c r="E866" s="72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>
      <c r="A867" s="6"/>
      <c r="B867" s="6"/>
      <c r="C867" s="74"/>
      <c r="D867" s="71"/>
      <c r="E867" s="72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>
      <c r="A868" s="6"/>
      <c r="B868" s="6"/>
      <c r="C868" s="74"/>
      <c r="D868" s="71"/>
      <c r="E868" s="72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>
      <c r="A869" s="6"/>
      <c r="B869" s="6"/>
      <c r="C869" s="74"/>
      <c r="D869" s="71"/>
      <c r="E869" s="72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>
      <c r="A870" s="6"/>
      <c r="B870" s="6"/>
      <c r="C870" s="74"/>
      <c r="D870" s="71"/>
      <c r="E870" s="72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>
      <c r="A871" s="6"/>
      <c r="B871" s="6"/>
      <c r="C871" s="74"/>
      <c r="D871" s="71"/>
      <c r="E871" s="72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>
      <c r="A872" s="6"/>
      <c r="B872" s="6"/>
      <c r="C872" s="74"/>
      <c r="D872" s="71"/>
      <c r="E872" s="72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>
      <c r="A873" s="6"/>
      <c r="B873" s="6"/>
      <c r="C873" s="74"/>
      <c r="D873" s="71"/>
      <c r="E873" s="72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>
      <c r="A874" s="6"/>
      <c r="B874" s="6"/>
      <c r="C874" s="74"/>
      <c r="D874" s="71"/>
      <c r="E874" s="72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>
      <c r="A875" s="6"/>
      <c r="B875" s="6"/>
      <c r="C875" s="74"/>
      <c r="D875" s="71"/>
      <c r="E875" s="72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>
      <c r="A876" s="6"/>
      <c r="B876" s="6"/>
      <c r="C876" s="74"/>
      <c r="D876" s="71"/>
      <c r="E876" s="72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>
      <c r="A877" s="6"/>
      <c r="B877" s="6"/>
      <c r="C877" s="74"/>
      <c r="D877" s="71"/>
      <c r="E877" s="72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>
      <c r="A878" s="6"/>
      <c r="B878" s="6"/>
      <c r="C878" s="74"/>
      <c r="D878" s="71"/>
      <c r="E878" s="72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>
      <c r="A879" s="6"/>
      <c r="B879" s="6"/>
      <c r="C879" s="74"/>
      <c r="D879" s="71"/>
      <c r="E879" s="72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>
      <c r="A880" s="6"/>
      <c r="B880" s="6"/>
      <c r="C880" s="74"/>
      <c r="D880" s="71"/>
      <c r="E880" s="72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>
      <c r="A881" s="6"/>
      <c r="B881" s="6"/>
      <c r="C881" s="74"/>
      <c r="D881" s="71"/>
      <c r="E881" s="72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>
      <c r="A882" s="6"/>
      <c r="B882" s="6"/>
      <c r="C882" s="74"/>
      <c r="D882" s="71"/>
      <c r="E882" s="72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>
      <c r="A883" s="6"/>
      <c r="B883" s="6"/>
      <c r="C883" s="74"/>
      <c r="D883" s="71"/>
      <c r="E883" s="72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>
      <c r="A884" s="6"/>
      <c r="B884" s="6"/>
      <c r="C884" s="74"/>
      <c r="D884" s="71"/>
      <c r="E884" s="72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>
      <c r="A885" s="6"/>
      <c r="B885" s="6"/>
      <c r="C885" s="74"/>
      <c r="D885" s="71"/>
      <c r="E885" s="72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>
      <c r="A886" s="6"/>
      <c r="B886" s="6"/>
      <c r="C886" s="74"/>
      <c r="D886" s="71"/>
      <c r="E886" s="72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>
      <c r="A887" s="6"/>
      <c r="B887" s="6"/>
      <c r="C887" s="74"/>
      <c r="D887" s="71"/>
      <c r="E887" s="72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>
      <c r="A888" s="6"/>
      <c r="B888" s="6"/>
      <c r="C888" s="74"/>
      <c r="D888" s="71"/>
      <c r="E888" s="72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>
      <c r="A889" s="6"/>
      <c r="B889" s="6"/>
      <c r="C889" s="74"/>
      <c r="D889" s="71"/>
      <c r="E889" s="72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>
      <c r="A890" s="6"/>
      <c r="B890" s="6"/>
      <c r="C890" s="74"/>
      <c r="D890" s="71"/>
      <c r="E890" s="72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>
      <c r="A891" s="6"/>
      <c r="B891" s="6"/>
      <c r="C891" s="74"/>
      <c r="D891" s="71"/>
      <c r="E891" s="72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1.13"/>
    <col customWidth="1" min="3" max="3" width="25.13"/>
    <col customWidth="1" min="4" max="4" width="7.63"/>
    <col customWidth="1" min="5" max="5" width="15.63"/>
    <col customWidth="1" min="6" max="6" width="14.75"/>
    <col customWidth="1" min="7" max="7" width="17.0"/>
    <col customWidth="1" min="8" max="8" width="16.0"/>
    <col customWidth="1" min="9" max="9" width="7.75"/>
    <col customWidth="1" min="10" max="11" width="6.0"/>
    <col customWidth="1" min="12" max="13" width="7.0"/>
    <col customWidth="1" min="14" max="14" width="14.25"/>
    <col customWidth="1" min="15" max="15" width="9.38"/>
    <col customWidth="1" min="16" max="16" width="8.75"/>
    <col customWidth="1" min="17" max="17" width="7.88"/>
  </cols>
  <sheetData>
    <row r="1">
      <c r="A1" s="22" t="s">
        <v>1501</v>
      </c>
      <c r="B1" s="22" t="s">
        <v>1502</v>
      </c>
      <c r="C1" s="22" t="s">
        <v>1503</v>
      </c>
      <c r="D1" s="22" t="s">
        <v>1504</v>
      </c>
      <c r="E1" s="22" t="s">
        <v>1505</v>
      </c>
      <c r="F1" s="22" t="s">
        <v>1506</v>
      </c>
      <c r="G1" s="22" t="s">
        <v>1507</v>
      </c>
      <c r="H1" s="22" t="s">
        <v>1508</v>
      </c>
      <c r="I1" s="22" t="s">
        <v>1509</v>
      </c>
      <c r="J1" s="22" t="s">
        <v>1510</v>
      </c>
      <c r="K1" s="22" t="s">
        <v>27</v>
      </c>
      <c r="L1" s="22" t="s">
        <v>1511</v>
      </c>
      <c r="M1" s="22" t="s">
        <v>31</v>
      </c>
      <c r="N1" s="22" t="s">
        <v>1512</v>
      </c>
      <c r="O1" s="22" t="s">
        <v>1513</v>
      </c>
      <c r="P1" s="22" t="s">
        <v>1514</v>
      </c>
      <c r="Q1" s="22" t="s">
        <v>1515</v>
      </c>
      <c r="R1" s="22" t="s">
        <v>1516</v>
      </c>
      <c r="S1" s="32"/>
      <c r="T1" s="32"/>
      <c r="U1" s="32"/>
      <c r="V1" s="32"/>
      <c r="W1" s="32"/>
      <c r="X1" s="32"/>
    </row>
    <row r="2">
      <c r="A2" s="123">
        <v>8.6E11</v>
      </c>
      <c r="B2" s="123">
        <v>7.8E11</v>
      </c>
      <c r="C2" s="123">
        <v>3.3E10</v>
      </c>
      <c r="D2" s="22">
        <v>0.03293</v>
      </c>
      <c r="E2" s="123">
        <v>8.6E11</v>
      </c>
      <c r="F2" s="123">
        <v>98.3242</v>
      </c>
      <c r="G2" s="123">
        <v>8.4E13</v>
      </c>
      <c r="H2" s="22">
        <v>2024.0</v>
      </c>
      <c r="I2" s="22" t="s">
        <v>37</v>
      </c>
      <c r="J2" s="22">
        <v>91.0</v>
      </c>
      <c r="K2" s="22">
        <v>89.2</v>
      </c>
      <c r="L2" s="22">
        <v>23.6602</v>
      </c>
      <c r="M2" s="22">
        <v>21.6149</v>
      </c>
      <c r="N2" s="123">
        <v>1.7E10</v>
      </c>
      <c r="O2" s="123">
        <v>0.0194325</v>
      </c>
      <c r="P2" s="22">
        <v>0.9034015</v>
      </c>
      <c r="Q2" s="22">
        <v>24.21537</v>
      </c>
      <c r="R2" s="32"/>
      <c r="S2" s="32"/>
      <c r="T2" s="32"/>
      <c r="U2" s="32"/>
      <c r="V2" s="32"/>
      <c r="W2" s="32"/>
      <c r="X2" s="32"/>
    </row>
    <row r="3">
      <c r="A3" s="123">
        <v>7.2E11</v>
      </c>
      <c r="B3" s="123">
        <v>6.5E11</v>
      </c>
      <c r="C3" s="123">
        <v>3.2E10</v>
      </c>
      <c r="D3" s="22">
        <v>0.14659</v>
      </c>
      <c r="E3" s="123">
        <v>7.2E11</v>
      </c>
      <c r="F3" s="123">
        <v>82.9262</v>
      </c>
      <c r="G3" s="123">
        <v>5.9E13</v>
      </c>
      <c r="H3" s="22">
        <v>2023.0</v>
      </c>
      <c r="I3" s="22" t="s">
        <v>37</v>
      </c>
      <c r="J3" s="22">
        <v>89.2</v>
      </c>
      <c r="K3" s="22">
        <v>78.0</v>
      </c>
      <c r="L3" s="22">
        <v>21.6149</v>
      </c>
      <c r="M3" s="22">
        <v>18.1757</v>
      </c>
      <c r="N3" s="123">
        <v>1.6E10</v>
      </c>
      <c r="O3" s="123">
        <v>0.0223217</v>
      </c>
      <c r="P3" s="22">
        <v>0.9012848</v>
      </c>
      <c r="Q3" s="22">
        <v>24.18297</v>
      </c>
      <c r="R3" s="22">
        <v>86.0667</v>
      </c>
      <c r="S3" s="32"/>
      <c r="T3" s="32"/>
      <c r="U3" s="32"/>
      <c r="V3" s="32"/>
      <c r="W3" s="32"/>
      <c r="X3" s="32"/>
    </row>
    <row r="4">
      <c r="A4" s="123">
        <v>6.1E11</v>
      </c>
      <c r="B4" s="123">
        <v>5.5E11</v>
      </c>
      <c r="C4" s="123">
        <v>2.8E10</v>
      </c>
      <c r="D4" s="22">
        <v>0.18529</v>
      </c>
      <c r="E4" s="123">
        <v>6.1E11</v>
      </c>
      <c r="F4" s="123">
        <v>60.2963</v>
      </c>
      <c r="G4" s="123">
        <v>3.6E13</v>
      </c>
      <c r="H4" s="22">
        <v>2022.0</v>
      </c>
      <c r="I4" s="22" t="s">
        <v>37</v>
      </c>
      <c r="J4" s="22">
        <v>78.0</v>
      </c>
      <c r="K4" s="22">
        <v>71.0</v>
      </c>
      <c r="L4" s="22">
        <v>18.1757</v>
      </c>
      <c r="M4" s="22">
        <v>12.1839</v>
      </c>
      <c r="N4" s="123">
        <v>1.4E10</v>
      </c>
      <c r="O4" s="123">
        <v>0.0225181</v>
      </c>
      <c r="P4" s="22">
        <v>0.903864</v>
      </c>
      <c r="Q4" s="22">
        <v>24.04618</v>
      </c>
      <c r="R4" s="22">
        <v>79.4</v>
      </c>
      <c r="S4" s="32"/>
      <c r="T4" s="32"/>
      <c r="U4" s="32"/>
      <c r="V4" s="32"/>
      <c r="W4" s="32"/>
      <c r="X4" s="32"/>
    </row>
    <row r="5">
      <c r="A5" s="123">
        <v>5.3E11</v>
      </c>
      <c r="B5" s="123">
        <v>4.8E11</v>
      </c>
      <c r="C5" s="123">
        <v>2.3E10</v>
      </c>
      <c r="D5" s="22">
        <v>0.31024</v>
      </c>
      <c r="E5" s="123">
        <v>5.3E11</v>
      </c>
      <c r="F5" s="123">
        <v>69.8842</v>
      </c>
      <c r="G5" s="123">
        <v>3.6E13</v>
      </c>
      <c r="H5" s="22">
        <v>2021.0</v>
      </c>
      <c r="I5" s="22" t="s">
        <v>37</v>
      </c>
      <c r="J5" s="22">
        <v>71.0</v>
      </c>
      <c r="K5" s="22">
        <v>65.0</v>
      </c>
      <c r="L5" s="22">
        <v>12.1839</v>
      </c>
      <c r="M5" s="22">
        <v>12.2739</v>
      </c>
      <c r="N5" s="123">
        <v>9.6E9</v>
      </c>
      <c r="O5" s="123">
        <v>0.0181949</v>
      </c>
      <c r="P5" s="22">
        <v>0.9149233</v>
      </c>
      <c r="Q5" s="22">
        <v>23.87619</v>
      </c>
      <c r="R5" s="22">
        <v>71.3333</v>
      </c>
      <c r="S5" s="32"/>
      <c r="T5" s="32"/>
      <c r="U5" s="32"/>
      <c r="V5" s="32"/>
      <c r="W5" s="32"/>
      <c r="X5" s="32"/>
    </row>
    <row r="6">
      <c r="A6" s="123">
        <v>4.4E11</v>
      </c>
      <c r="B6" s="123">
        <v>4.1E11</v>
      </c>
      <c r="C6" s="123">
        <v>1.8E10</v>
      </c>
      <c r="D6" s="22">
        <v>0.22611</v>
      </c>
      <c r="E6" s="123">
        <v>4.4E11</v>
      </c>
      <c r="F6" s="123">
        <v>41.9627</v>
      </c>
      <c r="G6" s="123">
        <v>1.8E13</v>
      </c>
      <c r="H6" s="22">
        <v>2020.0</v>
      </c>
      <c r="I6" s="22" t="s">
        <v>37</v>
      </c>
      <c r="J6" s="22">
        <v>65.0</v>
      </c>
      <c r="K6" s="22">
        <v>63.0</v>
      </c>
      <c r="L6" s="22">
        <v>12.2739</v>
      </c>
      <c r="M6" s="22">
        <v>11.3076</v>
      </c>
      <c r="N6" s="123">
        <v>7.7E9</v>
      </c>
      <c r="O6" s="123">
        <v>0.017283</v>
      </c>
      <c r="P6" s="22">
        <v>0.920257</v>
      </c>
      <c r="Q6" s="22">
        <v>23.60597</v>
      </c>
      <c r="R6" s="22">
        <v>66.3333</v>
      </c>
      <c r="S6" s="32"/>
      <c r="T6" s="32"/>
      <c r="U6" s="32"/>
      <c r="V6" s="32"/>
      <c r="W6" s="32"/>
      <c r="X6" s="32"/>
    </row>
    <row r="7">
      <c r="A7" s="123">
        <v>3.8E11</v>
      </c>
      <c r="B7" s="123">
        <v>3.6E11</v>
      </c>
      <c r="C7" s="123">
        <v>1.5E10</v>
      </c>
      <c r="D7" s="22">
        <v>0.1953</v>
      </c>
      <c r="E7" s="123">
        <v>3.8E11</v>
      </c>
      <c r="F7" s="123">
        <v>23.9382</v>
      </c>
      <c r="G7" s="123">
        <v>8.8E12</v>
      </c>
      <c r="H7" s="22">
        <v>2019.0</v>
      </c>
      <c r="I7" s="22" t="s">
        <v>37</v>
      </c>
      <c r="J7" s="22">
        <v>63.0</v>
      </c>
      <c r="K7" s="22">
        <v>57.6</v>
      </c>
      <c r="L7" s="22">
        <v>11.3076</v>
      </c>
      <c r="M7" s="22">
        <v>11.3396</v>
      </c>
      <c r="N7" s="123">
        <v>6.0E9</v>
      </c>
      <c r="O7" s="123">
        <v>0.0156707</v>
      </c>
      <c r="P7" s="22">
        <v>0.9276028</v>
      </c>
      <c r="Q7" s="22">
        <v>23.40213</v>
      </c>
      <c r="R7" s="22">
        <v>61.8667</v>
      </c>
      <c r="S7" s="32"/>
      <c r="T7" s="32"/>
      <c r="U7" s="32"/>
      <c r="V7" s="32"/>
      <c r="W7" s="32"/>
      <c r="X7" s="32"/>
    </row>
    <row r="8">
      <c r="A8" s="123">
        <v>3.3E11</v>
      </c>
      <c r="B8" s="123">
        <v>3.1E11</v>
      </c>
      <c r="C8" s="123">
        <v>1.2E10</v>
      </c>
      <c r="D8" s="22">
        <v>0.15954</v>
      </c>
      <c r="E8" s="123">
        <v>3.3E11</v>
      </c>
      <c r="F8" s="123">
        <v>22.2706</v>
      </c>
      <c r="G8" s="123">
        <v>7.0E12</v>
      </c>
      <c r="H8" s="22">
        <v>2018.0</v>
      </c>
      <c r="I8" s="22" t="s">
        <v>37</v>
      </c>
      <c r="J8" s="22">
        <v>57.6</v>
      </c>
      <c r="K8" s="22">
        <v>55.0</v>
      </c>
      <c r="L8" s="22">
        <v>11.3396</v>
      </c>
      <c r="M8" s="22">
        <v>12.4741</v>
      </c>
      <c r="N8" s="123">
        <v>5.1E9</v>
      </c>
      <c r="O8" s="123">
        <v>0.0155983</v>
      </c>
      <c r="P8" s="22">
        <v>0.9361805</v>
      </c>
      <c r="Q8" s="22">
        <v>23.22373</v>
      </c>
      <c r="R8" s="22">
        <v>58.5333</v>
      </c>
      <c r="S8" s="32"/>
      <c r="T8" s="32"/>
      <c r="U8" s="32"/>
      <c r="V8" s="32"/>
      <c r="W8" s="32"/>
      <c r="X8" s="32"/>
    </row>
    <row r="9">
      <c r="A9" s="123">
        <v>2.8E11</v>
      </c>
      <c r="B9" s="123">
        <v>2.7E11</v>
      </c>
      <c r="C9" s="123">
        <v>1.1E10</v>
      </c>
      <c r="D9" s="22">
        <v>0.44932</v>
      </c>
      <c r="E9" s="123">
        <v>2.8E11</v>
      </c>
      <c r="F9" s="123">
        <v>23.1723</v>
      </c>
      <c r="G9" s="123">
        <v>6.3E12</v>
      </c>
      <c r="H9" s="22">
        <v>2017.0</v>
      </c>
      <c r="I9" s="22" t="s">
        <v>37</v>
      </c>
      <c r="J9" s="22">
        <v>55.0</v>
      </c>
      <c r="K9" s="22">
        <v>44.0</v>
      </c>
      <c r="L9" s="22">
        <v>12.4741</v>
      </c>
      <c r="M9" s="22">
        <v>14.0523</v>
      </c>
      <c r="N9" s="123">
        <v>2.1E9</v>
      </c>
      <c r="O9" s="123">
        <v>0.0074499</v>
      </c>
      <c r="P9" s="22">
        <v>0.9436161</v>
      </c>
      <c r="Q9" s="22">
        <v>23.07571</v>
      </c>
      <c r="R9" s="22">
        <v>52.2</v>
      </c>
      <c r="S9" s="32"/>
      <c r="T9" s="32"/>
      <c r="U9" s="32"/>
      <c r="V9" s="32"/>
      <c r="W9" s="32"/>
      <c r="X9" s="32"/>
    </row>
    <row r="10">
      <c r="A10" s="123">
        <v>2.3E11</v>
      </c>
      <c r="B10" s="123">
        <v>2.2E11</v>
      </c>
      <c r="C10" s="123">
        <v>7.3E9</v>
      </c>
      <c r="D10" s="22">
        <v>0.21761</v>
      </c>
      <c r="E10" s="123">
        <v>2.3E11</v>
      </c>
      <c r="F10" s="123">
        <v>13.8395</v>
      </c>
      <c r="G10" s="123">
        <v>3.0E12</v>
      </c>
      <c r="H10" s="22">
        <v>2016.0</v>
      </c>
      <c r="I10" s="22" t="s">
        <v>37</v>
      </c>
      <c r="J10" s="22">
        <v>44.0</v>
      </c>
      <c r="K10" s="22">
        <v>41.0</v>
      </c>
      <c r="L10" s="22">
        <v>14.0523</v>
      </c>
      <c r="M10" s="22">
        <v>19.6496</v>
      </c>
      <c r="N10" s="123">
        <v>1.3E9</v>
      </c>
      <c r="O10" s="123">
        <v>0.0056709</v>
      </c>
      <c r="P10" s="22">
        <v>0.9398208</v>
      </c>
      <c r="Q10" s="22">
        <v>22.70461</v>
      </c>
      <c r="R10" s="22">
        <v>46.6667</v>
      </c>
      <c r="S10" s="32"/>
      <c r="T10" s="32"/>
      <c r="U10" s="32"/>
      <c r="V10" s="32"/>
      <c r="W10" s="32"/>
      <c r="X10" s="32"/>
    </row>
    <row r="11">
      <c r="A11" s="123">
        <v>2.0E11</v>
      </c>
      <c r="B11" s="123">
        <v>1.9E11</v>
      </c>
      <c r="C11" s="123">
        <v>6.0E9</v>
      </c>
      <c r="D11" s="22">
        <v>0.01182</v>
      </c>
      <c r="E11" s="123">
        <v>2.0E11</v>
      </c>
      <c r="F11" s="123">
        <v>16.2396</v>
      </c>
      <c r="G11" s="123">
        <v>3.1E12</v>
      </c>
      <c r="H11" s="22">
        <v>2015.0</v>
      </c>
      <c r="I11" s="22" t="s">
        <v>37</v>
      </c>
      <c r="J11" s="22">
        <v>41.0</v>
      </c>
      <c r="K11" s="22">
        <v>39.0</v>
      </c>
      <c r="L11" s="22">
        <v>19.6496</v>
      </c>
      <c r="M11" s="22">
        <v>28.8466</v>
      </c>
      <c r="N11" s="123">
        <v>1.0E9</v>
      </c>
      <c r="O11" s="123">
        <v>0.005104</v>
      </c>
      <c r="P11" s="22">
        <v>0.9365247</v>
      </c>
      <c r="Q11" s="22">
        <v>22.50772</v>
      </c>
      <c r="R11" s="22">
        <v>41.3333</v>
      </c>
      <c r="S11" s="32"/>
      <c r="T11" s="32"/>
      <c r="U11" s="32"/>
      <c r="V11" s="32"/>
      <c r="W11" s="32"/>
      <c r="X11" s="32"/>
    </row>
    <row r="12">
      <c r="A12" s="123">
        <v>1.8E11</v>
      </c>
      <c r="B12" s="123">
        <v>1.7E11</v>
      </c>
      <c r="C12" s="123">
        <v>5.9E9</v>
      </c>
      <c r="D12" s="22">
        <v>-0.96886</v>
      </c>
      <c r="E12" s="123">
        <v>1.8E11</v>
      </c>
      <c r="F12" s="123">
        <v>13.7216</v>
      </c>
      <c r="G12" s="123">
        <v>2.3E12</v>
      </c>
      <c r="H12" s="22">
        <v>2014.0</v>
      </c>
      <c r="I12" s="22" t="s">
        <v>37</v>
      </c>
      <c r="J12" s="22">
        <v>39.0</v>
      </c>
      <c r="K12" s="32"/>
      <c r="L12" s="22">
        <v>28.8466</v>
      </c>
      <c r="M12" s="32"/>
      <c r="N12" s="123">
        <v>9.5E8</v>
      </c>
      <c r="O12" s="123">
        <v>0.0052993</v>
      </c>
      <c r="P12" s="22">
        <v>0.9309765</v>
      </c>
      <c r="Q12" s="22">
        <v>22.49597</v>
      </c>
      <c r="R12" s="32"/>
      <c r="S12" s="32"/>
      <c r="T12" s="32"/>
      <c r="U12" s="32"/>
      <c r="V12" s="32"/>
      <c r="W12" s="32"/>
      <c r="X12" s="32"/>
    </row>
    <row r="13">
      <c r="A13" s="123">
        <v>8.4E11</v>
      </c>
      <c r="B13" s="123">
        <v>6.8E11</v>
      </c>
      <c r="C13" s="123">
        <v>1.9E11</v>
      </c>
      <c r="D13" s="22">
        <v>0.17123</v>
      </c>
      <c r="E13" s="123">
        <v>8.4E11</v>
      </c>
      <c r="F13" s="123">
        <v>186.148</v>
      </c>
      <c r="G13" s="123">
        <v>1.6E14</v>
      </c>
      <c r="H13" s="22">
        <v>2024.0</v>
      </c>
      <c r="I13" s="22" t="s">
        <v>95</v>
      </c>
      <c r="J13" s="22">
        <v>88.2</v>
      </c>
      <c r="K13" s="22">
        <v>86.8</v>
      </c>
      <c r="L13" s="22">
        <v>23.6602</v>
      </c>
      <c r="M13" s="22">
        <v>21.6149</v>
      </c>
      <c r="N13" s="123">
        <v>5.3E9</v>
      </c>
      <c r="O13" s="123">
        <v>0.0063065</v>
      </c>
      <c r="P13" s="22">
        <v>0.8161203</v>
      </c>
      <c r="Q13" s="22">
        <v>25.96537</v>
      </c>
      <c r="R13" s="32"/>
      <c r="S13" s="32"/>
      <c r="T13" s="32"/>
      <c r="U13" s="32"/>
      <c r="V13" s="32"/>
      <c r="W13" s="32"/>
      <c r="X13" s="32"/>
    </row>
    <row r="14">
      <c r="A14" s="123">
        <v>6.7E11</v>
      </c>
      <c r="B14" s="123">
        <v>5.2E11</v>
      </c>
      <c r="C14" s="123">
        <v>1.6E11</v>
      </c>
      <c r="D14" s="22">
        <v>0.58583</v>
      </c>
      <c r="E14" s="123">
        <v>6.7E11</v>
      </c>
      <c r="F14" s="123">
        <v>255.552</v>
      </c>
      <c r="G14" s="123">
        <v>1.7E14</v>
      </c>
      <c r="H14" s="22">
        <v>2023.0</v>
      </c>
      <c r="I14" s="22" t="s">
        <v>95</v>
      </c>
      <c r="J14" s="22">
        <v>86.8</v>
      </c>
      <c r="K14" s="22">
        <v>86.1</v>
      </c>
      <c r="L14" s="22">
        <v>21.6149</v>
      </c>
      <c r="M14" s="22">
        <v>18.1757</v>
      </c>
      <c r="N14" s="123">
        <v>2.1E9</v>
      </c>
      <c r="O14" s="123">
        <v>0.0030795</v>
      </c>
      <c r="P14" s="22">
        <v>0.7779968</v>
      </c>
      <c r="Q14" s="22">
        <v>25.80732</v>
      </c>
      <c r="R14" s="22">
        <v>87.0333</v>
      </c>
      <c r="S14" s="32"/>
      <c r="T14" s="32"/>
      <c r="U14" s="32"/>
      <c r="V14" s="32"/>
      <c r="W14" s="32"/>
      <c r="X14" s="32"/>
    </row>
    <row r="15">
      <c r="A15" s="123">
        <v>5.8E11</v>
      </c>
      <c r="B15" s="123">
        <v>4.4E11</v>
      </c>
      <c r="C15" s="123">
        <v>1.0E11</v>
      </c>
      <c r="D15" s="22">
        <v>-0.19011</v>
      </c>
      <c r="E15" s="123">
        <v>5.8E11</v>
      </c>
      <c r="F15" s="123">
        <v>355.316</v>
      </c>
      <c r="G15" s="123">
        <v>2.0E14</v>
      </c>
      <c r="H15" s="22">
        <v>2022.0</v>
      </c>
      <c r="I15" s="22" t="s">
        <v>95</v>
      </c>
      <c r="J15" s="22">
        <v>86.1</v>
      </c>
      <c r="K15" s="22">
        <v>84.0</v>
      </c>
      <c r="L15" s="22">
        <v>18.1757</v>
      </c>
      <c r="M15" s="22">
        <v>12.1839</v>
      </c>
      <c r="N15" s="123">
        <v>2.0E9</v>
      </c>
      <c r="O15" s="123">
        <v>0.0035406</v>
      </c>
      <c r="P15" s="22">
        <v>0.7650611</v>
      </c>
      <c r="Q15" s="22">
        <v>25.34621</v>
      </c>
      <c r="R15" s="22">
        <v>85.6333</v>
      </c>
      <c r="S15" s="32"/>
      <c r="T15" s="32"/>
      <c r="U15" s="32"/>
      <c r="V15" s="32"/>
      <c r="W15" s="32"/>
      <c r="X15" s="32"/>
    </row>
    <row r="16">
      <c r="A16" s="123">
        <v>4.3E11</v>
      </c>
      <c r="B16" s="123">
        <v>2.7E11</v>
      </c>
      <c r="C16" s="123">
        <v>1.3E11</v>
      </c>
      <c r="D16" s="22">
        <v>0.13755</v>
      </c>
      <c r="E16" s="123">
        <v>4.3E11</v>
      </c>
      <c r="F16" s="123">
        <v>751.516</v>
      </c>
      <c r="G16" s="123">
        <v>3.2E14</v>
      </c>
      <c r="H16" s="22">
        <v>2021.0</v>
      </c>
      <c r="I16" s="22" t="s">
        <v>95</v>
      </c>
      <c r="J16" s="22">
        <v>84.0</v>
      </c>
      <c r="K16" s="22">
        <v>81.9</v>
      </c>
      <c r="L16" s="22">
        <v>12.1839</v>
      </c>
      <c r="M16" s="22">
        <v>12.2739</v>
      </c>
      <c r="N16" s="123">
        <v>-7.6E9</v>
      </c>
      <c r="O16" s="123">
        <v>-0.0176434</v>
      </c>
      <c r="P16" s="22">
        <v>0.6275032</v>
      </c>
      <c r="Q16" s="22">
        <v>25.55707</v>
      </c>
      <c r="R16" s="22">
        <v>84.0</v>
      </c>
      <c r="S16" s="32"/>
      <c r="T16" s="32"/>
      <c r="U16" s="32"/>
      <c r="V16" s="32"/>
      <c r="W16" s="32"/>
      <c r="X16" s="32"/>
    </row>
    <row r="17">
      <c r="A17" s="123">
        <v>4.2E11</v>
      </c>
      <c r="B17" s="123">
        <v>2.9E11</v>
      </c>
      <c r="C17" s="123">
        <v>1.1E11</v>
      </c>
      <c r="D17" s="22">
        <v>-0.15031</v>
      </c>
      <c r="E17" s="123">
        <v>4.2E11</v>
      </c>
      <c r="F17" s="123">
        <v>765.976</v>
      </c>
      <c r="G17" s="123">
        <v>3.2E14</v>
      </c>
      <c r="H17" s="22">
        <v>2020.0</v>
      </c>
      <c r="I17" s="22" t="s">
        <v>95</v>
      </c>
      <c r="J17" s="22">
        <v>81.9</v>
      </c>
      <c r="K17" s="22">
        <v>73.1</v>
      </c>
      <c r="L17" s="22">
        <v>12.2739</v>
      </c>
      <c r="M17" s="22">
        <v>11.3076</v>
      </c>
      <c r="N17" s="123">
        <v>4.5E9</v>
      </c>
      <c r="O17" s="123">
        <v>0.0107374</v>
      </c>
      <c r="P17" s="22">
        <v>0.677883</v>
      </c>
      <c r="Q17" s="22">
        <v>25.42819</v>
      </c>
      <c r="R17" s="22">
        <v>79.6667</v>
      </c>
      <c r="S17" s="32"/>
      <c r="T17" s="32"/>
      <c r="U17" s="32"/>
      <c r="V17" s="32"/>
      <c r="W17" s="32"/>
      <c r="X17" s="32"/>
    </row>
    <row r="18">
      <c r="A18" s="123">
        <v>4.0E11</v>
      </c>
      <c r="B18" s="123">
        <v>2.8E11</v>
      </c>
      <c r="C18" s="123">
        <v>1.3E11</v>
      </c>
      <c r="D18" s="22">
        <v>0.06679</v>
      </c>
      <c r="E18" s="123">
        <v>4.0E11</v>
      </c>
      <c r="F18" s="123">
        <v>808.781</v>
      </c>
      <c r="G18" s="123">
        <v>3.3E14</v>
      </c>
      <c r="H18" s="22">
        <v>2019.0</v>
      </c>
      <c r="I18" s="22" t="s">
        <v>95</v>
      </c>
      <c r="J18" s="22">
        <v>73.1</v>
      </c>
      <c r="K18" s="22">
        <v>70.2</v>
      </c>
      <c r="L18" s="22">
        <v>11.3076</v>
      </c>
      <c r="M18" s="22">
        <v>11.3396</v>
      </c>
      <c r="N18" s="123">
        <v>7.7E9</v>
      </c>
      <c r="O18" s="123">
        <v>0.0191128</v>
      </c>
      <c r="P18" s="22">
        <v>0.7013217</v>
      </c>
      <c r="Q18" s="22">
        <v>25.59108</v>
      </c>
      <c r="R18" s="22">
        <v>75.0667</v>
      </c>
      <c r="S18" s="32"/>
      <c r="T18" s="32"/>
      <c r="U18" s="32"/>
      <c r="V18" s="32"/>
      <c r="W18" s="32"/>
      <c r="X18" s="32"/>
    </row>
    <row r="19">
      <c r="A19" s="123">
        <v>2.9E11</v>
      </c>
      <c r="B19" s="123">
        <v>1.9E11</v>
      </c>
      <c r="C19" s="123">
        <v>1.2E11</v>
      </c>
      <c r="D19" s="22">
        <v>0.36423</v>
      </c>
      <c r="E19" s="123">
        <v>2.9E11</v>
      </c>
      <c r="F19" s="123">
        <v>776.158</v>
      </c>
      <c r="G19" s="123">
        <v>2.2E14</v>
      </c>
      <c r="H19" s="22">
        <v>2018.0</v>
      </c>
      <c r="I19" s="22" t="s">
        <v>95</v>
      </c>
      <c r="J19" s="22">
        <v>70.2</v>
      </c>
      <c r="K19" s="22">
        <v>65.6</v>
      </c>
      <c r="L19" s="22">
        <v>11.3396</v>
      </c>
      <c r="M19" s="22">
        <v>12.4741</v>
      </c>
      <c r="N19" s="123">
        <v>6.2E9</v>
      </c>
      <c r="O19" s="123">
        <v>0.0216498</v>
      </c>
      <c r="P19" s="22">
        <v>0.6558231</v>
      </c>
      <c r="Q19" s="22">
        <v>25.52642</v>
      </c>
      <c r="R19" s="22">
        <v>69.6333</v>
      </c>
      <c r="S19" s="32"/>
      <c r="T19" s="32"/>
      <c r="U19" s="32"/>
      <c r="V19" s="32"/>
      <c r="W19" s="32"/>
      <c r="X19" s="32"/>
    </row>
    <row r="20">
      <c r="A20" s="123">
        <v>2.1E11</v>
      </c>
      <c r="B20" s="123">
        <v>1.6E11</v>
      </c>
      <c r="C20" s="123">
        <v>8.9E10</v>
      </c>
      <c r="D20" s="22">
        <v>0.55083</v>
      </c>
      <c r="E20" s="123">
        <v>2.1E11</v>
      </c>
      <c r="F20" s="123">
        <v>701.365</v>
      </c>
      <c r="G20" s="123">
        <v>1.5E14</v>
      </c>
      <c r="H20" s="22">
        <v>2017.0</v>
      </c>
      <c r="I20" s="22" t="s">
        <v>95</v>
      </c>
      <c r="J20" s="22">
        <v>65.6</v>
      </c>
      <c r="K20" s="22">
        <v>61.6</v>
      </c>
      <c r="L20" s="22">
        <v>12.4741</v>
      </c>
      <c r="M20" s="22">
        <v>14.0523</v>
      </c>
      <c r="N20" s="123">
        <v>5.7E9</v>
      </c>
      <c r="O20" s="123">
        <v>0.0264507</v>
      </c>
      <c r="P20" s="22">
        <v>0.7541676</v>
      </c>
      <c r="Q20" s="22">
        <v>25.21583</v>
      </c>
      <c r="R20" s="22">
        <v>65.8</v>
      </c>
      <c r="S20" s="32"/>
      <c r="T20" s="32"/>
      <c r="U20" s="32"/>
      <c r="V20" s="32"/>
      <c r="W20" s="32"/>
      <c r="X20" s="32"/>
    </row>
    <row r="21">
      <c r="A21" s="123">
        <v>1.8E11</v>
      </c>
      <c r="B21" s="123">
        <v>1.4E11</v>
      </c>
      <c r="C21" s="123">
        <v>5.8E10</v>
      </c>
      <c r="D21" s="22">
        <v>0.69215</v>
      </c>
      <c r="E21" s="123">
        <v>1.8E11</v>
      </c>
      <c r="F21" s="123">
        <v>314.899</v>
      </c>
      <c r="G21" s="123">
        <v>5.8E13</v>
      </c>
      <c r="H21" s="22">
        <v>2016.0</v>
      </c>
      <c r="I21" s="22" t="s">
        <v>95</v>
      </c>
      <c r="J21" s="22">
        <v>61.6</v>
      </c>
      <c r="K21" s="22">
        <v>57.8</v>
      </c>
      <c r="L21" s="22">
        <v>14.0523</v>
      </c>
      <c r="M21" s="22">
        <v>19.6496</v>
      </c>
      <c r="N21" s="123">
        <v>4.5E9</v>
      </c>
      <c r="O21" s="123">
        <v>0.0242983</v>
      </c>
      <c r="P21" s="22">
        <v>0.7367979</v>
      </c>
      <c r="Q21" s="22">
        <v>24.77704</v>
      </c>
      <c r="R21" s="22">
        <v>61.6667</v>
      </c>
      <c r="S21" s="32"/>
      <c r="T21" s="32"/>
      <c r="U21" s="32"/>
      <c r="V21" s="32"/>
      <c r="W21" s="32"/>
      <c r="X21" s="32"/>
    </row>
    <row r="22">
      <c r="A22" s="123">
        <v>1.5E11</v>
      </c>
      <c r="B22" s="123">
        <v>1.1E11</v>
      </c>
      <c r="C22" s="123">
        <v>3.4E10</v>
      </c>
      <c r="D22" s="22">
        <v>0.22812</v>
      </c>
      <c r="E22" s="123">
        <v>1.5E11</v>
      </c>
      <c r="F22" s="123">
        <v>247.473</v>
      </c>
      <c r="G22" s="123">
        <v>3.6E13</v>
      </c>
      <c r="H22" s="22">
        <v>2015.0</v>
      </c>
      <c r="I22" s="22" t="s">
        <v>95</v>
      </c>
      <c r="J22" s="22">
        <v>57.8</v>
      </c>
      <c r="K22" s="22">
        <v>54.0</v>
      </c>
      <c r="L22" s="22">
        <v>19.6496</v>
      </c>
      <c r="M22" s="22">
        <v>28.8466</v>
      </c>
      <c r="N22" s="123">
        <v>1.5E9</v>
      </c>
      <c r="O22" s="123">
        <v>0.0103156</v>
      </c>
      <c r="P22" s="22">
        <v>0.7417808</v>
      </c>
      <c r="Q22" s="22">
        <v>24.25104</v>
      </c>
      <c r="R22" s="22">
        <v>57.8</v>
      </c>
      <c r="S22" s="32"/>
      <c r="T22" s="32"/>
      <c r="U22" s="32"/>
      <c r="V22" s="32"/>
      <c r="W22" s="32"/>
      <c r="X22" s="32"/>
    </row>
    <row r="23">
      <c r="A23" s="123">
        <v>9.0E10</v>
      </c>
      <c r="B23" s="123">
        <v>6.3E10</v>
      </c>
      <c r="C23" s="123">
        <v>2.8E10</v>
      </c>
      <c r="D23" s="22">
        <v>-0.66669</v>
      </c>
      <c r="E23" s="123">
        <v>9.0E10</v>
      </c>
      <c r="F23" s="123">
        <v>212.122</v>
      </c>
      <c r="G23" s="123">
        <v>1.9E13</v>
      </c>
      <c r="H23" s="22">
        <v>2014.0</v>
      </c>
      <c r="I23" s="22" t="s">
        <v>95</v>
      </c>
      <c r="J23" s="22">
        <v>54.0</v>
      </c>
      <c r="K23" s="32"/>
      <c r="L23" s="22">
        <v>28.8466</v>
      </c>
      <c r="M23" s="32"/>
      <c r="N23" s="123">
        <v>3.8E9</v>
      </c>
      <c r="O23" s="123">
        <v>0.0419236</v>
      </c>
      <c r="P23" s="22">
        <v>0.6950954</v>
      </c>
      <c r="Q23" s="22">
        <v>24.04555</v>
      </c>
      <c r="R23" s="32"/>
      <c r="S23" s="32"/>
      <c r="T23" s="32"/>
      <c r="U23" s="32"/>
      <c r="V23" s="32"/>
      <c r="W23" s="32"/>
      <c r="X23" s="32"/>
    </row>
    <row r="24">
      <c r="A24" s="123">
        <v>1.5E11</v>
      </c>
      <c r="B24" s="123">
        <v>1.1E11</v>
      </c>
      <c r="C24" s="123">
        <v>8.3E10</v>
      </c>
      <c r="D24" s="22">
        <v>0.06295</v>
      </c>
      <c r="E24" s="123">
        <v>1.5E11</v>
      </c>
      <c r="F24" s="123">
        <v>393.859</v>
      </c>
      <c r="G24" s="123">
        <v>5.8E13</v>
      </c>
      <c r="H24" s="22">
        <v>2024.0</v>
      </c>
      <c r="I24" s="22" t="s">
        <v>160</v>
      </c>
      <c r="J24" s="22">
        <v>89.9</v>
      </c>
      <c r="K24" s="22">
        <v>85.6</v>
      </c>
      <c r="L24" s="22">
        <v>23.6602</v>
      </c>
      <c r="M24" s="22">
        <v>21.6149</v>
      </c>
      <c r="N24" s="123">
        <v>4.3E9</v>
      </c>
      <c r="O24" s="123">
        <v>0.0289487</v>
      </c>
      <c r="P24" s="22">
        <v>0.7238713</v>
      </c>
      <c r="Q24" s="22">
        <v>25.14425</v>
      </c>
      <c r="R24" s="32"/>
      <c r="S24" s="32"/>
      <c r="T24" s="32"/>
      <c r="U24" s="32"/>
      <c r="V24" s="32"/>
      <c r="W24" s="32"/>
      <c r="X24" s="32"/>
    </row>
    <row r="25">
      <c r="A25" s="123">
        <v>1.5E11</v>
      </c>
      <c r="B25" s="123">
        <v>1.1E11</v>
      </c>
      <c r="C25" s="123">
        <v>7.8E10</v>
      </c>
      <c r="D25" s="22">
        <v>0.02707</v>
      </c>
      <c r="E25" s="123">
        <v>1.5E11</v>
      </c>
      <c r="F25" s="123">
        <v>431.577</v>
      </c>
      <c r="G25" s="123">
        <v>6.3E13</v>
      </c>
      <c r="H25" s="22">
        <v>2023.0</v>
      </c>
      <c r="I25" s="22" t="s">
        <v>160</v>
      </c>
      <c r="J25" s="22">
        <v>85.6</v>
      </c>
      <c r="K25" s="22">
        <v>81.7</v>
      </c>
      <c r="L25" s="22">
        <v>21.6149</v>
      </c>
      <c r="M25" s="22">
        <v>18.1757</v>
      </c>
      <c r="N25" s="123">
        <v>1.9E9</v>
      </c>
      <c r="O25" s="123">
        <v>0.0126875</v>
      </c>
      <c r="P25" s="22">
        <v>0.7405595</v>
      </c>
      <c r="Q25" s="22">
        <v>25.08319</v>
      </c>
      <c r="R25" s="22">
        <v>81.4333</v>
      </c>
      <c r="S25" s="32"/>
      <c r="T25" s="32"/>
      <c r="U25" s="32"/>
      <c r="V25" s="32"/>
      <c r="W25" s="32"/>
      <c r="X25" s="32"/>
    </row>
    <row r="26">
      <c r="A26" s="123">
        <v>1.4E11</v>
      </c>
      <c r="B26" s="123">
        <v>1.0E11</v>
      </c>
      <c r="C26" s="123">
        <v>7.6E10</v>
      </c>
      <c r="D26" s="22">
        <v>-0.14036</v>
      </c>
      <c r="E26" s="123">
        <v>1.4E11</v>
      </c>
      <c r="F26" s="123">
        <v>450.093</v>
      </c>
      <c r="G26" s="123">
        <v>6.4E13</v>
      </c>
      <c r="H26" s="22">
        <v>2022.0</v>
      </c>
      <c r="I26" s="22" t="s">
        <v>160</v>
      </c>
      <c r="J26" s="22">
        <v>81.7</v>
      </c>
      <c r="K26" s="22">
        <v>77.0</v>
      </c>
      <c r="L26" s="22">
        <v>18.1757</v>
      </c>
      <c r="M26" s="22">
        <v>12.1839</v>
      </c>
      <c r="N26" s="123">
        <v>4.8E9</v>
      </c>
      <c r="O26" s="123">
        <v>0.0336373</v>
      </c>
      <c r="P26" s="22">
        <v>0.7407952</v>
      </c>
      <c r="Q26" s="22">
        <v>25.05649</v>
      </c>
      <c r="R26" s="22">
        <v>75.8</v>
      </c>
      <c r="S26" s="32"/>
      <c r="T26" s="32"/>
      <c r="U26" s="32"/>
      <c r="V26" s="32"/>
      <c r="W26" s="32"/>
      <c r="X26" s="32"/>
    </row>
    <row r="27">
      <c r="A27" s="123">
        <v>1.3E11</v>
      </c>
      <c r="B27" s="123">
        <v>8.4E10</v>
      </c>
      <c r="C27" s="123">
        <v>8.9E10</v>
      </c>
      <c r="D27" s="22">
        <v>0.14778</v>
      </c>
      <c r="E27" s="123">
        <v>1.3E11</v>
      </c>
      <c r="F27" s="123">
        <v>886.613</v>
      </c>
      <c r="G27" s="123">
        <v>1.1E14</v>
      </c>
      <c r="H27" s="22">
        <v>2021.0</v>
      </c>
      <c r="I27" s="22" t="s">
        <v>160</v>
      </c>
      <c r="J27" s="22">
        <v>77.0</v>
      </c>
      <c r="K27" s="22">
        <v>68.7</v>
      </c>
      <c r="L27" s="22">
        <v>12.1839</v>
      </c>
      <c r="M27" s="22">
        <v>12.2739</v>
      </c>
      <c r="N27" s="123">
        <v>1.0E10</v>
      </c>
      <c r="O27" s="123">
        <v>0.0801103</v>
      </c>
      <c r="P27" s="22">
        <v>0.6642439</v>
      </c>
      <c r="Q27" s="22">
        <v>25.20772</v>
      </c>
      <c r="R27" s="22">
        <v>68.6333</v>
      </c>
      <c r="S27" s="32"/>
      <c r="T27" s="32"/>
      <c r="U27" s="32"/>
      <c r="V27" s="32"/>
      <c r="W27" s="32"/>
      <c r="X27" s="32"/>
    </row>
    <row r="28">
      <c r="A28" s="123">
        <v>1.2E11</v>
      </c>
      <c r="B28" s="123">
        <v>9.1E10</v>
      </c>
      <c r="C28" s="123">
        <v>7.7E10</v>
      </c>
      <c r="D28" s="22">
        <v>1.06718</v>
      </c>
      <c r="E28" s="123">
        <v>1.2E11</v>
      </c>
      <c r="F28" s="123">
        <v>972.185</v>
      </c>
      <c r="G28" s="123">
        <v>1.1E14</v>
      </c>
      <c r="H28" s="22">
        <v>2020.0</v>
      </c>
      <c r="I28" s="22" t="s">
        <v>160</v>
      </c>
      <c r="J28" s="22">
        <v>68.7</v>
      </c>
      <c r="K28" s="22">
        <v>60.2</v>
      </c>
      <c r="L28" s="22">
        <v>12.2739</v>
      </c>
      <c r="M28" s="22">
        <v>11.3076</v>
      </c>
      <c r="N28" s="123">
        <v>1.4E9</v>
      </c>
      <c r="O28" s="123">
        <v>0.0120533</v>
      </c>
      <c r="P28" s="22">
        <v>0.7837306</v>
      </c>
      <c r="Q28" s="22">
        <v>25.0699</v>
      </c>
      <c r="R28" s="22">
        <v>63.1333</v>
      </c>
      <c r="S28" s="32"/>
      <c r="T28" s="32"/>
      <c r="U28" s="32"/>
      <c r="V28" s="32"/>
      <c r="W28" s="32"/>
      <c r="X28" s="32"/>
    </row>
    <row r="29">
      <c r="A29" s="123">
        <v>9.7E10</v>
      </c>
      <c r="B29" s="123">
        <v>4.5E10</v>
      </c>
      <c r="C29" s="123">
        <v>3.7E10</v>
      </c>
      <c r="D29" s="22">
        <v>-0.02183</v>
      </c>
      <c r="E29" s="123">
        <v>9.7E10</v>
      </c>
      <c r="F29" s="123">
        <v>1222.49</v>
      </c>
      <c r="G29" s="123">
        <v>1.2E14</v>
      </c>
      <c r="H29" s="22">
        <v>2019.0</v>
      </c>
      <c r="I29" s="22" t="s">
        <v>160</v>
      </c>
      <c r="J29" s="22">
        <v>60.2</v>
      </c>
      <c r="K29" s="22">
        <v>60.5</v>
      </c>
      <c r="L29" s="22">
        <v>11.3076</v>
      </c>
      <c r="M29" s="22">
        <v>11.3396</v>
      </c>
      <c r="N29" s="123">
        <v>6.4E9</v>
      </c>
      <c r="O29" s="123">
        <v>0.0654141</v>
      </c>
      <c r="P29" s="22">
        <v>0.4667022</v>
      </c>
      <c r="Q29" s="22">
        <v>24.34371</v>
      </c>
      <c r="R29" s="22">
        <v>58.7333</v>
      </c>
      <c r="S29" s="32"/>
      <c r="T29" s="32"/>
      <c r="U29" s="32"/>
      <c r="V29" s="32"/>
      <c r="W29" s="32"/>
      <c r="X29" s="32"/>
    </row>
    <row r="30">
      <c r="A30" s="123">
        <v>6.5E10</v>
      </c>
      <c r="B30" s="123">
        <v>3.0E10</v>
      </c>
      <c r="C30" s="123">
        <v>3.8E10</v>
      </c>
      <c r="D30" s="22">
        <v>0.01507</v>
      </c>
      <c r="E30" s="123">
        <v>6.5E10</v>
      </c>
      <c r="F30" s="123">
        <v>1518.66</v>
      </c>
      <c r="G30" s="123">
        <v>9.8E13</v>
      </c>
      <c r="H30" s="22">
        <v>2018.0</v>
      </c>
      <c r="I30" s="22" t="s">
        <v>160</v>
      </c>
      <c r="J30" s="22">
        <v>60.5</v>
      </c>
      <c r="K30" s="22">
        <v>55.5</v>
      </c>
      <c r="L30" s="22">
        <v>11.3396</v>
      </c>
      <c r="M30" s="22">
        <v>12.4741</v>
      </c>
      <c r="N30" s="123">
        <v>5.6E9</v>
      </c>
      <c r="O30" s="123">
        <v>0.087049</v>
      </c>
      <c r="P30" s="22">
        <v>0.4722761</v>
      </c>
      <c r="Q30" s="22">
        <v>24.36578</v>
      </c>
      <c r="R30" s="22">
        <v>54.9</v>
      </c>
      <c r="S30" s="32"/>
      <c r="T30" s="32"/>
      <c r="U30" s="32"/>
      <c r="V30" s="32"/>
      <c r="W30" s="32"/>
      <c r="X30" s="32"/>
    </row>
    <row r="31">
      <c r="A31" s="123">
        <v>6.4E10</v>
      </c>
      <c r="B31" s="123">
        <v>4.3E10</v>
      </c>
      <c r="C31" s="123">
        <v>3.8E10</v>
      </c>
      <c r="D31" s="22">
        <v>-0.1311</v>
      </c>
      <c r="E31" s="123">
        <v>6.4E10</v>
      </c>
      <c r="F31" s="123">
        <v>687.239</v>
      </c>
      <c r="G31" s="123">
        <v>4.4E13</v>
      </c>
      <c r="H31" s="22">
        <v>2017.0</v>
      </c>
      <c r="I31" s="22" t="s">
        <v>160</v>
      </c>
      <c r="J31" s="22">
        <v>55.5</v>
      </c>
      <c r="K31" s="22">
        <v>48.7</v>
      </c>
      <c r="L31" s="22">
        <v>12.4741</v>
      </c>
      <c r="M31" s="22">
        <v>14.0523</v>
      </c>
      <c r="N31" s="123">
        <v>3.6E9</v>
      </c>
      <c r="O31" s="123">
        <v>0.0567885</v>
      </c>
      <c r="P31" s="22">
        <v>0.681636</v>
      </c>
      <c r="Q31" s="22">
        <v>24.35082</v>
      </c>
      <c r="R31" s="22">
        <v>48.8</v>
      </c>
      <c r="S31" s="32"/>
      <c r="T31" s="32"/>
      <c r="U31" s="32"/>
      <c r="V31" s="32"/>
      <c r="W31" s="32"/>
      <c r="X31" s="32"/>
    </row>
    <row r="32">
      <c r="A32" s="123">
        <v>7.3E10</v>
      </c>
      <c r="B32" s="123">
        <v>5.3E10</v>
      </c>
      <c r="C32" s="123">
        <v>4.3E10</v>
      </c>
      <c r="D32" s="22">
        <v>0.41362</v>
      </c>
      <c r="E32" s="123">
        <v>7.3E10</v>
      </c>
      <c r="F32" s="123">
        <v>316.159</v>
      </c>
      <c r="G32" s="123">
        <v>2.3E13</v>
      </c>
      <c r="H32" s="22">
        <v>2016.0</v>
      </c>
      <c r="I32" s="22" t="s">
        <v>160</v>
      </c>
      <c r="J32" s="22">
        <v>48.7</v>
      </c>
      <c r="K32" s="22">
        <v>42.2</v>
      </c>
      <c r="L32" s="22">
        <v>14.0523</v>
      </c>
      <c r="M32" s="22">
        <v>19.6496</v>
      </c>
      <c r="N32" s="123">
        <v>3.8E9</v>
      </c>
      <c r="O32" s="123">
        <v>0.0516504</v>
      </c>
      <c r="P32" s="22">
        <v>0.7218936</v>
      </c>
      <c r="Q32" s="22">
        <v>24.49135</v>
      </c>
      <c r="R32" s="22">
        <v>42.7</v>
      </c>
      <c r="S32" s="32"/>
      <c r="T32" s="32"/>
      <c r="U32" s="32"/>
      <c r="V32" s="32"/>
      <c r="W32" s="32"/>
      <c r="X32" s="32"/>
    </row>
    <row r="33">
      <c r="A33" s="123">
        <v>7.2E10</v>
      </c>
      <c r="B33" s="123">
        <v>4.5E10</v>
      </c>
      <c r="C33" s="123">
        <v>3.1E10</v>
      </c>
      <c r="D33" s="22">
        <v>0.90004</v>
      </c>
      <c r="E33" s="123">
        <v>7.2E10</v>
      </c>
      <c r="F33" s="123">
        <v>253.47</v>
      </c>
      <c r="G33" s="123">
        <v>1.8E13</v>
      </c>
      <c r="H33" s="22">
        <v>2015.0</v>
      </c>
      <c r="I33" s="22" t="s">
        <v>160</v>
      </c>
      <c r="J33" s="22">
        <v>42.2</v>
      </c>
      <c r="K33" s="22">
        <v>37.2</v>
      </c>
      <c r="L33" s="22">
        <v>19.6496</v>
      </c>
      <c r="M33" s="22">
        <v>28.8466</v>
      </c>
      <c r="N33" s="123">
        <v>2.5E9</v>
      </c>
      <c r="O33" s="123">
        <v>0.0351741</v>
      </c>
      <c r="P33" s="22">
        <v>0.6226978</v>
      </c>
      <c r="Q33" s="22">
        <v>24.14519</v>
      </c>
      <c r="R33" s="22">
        <v>52.7</v>
      </c>
      <c r="S33" s="32"/>
      <c r="T33" s="32"/>
      <c r="U33" s="32"/>
      <c r="V33" s="32"/>
      <c r="W33" s="32"/>
      <c r="X33" s="32"/>
    </row>
    <row r="34">
      <c r="A34" s="123">
        <v>5.3E10</v>
      </c>
      <c r="B34" s="123">
        <v>3.1E10</v>
      </c>
      <c r="C34" s="123">
        <v>1.6E10</v>
      </c>
      <c r="D34" s="22">
        <v>-0.88391</v>
      </c>
      <c r="E34" s="123">
        <v>5.3E10</v>
      </c>
      <c r="F34" s="123">
        <v>284.827</v>
      </c>
      <c r="G34" s="123">
        <v>1.5E13</v>
      </c>
      <c r="H34" s="22">
        <v>2014.0</v>
      </c>
      <c r="I34" s="22" t="s">
        <v>160</v>
      </c>
      <c r="J34" s="22">
        <v>37.2</v>
      </c>
      <c r="K34" s="32"/>
      <c r="L34" s="22">
        <v>28.8466</v>
      </c>
      <c r="M34" s="32"/>
      <c r="N34" s="123">
        <v>2.0E9</v>
      </c>
      <c r="O34" s="123">
        <v>0.0384601</v>
      </c>
      <c r="P34" s="22">
        <v>0.5860456</v>
      </c>
      <c r="Q34" s="22">
        <v>23.50332</v>
      </c>
      <c r="R34" s="32"/>
      <c r="S34" s="32"/>
      <c r="T34" s="32"/>
      <c r="U34" s="32"/>
      <c r="V34" s="32"/>
      <c r="W34" s="32"/>
      <c r="X34" s="32"/>
    </row>
    <row r="35">
      <c r="A35" s="123">
        <v>2.2E11</v>
      </c>
      <c r="B35" s="123">
        <v>1.1E11</v>
      </c>
      <c r="C35" s="123">
        <v>1.4E11</v>
      </c>
      <c r="D35" s="22">
        <v>0.16731</v>
      </c>
      <c r="E35" s="123">
        <v>2.2E11</v>
      </c>
      <c r="F35" s="123">
        <v>575.735</v>
      </c>
      <c r="G35" s="123">
        <v>1.3E14</v>
      </c>
      <c r="H35" s="22">
        <v>2024.0</v>
      </c>
      <c r="I35" s="22" t="s">
        <v>226</v>
      </c>
      <c r="J35" s="22">
        <v>78.7</v>
      </c>
      <c r="K35" s="22">
        <v>74.1</v>
      </c>
      <c r="L35" s="22">
        <v>23.6602</v>
      </c>
      <c r="M35" s="22">
        <v>21.6149</v>
      </c>
      <c r="N35" s="123">
        <v>1.2E10</v>
      </c>
      <c r="O35" s="123">
        <v>0.0535438</v>
      </c>
      <c r="P35" s="22">
        <v>0.4892975</v>
      </c>
      <c r="Q35" s="22">
        <v>25.6567</v>
      </c>
      <c r="R35" s="32"/>
      <c r="S35" s="32"/>
      <c r="T35" s="32"/>
      <c r="U35" s="32"/>
      <c r="V35" s="32"/>
      <c r="W35" s="32"/>
      <c r="X35" s="32"/>
    </row>
    <row r="36">
      <c r="A36" s="123">
        <v>1.9E11</v>
      </c>
      <c r="B36" s="123">
        <v>8.5E10</v>
      </c>
      <c r="C36" s="123">
        <v>1.2E11</v>
      </c>
      <c r="D36" s="22">
        <v>-0.1588</v>
      </c>
      <c r="E36" s="123">
        <v>1.9E11</v>
      </c>
      <c r="F36" s="123">
        <v>656.124</v>
      </c>
      <c r="G36" s="123">
        <v>1.2E14</v>
      </c>
      <c r="H36" s="22">
        <v>2023.0</v>
      </c>
      <c r="I36" s="22" t="s">
        <v>226</v>
      </c>
      <c r="J36" s="22">
        <v>74.1</v>
      </c>
      <c r="K36" s="22">
        <v>71.3</v>
      </c>
      <c r="L36" s="22">
        <v>21.6149</v>
      </c>
      <c r="M36" s="22">
        <v>18.1757</v>
      </c>
      <c r="N36" s="123">
        <v>6.8E9</v>
      </c>
      <c r="O36" s="123">
        <v>0.0362142</v>
      </c>
      <c r="P36" s="22">
        <v>0.4523644</v>
      </c>
      <c r="Q36" s="22">
        <v>25.502</v>
      </c>
      <c r="R36" s="22">
        <v>74.7</v>
      </c>
      <c r="S36" s="32"/>
      <c r="T36" s="32"/>
      <c r="U36" s="32"/>
      <c r="V36" s="32"/>
      <c r="W36" s="32"/>
      <c r="X36" s="32"/>
    </row>
    <row r="37">
      <c r="A37" s="123">
        <v>1.7E11</v>
      </c>
      <c r="B37" s="123">
        <v>7.4E10</v>
      </c>
      <c r="C37" s="123">
        <v>1.4E11</v>
      </c>
      <c r="D37" s="22">
        <v>-0.05525</v>
      </c>
      <c r="E37" s="123">
        <v>1.7E11</v>
      </c>
      <c r="F37" s="123">
        <v>358.52</v>
      </c>
      <c r="G37" s="123">
        <v>6.1E13</v>
      </c>
      <c r="H37" s="22">
        <v>2022.0</v>
      </c>
      <c r="I37" s="22" t="s">
        <v>226</v>
      </c>
      <c r="J37" s="22">
        <v>71.3</v>
      </c>
      <c r="K37" s="22">
        <v>70.4</v>
      </c>
      <c r="L37" s="22">
        <v>18.1757</v>
      </c>
      <c r="M37" s="22">
        <v>12.1839</v>
      </c>
      <c r="N37" s="123">
        <v>8.4E9</v>
      </c>
      <c r="O37" s="123">
        <v>0.0495753</v>
      </c>
      <c r="P37" s="22">
        <v>0.4357434</v>
      </c>
      <c r="Q37" s="22">
        <v>25.67492</v>
      </c>
      <c r="R37" s="22">
        <v>71.9333</v>
      </c>
      <c r="S37" s="32"/>
      <c r="T37" s="32"/>
      <c r="U37" s="32"/>
      <c r="V37" s="32"/>
      <c r="W37" s="32"/>
      <c r="X37" s="32"/>
    </row>
    <row r="38">
      <c r="A38" s="123">
        <v>1.8E11</v>
      </c>
      <c r="B38" s="123">
        <v>8.7E10</v>
      </c>
      <c r="C38" s="123">
        <v>1.5E11</v>
      </c>
      <c r="D38" s="22">
        <v>0.66092</v>
      </c>
      <c r="E38" s="123">
        <v>1.8E11</v>
      </c>
      <c r="F38" s="123">
        <v>495.03</v>
      </c>
      <c r="G38" s="123">
        <v>8.8E13</v>
      </c>
      <c r="H38" s="22">
        <v>2021.0</v>
      </c>
      <c r="I38" s="22" t="s">
        <v>226</v>
      </c>
      <c r="J38" s="22">
        <v>70.4</v>
      </c>
      <c r="K38" s="22">
        <v>65.2</v>
      </c>
      <c r="L38" s="22">
        <v>12.1839</v>
      </c>
      <c r="M38" s="22">
        <v>12.2739</v>
      </c>
      <c r="N38" s="123">
        <v>3.5E10</v>
      </c>
      <c r="O38" s="123">
        <v>0.1936807</v>
      </c>
      <c r="P38" s="22">
        <v>0.490673</v>
      </c>
      <c r="Q38" s="22">
        <v>25.73176</v>
      </c>
      <c r="R38" s="22">
        <v>68.9667</v>
      </c>
      <c r="S38" s="32"/>
      <c r="T38" s="32"/>
      <c r="U38" s="32"/>
      <c r="V38" s="32"/>
      <c r="W38" s="32"/>
      <c r="X38" s="32"/>
    </row>
    <row r="39">
      <c r="A39" s="123">
        <v>1.3E11</v>
      </c>
      <c r="B39" s="123">
        <v>7.2E10</v>
      </c>
      <c r="C39" s="123">
        <v>9.0E10</v>
      </c>
      <c r="D39" s="22">
        <v>0.41566</v>
      </c>
      <c r="E39" s="123">
        <v>1.3E11</v>
      </c>
      <c r="F39" s="123">
        <v>368.105</v>
      </c>
      <c r="G39" s="123">
        <v>4.8E13</v>
      </c>
      <c r="H39" s="22">
        <v>2020.0</v>
      </c>
      <c r="I39" s="22" t="s">
        <v>226</v>
      </c>
      <c r="J39" s="22">
        <v>65.2</v>
      </c>
      <c r="K39" s="22">
        <v>59.9</v>
      </c>
      <c r="L39" s="22">
        <v>12.2739</v>
      </c>
      <c r="M39" s="22">
        <v>11.3076</v>
      </c>
      <c r="N39" s="123">
        <v>1.4E10</v>
      </c>
      <c r="O39" s="123">
        <v>0.1026995</v>
      </c>
      <c r="P39" s="22">
        <v>0.5496986</v>
      </c>
      <c r="Q39" s="22">
        <v>25.22439</v>
      </c>
      <c r="R39" s="22">
        <v>65.1667</v>
      </c>
      <c r="S39" s="32"/>
      <c r="T39" s="32"/>
      <c r="U39" s="32"/>
      <c r="V39" s="32"/>
      <c r="W39" s="32"/>
      <c r="X39" s="32"/>
    </row>
    <row r="40">
      <c r="A40" s="123">
        <v>1.0E11</v>
      </c>
      <c r="B40" s="123">
        <v>5.4E10</v>
      </c>
      <c r="C40" s="123">
        <v>6.4E10</v>
      </c>
      <c r="D40" s="22">
        <v>0.14008</v>
      </c>
      <c r="E40" s="123">
        <v>1.0E11</v>
      </c>
      <c r="F40" s="123">
        <v>170.508</v>
      </c>
      <c r="G40" s="123">
        <v>1.7E13</v>
      </c>
      <c r="H40" s="22">
        <v>2019.0</v>
      </c>
      <c r="I40" s="22" t="s">
        <v>226</v>
      </c>
      <c r="J40" s="22">
        <v>59.9</v>
      </c>
      <c r="K40" s="22">
        <v>55.5</v>
      </c>
      <c r="L40" s="22">
        <v>11.3076</v>
      </c>
      <c r="M40" s="22">
        <v>11.3396</v>
      </c>
      <c r="N40" s="123">
        <v>7.6E9</v>
      </c>
      <c r="O40" s="123">
        <v>0.0744601</v>
      </c>
      <c r="P40" s="22">
        <v>0.5304726</v>
      </c>
      <c r="Q40" s="22">
        <v>24.87679</v>
      </c>
      <c r="R40" s="22">
        <v>60.2</v>
      </c>
      <c r="S40" s="32"/>
      <c r="T40" s="32"/>
      <c r="U40" s="32"/>
      <c r="V40" s="32"/>
      <c r="W40" s="32"/>
      <c r="X40" s="32"/>
    </row>
    <row r="41">
      <c r="A41" s="123">
        <v>7.8E10</v>
      </c>
      <c r="B41" s="123">
        <v>3.8E10</v>
      </c>
      <c r="C41" s="123">
        <v>5.6E10</v>
      </c>
      <c r="D41" s="22">
        <v>0.20958</v>
      </c>
      <c r="E41" s="123">
        <v>7.8E10</v>
      </c>
      <c r="F41" s="123">
        <v>160.52</v>
      </c>
      <c r="G41" s="123">
        <v>1.3E13</v>
      </c>
      <c r="H41" s="22">
        <v>2018.0</v>
      </c>
      <c r="I41" s="22" t="s">
        <v>226</v>
      </c>
      <c r="J41" s="22">
        <v>55.5</v>
      </c>
      <c r="K41" s="22">
        <v>49.2</v>
      </c>
      <c r="L41" s="22">
        <v>11.3396</v>
      </c>
      <c r="M41" s="22">
        <v>12.4741</v>
      </c>
      <c r="N41" s="123">
        <v>8.6E9</v>
      </c>
      <c r="O41" s="123">
        <v>0.1099491</v>
      </c>
      <c r="P41" s="22">
        <v>0.4806777</v>
      </c>
      <c r="Q41" s="22">
        <v>24.74569</v>
      </c>
      <c r="R41" s="22">
        <v>54.8667</v>
      </c>
      <c r="S41" s="32"/>
      <c r="T41" s="32"/>
      <c r="U41" s="32"/>
      <c r="V41" s="32"/>
      <c r="W41" s="32"/>
      <c r="X41" s="32"/>
    </row>
    <row r="42">
      <c r="A42" s="123">
        <v>5.3E10</v>
      </c>
      <c r="B42" s="123">
        <v>2.1E10</v>
      </c>
      <c r="C42" s="123">
        <v>4.6E10</v>
      </c>
      <c r="D42" s="22">
        <v>0.38694</v>
      </c>
      <c r="E42" s="123">
        <v>5.3E10</v>
      </c>
      <c r="F42" s="123">
        <v>142.222</v>
      </c>
      <c r="G42" s="123">
        <v>7.5E12</v>
      </c>
      <c r="H42" s="22">
        <v>2017.0</v>
      </c>
      <c r="I42" s="22" t="s">
        <v>226</v>
      </c>
      <c r="J42" s="22">
        <v>49.2</v>
      </c>
      <c r="K42" s="22">
        <v>44.3</v>
      </c>
      <c r="L42" s="22">
        <v>12.4741</v>
      </c>
      <c r="M42" s="22">
        <v>14.0523</v>
      </c>
      <c r="N42" s="123">
        <v>8.0E9</v>
      </c>
      <c r="O42" s="123">
        <v>0.1511586</v>
      </c>
      <c r="P42" s="22">
        <v>0.3889807</v>
      </c>
      <c r="Q42" s="22">
        <v>24.55542</v>
      </c>
      <c r="R42" s="22">
        <v>49.6667</v>
      </c>
      <c r="S42" s="32"/>
      <c r="T42" s="32"/>
      <c r="U42" s="32"/>
      <c r="V42" s="32"/>
      <c r="W42" s="32"/>
      <c r="X42" s="32"/>
    </row>
    <row r="43">
      <c r="A43" s="123">
        <v>3.3E10</v>
      </c>
      <c r="B43" s="123">
        <v>1.3E10</v>
      </c>
      <c r="C43" s="123">
        <v>3.3E10</v>
      </c>
      <c r="D43" s="22">
        <v>0.21237</v>
      </c>
      <c r="E43" s="123">
        <v>3.3E10</v>
      </c>
      <c r="F43" s="123">
        <v>113.543</v>
      </c>
      <c r="G43" s="123">
        <v>3.8E12</v>
      </c>
      <c r="H43" s="22">
        <v>2016.0</v>
      </c>
      <c r="I43" s="22" t="s">
        <v>226</v>
      </c>
      <c r="J43" s="22">
        <v>44.3</v>
      </c>
      <c r="K43" s="22">
        <v>42.5</v>
      </c>
      <c r="L43" s="22">
        <v>14.0523</v>
      </c>
      <c r="M43" s="22">
        <v>19.6496</v>
      </c>
      <c r="N43" s="123">
        <v>6.6E9</v>
      </c>
      <c r="O43" s="123">
        <v>0.198823</v>
      </c>
      <c r="P43" s="22">
        <v>0.4025784</v>
      </c>
      <c r="Q43" s="22">
        <v>24.22832</v>
      </c>
      <c r="R43" s="22">
        <v>45.3333</v>
      </c>
      <c r="S43" s="32"/>
      <c r="T43" s="32"/>
      <c r="U43" s="32"/>
      <c r="V43" s="32"/>
      <c r="W43" s="32"/>
      <c r="X43" s="32"/>
    </row>
    <row r="44">
      <c r="A44" s="123">
        <v>2.6E10</v>
      </c>
      <c r="B44" s="123">
        <v>1.1E10</v>
      </c>
      <c r="C44" s="123">
        <v>2.7E10</v>
      </c>
      <c r="D44" s="22">
        <v>0.07552</v>
      </c>
      <c r="E44" s="123">
        <v>2.6E10</v>
      </c>
      <c r="F44" s="123">
        <v>55.7091</v>
      </c>
      <c r="G44" s="123">
        <v>1.4E12</v>
      </c>
      <c r="H44" s="22">
        <v>2015.0</v>
      </c>
      <c r="I44" s="22" t="s">
        <v>226</v>
      </c>
      <c r="J44" s="22">
        <v>42.5</v>
      </c>
      <c r="K44" s="22">
        <v>39.8</v>
      </c>
      <c r="L44" s="22">
        <v>19.6496</v>
      </c>
      <c r="M44" s="22">
        <v>28.8466</v>
      </c>
      <c r="N44" s="123">
        <v>3.5E9</v>
      </c>
      <c r="O44" s="123">
        <v>0.1373903</v>
      </c>
      <c r="P44" s="22">
        <v>0.4328286</v>
      </c>
      <c r="Q44" s="22">
        <v>24.03574</v>
      </c>
      <c r="R44" s="22">
        <v>42.2</v>
      </c>
      <c r="S44" s="32"/>
      <c r="T44" s="32"/>
      <c r="U44" s="32"/>
      <c r="V44" s="32"/>
      <c r="W44" s="32"/>
      <c r="X44" s="32"/>
    </row>
    <row r="45">
      <c r="A45" s="123">
        <v>2.2E10</v>
      </c>
      <c r="B45" s="123">
        <v>1.0E10</v>
      </c>
      <c r="C45" s="123">
        <v>2.6E10</v>
      </c>
      <c r="D45" s="22">
        <v>-0.65081</v>
      </c>
      <c r="E45" s="123">
        <v>2.2E10</v>
      </c>
      <c r="F45" s="123">
        <v>66.0867</v>
      </c>
      <c r="G45" s="123">
        <v>1.4E12</v>
      </c>
      <c r="H45" s="22">
        <v>2014.0</v>
      </c>
      <c r="I45" s="22" t="s">
        <v>226</v>
      </c>
      <c r="J45" s="22">
        <v>39.8</v>
      </c>
      <c r="K45" s="32"/>
      <c r="L45" s="22">
        <v>28.8466</v>
      </c>
      <c r="M45" s="32"/>
      <c r="N45" s="123">
        <v>3.3E9</v>
      </c>
      <c r="O45" s="123">
        <v>0.1471411</v>
      </c>
      <c r="P45" s="22">
        <v>0.4583149</v>
      </c>
      <c r="Q45" s="22">
        <v>23.96294</v>
      </c>
      <c r="R45" s="32"/>
      <c r="S45" s="32"/>
      <c r="T45" s="32"/>
      <c r="U45" s="32"/>
      <c r="V45" s="32"/>
      <c r="W45" s="32"/>
      <c r="X45" s="32"/>
    </row>
    <row r="46">
      <c r="A46" s="123">
        <v>2.4E12</v>
      </c>
      <c r="B46" s="123">
        <v>2.2E12</v>
      </c>
      <c r="C46" s="123">
        <v>7.3E10</v>
      </c>
      <c r="D46" s="22">
        <v>0.13406</v>
      </c>
      <c r="E46" s="123">
        <v>2.4E12</v>
      </c>
      <c r="F46" s="123">
        <v>85.3494</v>
      </c>
      <c r="G46" s="123">
        <v>2.0E14</v>
      </c>
      <c r="H46" s="22">
        <v>2024.0</v>
      </c>
      <c r="I46" s="22" t="s">
        <v>292</v>
      </c>
      <c r="J46" s="22">
        <v>94.5</v>
      </c>
      <c r="K46" s="22">
        <v>92.2</v>
      </c>
      <c r="L46" s="22">
        <v>23.6602</v>
      </c>
      <c r="M46" s="22">
        <v>21.6149</v>
      </c>
      <c r="N46" s="123">
        <v>2.5E10</v>
      </c>
      <c r="O46" s="123">
        <v>0.0106828</v>
      </c>
      <c r="P46" s="22">
        <v>0.937744</v>
      </c>
      <c r="Q46" s="22">
        <v>25.01508</v>
      </c>
      <c r="R46" s="32"/>
      <c r="S46" s="32"/>
      <c r="T46" s="32"/>
      <c r="U46" s="32"/>
      <c r="V46" s="32"/>
      <c r="W46" s="32"/>
      <c r="X46" s="32"/>
    </row>
    <row r="47">
      <c r="A47" s="123">
        <v>2.0E12</v>
      </c>
      <c r="B47" s="123">
        <v>1.9E12</v>
      </c>
      <c r="C47" s="123">
        <v>6.4E10</v>
      </c>
      <c r="D47" s="22">
        <v>0.12951</v>
      </c>
      <c r="E47" s="123">
        <v>2.0E12</v>
      </c>
      <c r="F47" s="123">
        <v>56.0654</v>
      </c>
      <c r="G47" s="123">
        <v>1.1E14</v>
      </c>
      <c r="H47" s="22">
        <v>2023.0</v>
      </c>
      <c r="I47" s="22" t="s">
        <v>292</v>
      </c>
      <c r="J47" s="22">
        <v>92.2</v>
      </c>
      <c r="K47" s="22">
        <v>90.8</v>
      </c>
      <c r="L47" s="22">
        <v>21.6149</v>
      </c>
      <c r="M47" s="22">
        <v>18.1757</v>
      </c>
      <c r="N47" s="123">
        <v>2.0E10</v>
      </c>
      <c r="O47" s="123">
        <v>0.0098615</v>
      </c>
      <c r="P47" s="22">
        <v>0.9380739</v>
      </c>
      <c r="Q47" s="22">
        <v>24.88928</v>
      </c>
      <c r="R47" s="22">
        <v>92.5</v>
      </c>
      <c r="S47" s="32"/>
      <c r="T47" s="32"/>
      <c r="U47" s="32"/>
      <c r="V47" s="32"/>
      <c r="W47" s="32"/>
      <c r="X47" s="32"/>
    </row>
    <row r="48">
      <c r="A48" s="123">
        <v>1.8E12</v>
      </c>
      <c r="B48" s="123">
        <v>1.7E12</v>
      </c>
      <c r="C48" s="123">
        <v>5.7E10</v>
      </c>
      <c r="D48" s="22">
        <v>0.15799</v>
      </c>
      <c r="E48" s="123">
        <v>1.8E12</v>
      </c>
      <c r="F48" s="123">
        <v>72.3623</v>
      </c>
      <c r="G48" s="123">
        <v>1.3E14</v>
      </c>
      <c r="H48" s="22">
        <v>2022.0</v>
      </c>
      <c r="I48" s="22" t="s">
        <v>292</v>
      </c>
      <c r="J48" s="22">
        <v>90.8</v>
      </c>
      <c r="K48" s="22">
        <v>88.0</v>
      </c>
      <c r="L48" s="22">
        <v>18.1757</v>
      </c>
      <c r="M48" s="22">
        <v>12.1839</v>
      </c>
      <c r="N48" s="123">
        <v>1.7E10</v>
      </c>
      <c r="O48" s="123">
        <v>0.0093894</v>
      </c>
      <c r="P48" s="22">
        <v>0.9401174</v>
      </c>
      <c r="Q48" s="22">
        <v>24.76749</v>
      </c>
      <c r="R48" s="22">
        <v>90.3333</v>
      </c>
      <c r="S48" s="32"/>
      <c r="T48" s="32"/>
      <c r="U48" s="32"/>
      <c r="V48" s="32"/>
      <c r="W48" s="32"/>
      <c r="X48" s="32"/>
    </row>
    <row r="49">
      <c r="A49" s="123">
        <v>1.5E12</v>
      </c>
      <c r="B49" s="123">
        <v>1.4E12</v>
      </c>
      <c r="C49" s="123">
        <v>4.9E10</v>
      </c>
      <c r="D49" s="22">
        <v>0.14864</v>
      </c>
      <c r="E49" s="123">
        <v>1.5E12</v>
      </c>
      <c r="F49" s="123">
        <v>76.8434</v>
      </c>
      <c r="G49" s="123">
        <v>1.2E14</v>
      </c>
      <c r="H49" s="22">
        <v>2021.0</v>
      </c>
      <c r="I49" s="22" t="s">
        <v>292</v>
      </c>
      <c r="J49" s="22">
        <v>88.0</v>
      </c>
      <c r="K49" s="22">
        <v>86.9</v>
      </c>
      <c r="L49" s="22">
        <v>12.1839</v>
      </c>
      <c r="M49" s="22">
        <v>12.2739</v>
      </c>
      <c r="N49" s="123">
        <v>1.4E10</v>
      </c>
      <c r="O49" s="123">
        <v>0.0092814</v>
      </c>
      <c r="P49" s="22">
        <v>0.9388546</v>
      </c>
      <c r="Q49" s="22">
        <v>24.62081</v>
      </c>
      <c r="R49" s="22">
        <v>88.5667</v>
      </c>
      <c r="S49" s="32"/>
      <c r="T49" s="32"/>
      <c r="U49" s="32"/>
      <c r="V49" s="32"/>
      <c r="W49" s="32"/>
      <c r="X49" s="32"/>
    </row>
    <row r="50">
      <c r="A50" s="123">
        <v>1.3E12</v>
      </c>
      <c r="B50" s="123">
        <v>1.3E12</v>
      </c>
      <c r="C50" s="123">
        <v>4.3E10</v>
      </c>
      <c r="D50" s="22">
        <v>0.11748</v>
      </c>
      <c r="E50" s="123">
        <v>1.3E12</v>
      </c>
      <c r="F50" s="123">
        <v>65.3169</v>
      </c>
      <c r="G50" s="123">
        <v>8.6E13</v>
      </c>
      <c r="H50" s="22">
        <v>2020.0</v>
      </c>
      <c r="I50" s="22" t="s">
        <v>292</v>
      </c>
      <c r="J50" s="22">
        <v>86.9</v>
      </c>
      <c r="K50" s="22">
        <v>82.5</v>
      </c>
      <c r="L50" s="22">
        <v>12.2739</v>
      </c>
      <c r="M50" s="22">
        <v>11.3076</v>
      </c>
      <c r="N50" s="123">
        <v>1.4E10</v>
      </c>
      <c r="O50" s="123">
        <v>0.0102759</v>
      </c>
      <c r="P50" s="22">
        <v>0.9363111</v>
      </c>
      <c r="Q50" s="22">
        <v>24.48223</v>
      </c>
      <c r="R50" s="22">
        <v>85.8</v>
      </c>
      <c r="S50" s="32"/>
      <c r="T50" s="32"/>
      <c r="U50" s="32"/>
      <c r="V50" s="32"/>
      <c r="W50" s="32"/>
      <c r="X50" s="32"/>
    </row>
    <row r="51">
      <c r="A51" s="123">
        <v>1.2E12</v>
      </c>
      <c r="B51" s="123">
        <v>1.2E12</v>
      </c>
      <c r="C51" s="123">
        <v>3.8E10</v>
      </c>
      <c r="D51" s="22">
        <v>0.46639</v>
      </c>
      <c r="E51" s="123">
        <v>1.2E12</v>
      </c>
      <c r="F51" s="123">
        <v>49.0069</v>
      </c>
      <c r="G51" s="123">
        <v>6.0E13</v>
      </c>
      <c r="H51" s="22">
        <v>2019.0</v>
      </c>
      <c r="I51" s="22" t="s">
        <v>292</v>
      </c>
      <c r="J51" s="22">
        <v>82.5</v>
      </c>
      <c r="K51" s="22">
        <v>79.0</v>
      </c>
      <c r="L51" s="22">
        <v>11.3076</v>
      </c>
      <c r="M51" s="22">
        <v>11.3396</v>
      </c>
      <c r="N51" s="123">
        <v>9.5E9</v>
      </c>
      <c r="O51" s="123">
        <v>0.0076384</v>
      </c>
      <c r="P51" s="22">
        <v>0.9376528</v>
      </c>
      <c r="Q51" s="22">
        <v>24.37115</v>
      </c>
      <c r="R51" s="22">
        <v>82.8</v>
      </c>
      <c r="S51" s="32"/>
      <c r="T51" s="32"/>
      <c r="U51" s="32"/>
      <c r="V51" s="32"/>
      <c r="W51" s="32"/>
      <c r="X51" s="32"/>
    </row>
    <row r="52">
      <c r="A52" s="123">
        <v>1.2E12</v>
      </c>
      <c r="B52" s="123">
        <v>1.1E12</v>
      </c>
      <c r="C52" s="123">
        <v>2.6E10</v>
      </c>
      <c r="D52" s="22">
        <v>-0.12381</v>
      </c>
      <c r="E52" s="123">
        <v>1.2E12</v>
      </c>
      <c r="F52" s="123">
        <v>45.1815</v>
      </c>
      <c r="G52" s="123">
        <v>5.2E13</v>
      </c>
      <c r="H52" s="22">
        <v>2018.0</v>
      </c>
      <c r="I52" s="22" t="s">
        <v>292</v>
      </c>
      <c r="J52" s="22">
        <v>79.0</v>
      </c>
      <c r="K52" s="22">
        <v>76.4</v>
      </c>
      <c r="L52" s="22">
        <v>11.3396</v>
      </c>
      <c r="M52" s="22">
        <v>12.4741</v>
      </c>
      <c r="N52" s="123">
        <v>5.3E9</v>
      </c>
      <c r="O52" s="123">
        <v>0.0045326</v>
      </c>
      <c r="P52" s="22">
        <v>0.9421825</v>
      </c>
      <c r="Q52" s="22">
        <v>23.98835</v>
      </c>
      <c r="R52" s="22">
        <v>79.3</v>
      </c>
      <c r="S52" s="32"/>
      <c r="T52" s="32"/>
      <c r="U52" s="32"/>
      <c r="V52" s="32"/>
      <c r="W52" s="32"/>
      <c r="X52" s="32"/>
    </row>
    <row r="53">
      <c r="A53" s="123">
        <v>1.1E12</v>
      </c>
      <c r="B53" s="123">
        <v>1.0E12</v>
      </c>
      <c r="C53" s="123">
        <v>3.0E10</v>
      </c>
      <c r="D53" s="22">
        <v>0.1995</v>
      </c>
      <c r="E53" s="123">
        <v>1.1E12</v>
      </c>
      <c r="F53" s="123">
        <v>44.377</v>
      </c>
      <c r="G53" s="123">
        <v>4.8E13</v>
      </c>
      <c r="H53" s="22">
        <v>2017.0</v>
      </c>
      <c r="I53" s="22" t="s">
        <v>292</v>
      </c>
      <c r="J53" s="22">
        <v>76.4</v>
      </c>
      <c r="K53" s="22">
        <v>73.5</v>
      </c>
      <c r="L53" s="22">
        <v>12.4741</v>
      </c>
      <c r="M53" s="22">
        <v>14.0523</v>
      </c>
      <c r="N53" s="123">
        <v>7.5E9</v>
      </c>
      <c r="O53" s="123">
        <v>0.0068114</v>
      </c>
      <c r="P53" s="22">
        <v>0.9417701</v>
      </c>
      <c r="Q53" s="22">
        <v>24.12052</v>
      </c>
      <c r="R53" s="22">
        <v>76.3</v>
      </c>
      <c r="S53" s="32"/>
      <c r="T53" s="32"/>
      <c r="U53" s="32"/>
      <c r="V53" s="32"/>
      <c r="W53" s="32"/>
      <c r="X53" s="32"/>
    </row>
    <row r="54">
      <c r="A54" s="123">
        <v>9.5E11</v>
      </c>
      <c r="B54" s="123">
        <v>8.9E11</v>
      </c>
      <c r="C54" s="123">
        <v>2.5E10</v>
      </c>
      <c r="D54" s="22">
        <v>0.21518</v>
      </c>
      <c r="E54" s="123">
        <v>9.5E11</v>
      </c>
      <c r="F54" s="123">
        <v>45.6305</v>
      </c>
      <c r="G54" s="123">
        <v>4.2E13</v>
      </c>
      <c r="H54" s="22">
        <v>2016.0</v>
      </c>
      <c r="I54" s="22" t="s">
        <v>292</v>
      </c>
      <c r="J54" s="22">
        <v>73.5</v>
      </c>
      <c r="K54" s="22">
        <v>69.4</v>
      </c>
      <c r="L54" s="22">
        <v>14.0523</v>
      </c>
      <c r="M54" s="22">
        <v>19.6496</v>
      </c>
      <c r="N54" s="123">
        <v>6.8E9</v>
      </c>
      <c r="O54" s="123">
        <v>0.007131</v>
      </c>
      <c r="P54" s="22">
        <v>0.9363345</v>
      </c>
      <c r="Q54" s="22">
        <v>23.93861</v>
      </c>
      <c r="R54" s="22">
        <v>73.1</v>
      </c>
      <c r="S54" s="32"/>
      <c r="T54" s="32"/>
      <c r="U54" s="32"/>
      <c r="V54" s="32"/>
      <c r="W54" s="32"/>
      <c r="X54" s="32"/>
    </row>
    <row r="55">
      <c r="A55" s="123">
        <v>7.8E11</v>
      </c>
      <c r="B55" s="123">
        <v>7.2E11</v>
      </c>
      <c r="C55" s="123">
        <v>2.1E10</v>
      </c>
      <c r="D55" s="22">
        <v>0.05313</v>
      </c>
      <c r="E55" s="123">
        <v>7.8E11</v>
      </c>
      <c r="F55" s="123">
        <v>44.9426</v>
      </c>
      <c r="G55" s="123">
        <v>3.4E13</v>
      </c>
      <c r="H55" s="22">
        <v>2015.0</v>
      </c>
      <c r="I55" s="22" t="s">
        <v>292</v>
      </c>
      <c r="J55" s="22">
        <v>69.4</v>
      </c>
      <c r="K55" s="22">
        <v>65.0</v>
      </c>
      <c r="L55" s="22">
        <v>19.6496</v>
      </c>
      <c r="M55" s="22">
        <v>28.8466</v>
      </c>
      <c r="N55" s="123">
        <v>5.7E9</v>
      </c>
      <c r="O55" s="123">
        <v>0.0073342</v>
      </c>
      <c r="P55" s="22">
        <v>0.9280162</v>
      </c>
      <c r="Q55" s="22">
        <v>23.74372</v>
      </c>
      <c r="R55" s="22">
        <v>69.3</v>
      </c>
      <c r="S55" s="32"/>
      <c r="T55" s="32"/>
      <c r="U55" s="32"/>
      <c r="V55" s="32"/>
      <c r="W55" s="32"/>
      <c r="X55" s="32"/>
    </row>
    <row r="56">
      <c r="A56" s="123">
        <v>6.6E11</v>
      </c>
      <c r="B56" s="123">
        <v>6.1E11</v>
      </c>
      <c r="C56" s="123">
        <v>1.9E10</v>
      </c>
      <c r="D56" s="22">
        <v>-0.69027</v>
      </c>
      <c r="E56" s="123">
        <v>6.6E11</v>
      </c>
      <c r="F56" s="123">
        <v>46.248</v>
      </c>
      <c r="G56" s="123">
        <v>3.0E13</v>
      </c>
      <c r="H56" s="22">
        <v>2014.0</v>
      </c>
      <c r="I56" s="22" t="s">
        <v>292</v>
      </c>
      <c r="J56" s="22">
        <v>65.0</v>
      </c>
      <c r="K56" s="32"/>
      <c r="L56" s="22">
        <v>28.8466</v>
      </c>
      <c r="M56" s="32"/>
      <c r="N56" s="123">
        <v>5.7E9</v>
      </c>
      <c r="O56" s="123">
        <v>0.0086623</v>
      </c>
      <c r="P56" s="22">
        <v>0.9164313</v>
      </c>
      <c r="Q56" s="22">
        <v>23.69195</v>
      </c>
      <c r="R56" s="32"/>
      <c r="S56" s="32"/>
      <c r="T56" s="32"/>
      <c r="U56" s="32"/>
      <c r="V56" s="32"/>
      <c r="W56" s="32"/>
      <c r="X56" s="32"/>
    </row>
    <row r="57">
      <c r="A57" s="123">
        <v>7.2E10</v>
      </c>
      <c r="B57" s="123">
        <v>3.6E10</v>
      </c>
      <c r="C57" s="123">
        <v>6.3E10</v>
      </c>
      <c r="D57" s="22">
        <v>0.19444</v>
      </c>
      <c r="E57" s="123">
        <v>7.2E10</v>
      </c>
      <c r="F57" s="123">
        <v>2319.68</v>
      </c>
      <c r="G57" s="123">
        <v>1.7E14</v>
      </c>
      <c r="H57" s="22">
        <v>2024.0</v>
      </c>
      <c r="I57" s="22" t="s">
        <v>356</v>
      </c>
      <c r="J57" s="22">
        <v>87.5</v>
      </c>
      <c r="K57" s="22">
        <v>84.5</v>
      </c>
      <c r="L57" s="22">
        <v>23.6602</v>
      </c>
      <c r="M57" s="22">
        <v>21.6149</v>
      </c>
      <c r="N57" s="123">
        <v>9.4E9</v>
      </c>
      <c r="O57" s="123">
        <v>0.1309364</v>
      </c>
      <c r="P57" s="22">
        <v>0.5037841</v>
      </c>
      <c r="Q57" s="22">
        <v>24.864</v>
      </c>
      <c r="R57" s="32"/>
      <c r="S57" s="32"/>
      <c r="T57" s="32"/>
      <c r="U57" s="32"/>
      <c r="V57" s="32"/>
      <c r="W57" s="32"/>
      <c r="X57" s="32"/>
    </row>
    <row r="58">
      <c r="A58" s="123">
        <v>6.0E10</v>
      </c>
      <c r="B58" s="123">
        <v>3.0E10</v>
      </c>
      <c r="C58" s="123">
        <v>5.3E10</v>
      </c>
      <c r="D58" s="22">
        <v>0.1956</v>
      </c>
      <c r="E58" s="123">
        <v>6.0E10</v>
      </c>
      <c r="F58" s="123">
        <v>1294.84</v>
      </c>
      <c r="G58" s="123">
        <v>7.8E13</v>
      </c>
      <c r="H58" s="22">
        <v>2023.0</v>
      </c>
      <c r="I58" s="22" t="s">
        <v>356</v>
      </c>
      <c r="J58" s="22">
        <v>84.5</v>
      </c>
      <c r="K58" s="22">
        <v>81.1</v>
      </c>
      <c r="L58" s="22">
        <v>21.6149</v>
      </c>
      <c r="M58" s="22">
        <v>18.1757</v>
      </c>
      <c r="N58" s="123">
        <v>7.8E9</v>
      </c>
      <c r="O58" s="123">
        <v>0.1291918</v>
      </c>
      <c r="P58" s="22">
        <v>0.5034571</v>
      </c>
      <c r="Q58" s="22">
        <v>24.68632</v>
      </c>
      <c r="R58" s="22">
        <v>84.3667</v>
      </c>
      <c r="S58" s="32"/>
      <c r="T58" s="32"/>
      <c r="U58" s="32"/>
      <c r="V58" s="32"/>
      <c r="W58" s="32"/>
      <c r="X58" s="32"/>
    </row>
    <row r="59">
      <c r="A59" s="123">
        <v>5.2E10</v>
      </c>
      <c r="B59" s="123">
        <v>2.6E10</v>
      </c>
      <c r="C59" s="123">
        <v>4.4E10</v>
      </c>
      <c r="D59" s="22">
        <v>0.23424</v>
      </c>
      <c r="E59" s="123">
        <v>5.2E10</v>
      </c>
      <c r="F59" s="123">
        <v>851.475</v>
      </c>
      <c r="G59" s="123">
        <v>4.4E13</v>
      </c>
      <c r="H59" s="22">
        <v>2022.0</v>
      </c>
      <c r="I59" s="22" t="s">
        <v>356</v>
      </c>
      <c r="J59" s="22">
        <v>81.1</v>
      </c>
      <c r="K59" s="22">
        <v>79.2</v>
      </c>
      <c r="L59" s="22">
        <v>18.1757</v>
      </c>
      <c r="M59" s="22">
        <v>12.1839</v>
      </c>
      <c r="N59" s="123">
        <v>6.5E9</v>
      </c>
      <c r="O59" s="123">
        <v>0.1256785</v>
      </c>
      <c r="P59" s="22">
        <v>0.5090818</v>
      </c>
      <c r="Q59" s="22">
        <v>24.50767</v>
      </c>
      <c r="R59" s="22">
        <v>81.6</v>
      </c>
      <c r="S59" s="32"/>
      <c r="T59" s="32"/>
      <c r="U59" s="32"/>
      <c r="V59" s="32"/>
      <c r="W59" s="32"/>
      <c r="X59" s="32"/>
    </row>
    <row r="60">
      <c r="A60" s="123">
        <v>5.4E10</v>
      </c>
      <c r="B60" s="123">
        <v>3.2E10</v>
      </c>
      <c r="C60" s="123">
        <v>3.6E10</v>
      </c>
      <c r="D60" s="22">
        <v>0.19533</v>
      </c>
      <c r="E60" s="123">
        <v>5.4E10</v>
      </c>
      <c r="F60" s="123">
        <v>705.003</v>
      </c>
      <c r="G60" s="123">
        <v>3.8E13</v>
      </c>
      <c r="H60" s="22">
        <v>2021.0</v>
      </c>
      <c r="I60" s="22" t="s">
        <v>356</v>
      </c>
      <c r="J60" s="22">
        <v>79.2</v>
      </c>
      <c r="K60" s="22">
        <v>76.5</v>
      </c>
      <c r="L60" s="22">
        <v>12.1839</v>
      </c>
      <c r="M60" s="22">
        <v>12.2739</v>
      </c>
      <c r="N60" s="123">
        <v>5.3E9</v>
      </c>
      <c r="O60" s="123">
        <v>0.0996184</v>
      </c>
      <c r="P60" s="22">
        <v>0.6011395</v>
      </c>
      <c r="Q60" s="22">
        <v>24.29722</v>
      </c>
      <c r="R60" s="22">
        <v>78.9333</v>
      </c>
      <c r="S60" s="32"/>
      <c r="T60" s="32"/>
      <c r="U60" s="32"/>
      <c r="V60" s="32"/>
      <c r="W60" s="32"/>
      <c r="X60" s="32"/>
    </row>
    <row r="61">
      <c r="A61" s="123">
        <v>4.2E10</v>
      </c>
      <c r="B61" s="123">
        <v>2.3E10</v>
      </c>
      <c r="C61" s="123">
        <v>3.0E10</v>
      </c>
      <c r="D61" s="22">
        <v>0.07625</v>
      </c>
      <c r="E61" s="123">
        <v>4.2E10</v>
      </c>
      <c r="F61" s="123">
        <v>425.537</v>
      </c>
      <c r="G61" s="123">
        <v>1.8E13</v>
      </c>
      <c r="H61" s="22">
        <v>2020.0</v>
      </c>
      <c r="I61" s="22" t="s">
        <v>356</v>
      </c>
      <c r="J61" s="22">
        <v>76.5</v>
      </c>
      <c r="K61" s="22">
        <v>73.4</v>
      </c>
      <c r="L61" s="22">
        <v>12.2739</v>
      </c>
      <c r="M61" s="22">
        <v>11.3076</v>
      </c>
      <c r="N61" s="123">
        <v>4.4E9</v>
      </c>
      <c r="O61" s="123">
        <v>0.1059978</v>
      </c>
      <c r="P61" s="22">
        <v>0.5541879</v>
      </c>
      <c r="Q61" s="22">
        <v>24.11879</v>
      </c>
      <c r="R61" s="22">
        <v>76.3667</v>
      </c>
      <c r="S61" s="32"/>
      <c r="T61" s="32"/>
      <c r="U61" s="32"/>
      <c r="V61" s="32"/>
      <c r="W61" s="32"/>
      <c r="X61" s="32"/>
    </row>
    <row r="62">
      <c r="A62" s="123">
        <v>3.3E10</v>
      </c>
      <c r="B62" s="123">
        <v>1.7E10</v>
      </c>
      <c r="C62" s="123">
        <v>2.8E10</v>
      </c>
      <c r="D62" s="22">
        <v>0.194</v>
      </c>
      <c r="E62" s="123">
        <v>3.3E10</v>
      </c>
      <c r="F62" s="123">
        <v>397.55</v>
      </c>
      <c r="G62" s="123">
        <v>1.3E13</v>
      </c>
      <c r="H62" s="22">
        <v>2019.0</v>
      </c>
      <c r="I62" s="22" t="s">
        <v>356</v>
      </c>
      <c r="J62" s="22">
        <v>73.4</v>
      </c>
      <c r="K62" s="22">
        <v>73.4</v>
      </c>
      <c r="L62" s="22">
        <v>11.3076</v>
      </c>
      <c r="M62" s="22">
        <v>11.3396</v>
      </c>
      <c r="N62" s="123">
        <v>3.9E9</v>
      </c>
      <c r="O62" s="123">
        <v>0.1171376</v>
      </c>
      <c r="P62" s="22">
        <v>0.4969394</v>
      </c>
      <c r="Q62" s="22">
        <v>24.04531</v>
      </c>
      <c r="R62" s="22">
        <v>74.4333</v>
      </c>
      <c r="S62" s="32"/>
      <c r="T62" s="32"/>
      <c r="U62" s="32"/>
      <c r="V62" s="32"/>
      <c r="W62" s="32"/>
      <c r="X62" s="32"/>
    </row>
    <row r="63">
      <c r="A63" s="123">
        <v>3.0E10</v>
      </c>
      <c r="B63" s="123">
        <v>1.5E10</v>
      </c>
      <c r="C63" s="123">
        <v>2.3E10</v>
      </c>
      <c r="D63" s="22">
        <v>-0.45583</v>
      </c>
      <c r="E63" s="123">
        <v>3.0E10</v>
      </c>
      <c r="F63" s="123">
        <v>244.883</v>
      </c>
      <c r="G63" s="123">
        <v>7.3E12</v>
      </c>
      <c r="H63" s="22">
        <v>2018.0</v>
      </c>
      <c r="I63" s="22" t="s">
        <v>356</v>
      </c>
      <c r="J63" s="22">
        <v>73.4</v>
      </c>
      <c r="K63" s="22">
        <v>73.4</v>
      </c>
      <c r="L63" s="22">
        <v>11.3396</v>
      </c>
      <c r="M63" s="22">
        <v>12.4741</v>
      </c>
      <c r="N63" s="123">
        <v>3.2E9</v>
      </c>
      <c r="O63" s="123">
        <v>0.10868</v>
      </c>
      <c r="P63" s="22">
        <v>0.5034803</v>
      </c>
      <c r="Q63" s="22">
        <v>23.868</v>
      </c>
      <c r="R63" s="22">
        <v>73.4</v>
      </c>
      <c r="S63" s="32"/>
      <c r="T63" s="32"/>
      <c r="U63" s="32"/>
      <c r="V63" s="32"/>
      <c r="W63" s="32"/>
      <c r="X63" s="32"/>
    </row>
    <row r="64">
      <c r="A64" s="123">
        <v>2.5E10</v>
      </c>
      <c r="B64" s="123">
        <v>1.2E10</v>
      </c>
      <c r="C64" s="123">
        <v>4.3E10</v>
      </c>
      <c r="D64" s="22">
        <v>0.07911</v>
      </c>
      <c r="E64" s="123">
        <v>2.5E10</v>
      </c>
      <c r="F64" s="123">
        <v>282.556</v>
      </c>
      <c r="G64" s="123">
        <v>7.1E12</v>
      </c>
      <c r="H64" s="22">
        <v>2017.0</v>
      </c>
      <c r="I64" s="22" t="s">
        <v>356</v>
      </c>
      <c r="J64" s="22">
        <v>73.4</v>
      </c>
      <c r="K64" s="22">
        <v>66.8</v>
      </c>
      <c r="L64" s="22">
        <v>12.4741</v>
      </c>
      <c r="M64" s="22">
        <v>14.0523</v>
      </c>
      <c r="N64" s="123">
        <v>3.5E9</v>
      </c>
      <c r="O64" s="123">
        <v>0.1411264</v>
      </c>
      <c r="P64" s="22">
        <v>0.4704581</v>
      </c>
      <c r="Q64" s="22">
        <v>24.4765</v>
      </c>
      <c r="R64" s="22">
        <v>71.2</v>
      </c>
      <c r="S64" s="32"/>
      <c r="T64" s="32"/>
      <c r="U64" s="32"/>
      <c r="V64" s="32"/>
      <c r="W64" s="32"/>
      <c r="X64" s="32"/>
    </row>
    <row r="65">
      <c r="A65" s="123">
        <v>3.0E10</v>
      </c>
      <c r="B65" s="123">
        <v>1.8E10</v>
      </c>
      <c r="C65" s="123">
        <v>4.0E10</v>
      </c>
      <c r="D65" s="22">
        <v>0.04141</v>
      </c>
      <c r="E65" s="123">
        <v>3.0E10</v>
      </c>
      <c r="F65" s="123">
        <v>132.115</v>
      </c>
      <c r="G65" s="123">
        <v>3.9E12</v>
      </c>
      <c r="H65" s="22">
        <v>2016.0</v>
      </c>
      <c r="I65" s="22" t="s">
        <v>356</v>
      </c>
      <c r="J65" s="22">
        <v>66.8</v>
      </c>
      <c r="K65" s="22">
        <v>66.8</v>
      </c>
      <c r="L65" s="22">
        <v>14.0523</v>
      </c>
      <c r="M65" s="22">
        <v>19.6496</v>
      </c>
      <c r="N65" s="123">
        <v>2.6E9</v>
      </c>
      <c r="O65" s="123">
        <v>0.0863362</v>
      </c>
      <c r="P65" s="22">
        <v>0.6162647</v>
      </c>
      <c r="Q65" s="22">
        <v>24.40036</v>
      </c>
      <c r="R65" s="22">
        <v>69.0</v>
      </c>
      <c r="S65" s="32"/>
      <c r="T65" s="32"/>
      <c r="U65" s="32"/>
      <c r="V65" s="32"/>
      <c r="W65" s="32"/>
      <c r="X65" s="32"/>
    </row>
    <row r="66">
      <c r="A66" s="123">
        <v>2.6E10</v>
      </c>
      <c r="B66" s="123">
        <v>1.6E10</v>
      </c>
      <c r="C66" s="123">
        <v>3.8E10</v>
      </c>
      <c r="D66" s="22">
        <v>0.16282</v>
      </c>
      <c r="E66" s="123">
        <v>2.6E10</v>
      </c>
      <c r="F66" s="123">
        <v>119.524</v>
      </c>
      <c r="G66" s="123">
        <v>3.1E12</v>
      </c>
      <c r="H66" s="22">
        <v>2015.0</v>
      </c>
      <c r="I66" s="22" t="s">
        <v>356</v>
      </c>
      <c r="J66" s="22">
        <v>66.8</v>
      </c>
      <c r="K66" s="22">
        <v>66.8</v>
      </c>
      <c r="L66" s="22">
        <v>19.6496</v>
      </c>
      <c r="M66" s="22">
        <v>28.8466</v>
      </c>
      <c r="N66" s="123">
        <v>2.4E9</v>
      </c>
      <c r="O66" s="123">
        <v>0.0936084</v>
      </c>
      <c r="P66" s="22">
        <v>0.6090591</v>
      </c>
      <c r="Q66" s="22">
        <v>24.35979</v>
      </c>
      <c r="R66" s="22">
        <v>66.8</v>
      </c>
      <c r="S66" s="32"/>
      <c r="T66" s="32"/>
      <c r="U66" s="32"/>
      <c r="V66" s="32"/>
      <c r="W66" s="32"/>
      <c r="X66" s="32"/>
    </row>
    <row r="67">
      <c r="A67" s="123">
        <v>2.3E10</v>
      </c>
      <c r="B67" s="123">
        <v>1.3E10</v>
      </c>
      <c r="C67" s="123">
        <v>3.3E10</v>
      </c>
      <c r="D67" s="22">
        <v>-0.68479</v>
      </c>
      <c r="E67" s="123">
        <v>2.3E10</v>
      </c>
      <c r="F67" s="123">
        <v>91.3082</v>
      </c>
      <c r="G67" s="123">
        <v>2.1E12</v>
      </c>
      <c r="H67" s="22">
        <v>2014.0</v>
      </c>
      <c r="I67" s="22" t="s">
        <v>356</v>
      </c>
      <c r="J67" s="22">
        <v>66.8</v>
      </c>
      <c r="K67" s="32"/>
      <c r="L67" s="22">
        <v>28.8466</v>
      </c>
      <c r="M67" s="32"/>
      <c r="N67" s="123">
        <v>2.1E9</v>
      </c>
      <c r="O67" s="123">
        <v>0.0917598</v>
      </c>
      <c r="P67" s="22">
        <v>0.5914168</v>
      </c>
      <c r="Q67" s="22">
        <v>24.20895</v>
      </c>
      <c r="R67" s="32"/>
      <c r="S67" s="32"/>
      <c r="T67" s="32"/>
      <c r="U67" s="32"/>
      <c r="V67" s="32"/>
      <c r="W67" s="32"/>
      <c r="X67" s="32"/>
    </row>
    <row r="68">
      <c r="A68" s="123">
        <v>8.2E10</v>
      </c>
      <c r="B68" s="123">
        <v>2.0E10</v>
      </c>
      <c r="C68" s="123">
        <v>1.0E11</v>
      </c>
      <c r="D68" s="22">
        <v>0.1513</v>
      </c>
      <c r="E68" s="123">
        <v>8.2E10</v>
      </c>
      <c r="F68" s="123">
        <v>1800.49</v>
      </c>
      <c r="G68" s="123">
        <v>1.5E14</v>
      </c>
      <c r="H68" s="22">
        <v>2024.0</v>
      </c>
      <c r="I68" s="22" t="s">
        <v>419</v>
      </c>
      <c r="J68" s="22">
        <v>89.1</v>
      </c>
      <c r="K68" s="22">
        <v>86.6</v>
      </c>
      <c r="L68" s="22">
        <v>23.6602</v>
      </c>
      <c r="M68" s="22">
        <v>21.6149</v>
      </c>
      <c r="N68" s="123">
        <v>1.1E10</v>
      </c>
      <c r="O68" s="123">
        <v>0.1293768</v>
      </c>
      <c r="P68" s="22">
        <v>0.247803</v>
      </c>
      <c r="Q68" s="22">
        <v>25.36346</v>
      </c>
      <c r="R68" s="32"/>
      <c r="S68" s="32"/>
      <c r="T68" s="32"/>
      <c r="U68" s="32"/>
      <c r="V68" s="32"/>
      <c r="W68" s="32"/>
      <c r="X68" s="32"/>
    </row>
    <row r="69">
      <c r="A69" s="123">
        <v>8.8E10</v>
      </c>
      <c r="B69" s="123">
        <v>2.2E10</v>
      </c>
      <c r="C69" s="123">
        <v>9.0E10</v>
      </c>
      <c r="D69" s="22">
        <v>-0.10692</v>
      </c>
      <c r="E69" s="123">
        <v>8.8E10</v>
      </c>
      <c r="F69" s="123">
        <v>1414.22</v>
      </c>
      <c r="G69" s="123">
        <v>1.2E14</v>
      </c>
      <c r="H69" s="22">
        <v>2023.0</v>
      </c>
      <c r="I69" s="22" t="s">
        <v>419</v>
      </c>
      <c r="J69" s="22">
        <v>86.6</v>
      </c>
      <c r="K69" s="22">
        <v>84.1</v>
      </c>
      <c r="L69" s="22">
        <v>21.6149</v>
      </c>
      <c r="M69" s="22">
        <v>18.1757</v>
      </c>
      <c r="N69" s="123">
        <v>1.2E10</v>
      </c>
      <c r="O69" s="123">
        <v>0.1343874</v>
      </c>
      <c r="P69" s="22">
        <v>0.2558939</v>
      </c>
      <c r="Q69" s="22">
        <v>25.22256</v>
      </c>
      <c r="R69" s="22">
        <v>86.6</v>
      </c>
      <c r="S69" s="32"/>
      <c r="T69" s="32"/>
      <c r="U69" s="32"/>
      <c r="V69" s="32"/>
      <c r="W69" s="32"/>
      <c r="X69" s="32"/>
    </row>
    <row r="70">
      <c r="A70" s="123">
        <v>8.3E10</v>
      </c>
      <c r="B70" s="123">
        <v>2.1E10</v>
      </c>
      <c r="C70" s="123">
        <v>1.0E11</v>
      </c>
      <c r="D70" s="22">
        <v>0.27511</v>
      </c>
      <c r="E70" s="123">
        <v>8.3E10</v>
      </c>
      <c r="F70" s="123">
        <v>1623.25</v>
      </c>
      <c r="G70" s="123">
        <v>1.3E14</v>
      </c>
      <c r="H70" s="22">
        <v>2022.0</v>
      </c>
      <c r="I70" s="22" t="s">
        <v>419</v>
      </c>
      <c r="J70" s="22">
        <v>84.1</v>
      </c>
      <c r="K70" s="22">
        <v>82.3</v>
      </c>
      <c r="L70" s="22">
        <v>18.1757</v>
      </c>
      <c r="M70" s="22">
        <v>12.1839</v>
      </c>
      <c r="N70" s="123">
        <v>1.5E10</v>
      </c>
      <c r="O70" s="123">
        <v>0.1822636</v>
      </c>
      <c r="P70" s="22">
        <v>0.2599613</v>
      </c>
      <c r="Q70" s="22">
        <v>25.33565</v>
      </c>
      <c r="R70" s="22">
        <v>84.3333</v>
      </c>
      <c r="S70" s="32"/>
      <c r="T70" s="32"/>
      <c r="U70" s="32"/>
      <c r="V70" s="32"/>
      <c r="W70" s="32"/>
      <c r="X70" s="32"/>
    </row>
    <row r="71">
      <c r="A71" s="123">
        <v>7.9E10</v>
      </c>
      <c r="B71" s="123">
        <v>2.7E10</v>
      </c>
      <c r="C71" s="123">
        <v>7.9E10</v>
      </c>
      <c r="D71" s="22">
        <v>0.23166</v>
      </c>
      <c r="E71" s="123">
        <v>7.9E10</v>
      </c>
      <c r="F71" s="123">
        <v>1571.78</v>
      </c>
      <c r="G71" s="123">
        <v>1.2E14</v>
      </c>
      <c r="H71" s="22">
        <v>2021.0</v>
      </c>
      <c r="I71" s="22" t="s">
        <v>419</v>
      </c>
      <c r="J71" s="22">
        <v>82.3</v>
      </c>
      <c r="K71" s="22">
        <v>81.0</v>
      </c>
      <c r="L71" s="22">
        <v>12.1839</v>
      </c>
      <c r="M71" s="22">
        <v>12.2739</v>
      </c>
      <c r="N71" s="123">
        <v>8.9E9</v>
      </c>
      <c r="O71" s="123">
        <v>0.1123782</v>
      </c>
      <c r="P71" s="22">
        <v>0.3373872</v>
      </c>
      <c r="Q71" s="22">
        <v>25.09262</v>
      </c>
      <c r="R71" s="22">
        <v>82.4667</v>
      </c>
      <c r="S71" s="32"/>
      <c r="T71" s="32"/>
      <c r="U71" s="32"/>
      <c r="V71" s="32"/>
      <c r="W71" s="32"/>
      <c r="X71" s="32"/>
    </row>
    <row r="72">
      <c r="A72" s="123">
        <v>6.3E10</v>
      </c>
      <c r="B72" s="123">
        <v>1.4E10</v>
      </c>
      <c r="C72" s="123">
        <v>6.4E10</v>
      </c>
      <c r="D72" s="22">
        <v>-0.14493</v>
      </c>
      <c r="E72" s="123">
        <v>6.3E10</v>
      </c>
      <c r="F72" s="123">
        <v>1709.11</v>
      </c>
      <c r="G72" s="123">
        <v>1.1E14</v>
      </c>
      <c r="H72" s="22">
        <v>2020.0</v>
      </c>
      <c r="I72" s="22" t="s">
        <v>419</v>
      </c>
      <c r="J72" s="22">
        <v>81.0</v>
      </c>
      <c r="K72" s="22">
        <v>77.5</v>
      </c>
      <c r="L72" s="22">
        <v>12.2739</v>
      </c>
      <c r="M72" s="22">
        <v>11.3076</v>
      </c>
      <c r="N72" s="123">
        <v>8.0E9</v>
      </c>
      <c r="O72" s="123">
        <v>0.1261192</v>
      </c>
      <c r="P72" s="22">
        <v>0.2168813</v>
      </c>
      <c r="Q72" s="22">
        <v>24.88426</v>
      </c>
      <c r="R72" s="22">
        <v>80.2667</v>
      </c>
      <c r="S72" s="32"/>
      <c r="T72" s="32"/>
      <c r="U72" s="32"/>
      <c r="V72" s="32"/>
      <c r="W72" s="32"/>
      <c r="X72" s="32"/>
    </row>
    <row r="73">
      <c r="A73" s="123">
        <v>6.2E10</v>
      </c>
      <c r="B73" s="123">
        <v>1.3E10</v>
      </c>
      <c r="C73" s="123">
        <v>7.5E10</v>
      </c>
      <c r="D73" s="22">
        <v>-0.00802</v>
      </c>
      <c r="E73" s="123">
        <v>6.2E10</v>
      </c>
      <c r="F73" s="123">
        <v>1791.98</v>
      </c>
      <c r="G73" s="123">
        <v>1.1E14</v>
      </c>
      <c r="H73" s="22">
        <v>2019.0</v>
      </c>
      <c r="I73" s="22" t="s">
        <v>419</v>
      </c>
      <c r="J73" s="22">
        <v>77.5</v>
      </c>
      <c r="K73" s="22">
        <v>75.7</v>
      </c>
      <c r="L73" s="22">
        <v>11.3076</v>
      </c>
      <c r="M73" s="22">
        <v>11.3396</v>
      </c>
      <c r="N73" s="123">
        <v>1.2E10</v>
      </c>
      <c r="O73" s="123">
        <v>0.1943694</v>
      </c>
      <c r="P73" s="22">
        <v>0.2020666</v>
      </c>
      <c r="Q73" s="22">
        <v>25.04082</v>
      </c>
      <c r="R73" s="22">
        <v>78.0667</v>
      </c>
      <c r="S73" s="32"/>
      <c r="T73" s="32"/>
      <c r="U73" s="32"/>
      <c r="V73" s="32"/>
      <c r="W73" s="32"/>
      <c r="X73" s="32"/>
    </row>
    <row r="74">
      <c r="A74" s="123">
        <v>6.3E10</v>
      </c>
      <c r="B74" s="123">
        <v>1.6E10</v>
      </c>
      <c r="C74" s="123">
        <v>7.6E10</v>
      </c>
      <c r="D74" s="22">
        <v>0.17186</v>
      </c>
      <c r="E74" s="123">
        <v>6.3E10</v>
      </c>
      <c r="F74" s="123">
        <v>1596.83</v>
      </c>
      <c r="G74" s="123">
        <v>1.0E14</v>
      </c>
      <c r="H74" s="22">
        <v>2018.0</v>
      </c>
      <c r="I74" s="22" t="s">
        <v>419</v>
      </c>
      <c r="J74" s="22">
        <v>75.7</v>
      </c>
      <c r="K74" s="22">
        <v>72.5</v>
      </c>
      <c r="L74" s="22">
        <v>11.3396</v>
      </c>
      <c r="M74" s="22">
        <v>12.4741</v>
      </c>
      <c r="N74" s="123">
        <v>1.2E10</v>
      </c>
      <c r="O74" s="123">
        <v>0.1869947</v>
      </c>
      <c r="P74" s="22">
        <v>0.2514963</v>
      </c>
      <c r="Q74" s="22">
        <v>25.04887</v>
      </c>
      <c r="R74" s="22">
        <v>75.2333</v>
      </c>
      <c r="S74" s="32"/>
      <c r="T74" s="32"/>
      <c r="U74" s="32"/>
      <c r="V74" s="32"/>
      <c r="W74" s="32"/>
      <c r="X74" s="32"/>
    </row>
    <row r="75">
      <c r="A75" s="123">
        <v>6.2E10</v>
      </c>
      <c r="B75" s="123">
        <v>1.9E10</v>
      </c>
      <c r="C75" s="123">
        <v>6.5E10</v>
      </c>
      <c r="D75" s="22">
        <v>0.09219</v>
      </c>
      <c r="E75" s="123">
        <v>6.2E10</v>
      </c>
      <c r="F75" s="123">
        <v>1741.74</v>
      </c>
      <c r="G75" s="123">
        <v>1.1E14</v>
      </c>
      <c r="H75" s="22">
        <v>2017.0</v>
      </c>
      <c r="I75" s="22" t="s">
        <v>419</v>
      </c>
      <c r="J75" s="22">
        <v>72.5</v>
      </c>
      <c r="K75" s="22">
        <v>70.2</v>
      </c>
      <c r="L75" s="22">
        <v>12.4741</v>
      </c>
      <c r="M75" s="22">
        <v>14.0523</v>
      </c>
      <c r="N75" s="123">
        <v>9.9E9</v>
      </c>
      <c r="O75" s="123">
        <v>0.1605736</v>
      </c>
      <c r="P75" s="22">
        <v>0.3008246</v>
      </c>
      <c r="Q75" s="22">
        <v>24.89028</v>
      </c>
      <c r="R75" s="22">
        <v>72.8</v>
      </c>
      <c r="S75" s="32"/>
      <c r="T75" s="32"/>
      <c r="U75" s="32"/>
      <c r="V75" s="32"/>
      <c r="W75" s="32"/>
      <c r="X75" s="32"/>
    </row>
    <row r="76">
      <c r="A76" s="123">
        <v>5.7E10</v>
      </c>
      <c r="B76" s="123">
        <v>1.6E10</v>
      </c>
      <c r="C76" s="123">
        <v>5.9E10</v>
      </c>
      <c r="D76" s="22">
        <v>-0.08124</v>
      </c>
      <c r="E76" s="123">
        <v>5.7E10</v>
      </c>
      <c r="F76" s="123">
        <v>1105.11</v>
      </c>
      <c r="G76" s="123">
        <v>6.3E13</v>
      </c>
      <c r="H76" s="22">
        <v>2016.0</v>
      </c>
      <c r="I76" s="22" t="s">
        <v>419</v>
      </c>
      <c r="J76" s="22">
        <v>70.2</v>
      </c>
      <c r="K76" s="22">
        <v>66.0</v>
      </c>
      <c r="L76" s="22">
        <v>14.0523</v>
      </c>
      <c r="M76" s="22">
        <v>19.6496</v>
      </c>
      <c r="N76" s="123">
        <v>7.2E9</v>
      </c>
      <c r="O76" s="123">
        <v>0.1263775</v>
      </c>
      <c r="P76" s="22">
        <v>0.2803335</v>
      </c>
      <c r="Q76" s="22">
        <v>24.80209</v>
      </c>
      <c r="R76" s="22">
        <v>69.5667</v>
      </c>
      <c r="S76" s="32"/>
      <c r="T76" s="32"/>
      <c r="U76" s="32"/>
      <c r="V76" s="32"/>
      <c r="W76" s="32"/>
      <c r="X76" s="32"/>
    </row>
    <row r="77">
      <c r="A77" s="123">
        <v>5.7E10</v>
      </c>
      <c r="B77" s="123">
        <v>1.4E10</v>
      </c>
      <c r="C77" s="123">
        <v>6.4E10</v>
      </c>
      <c r="D77" s="22">
        <v>-0.12368</v>
      </c>
      <c r="E77" s="123">
        <v>5.7E10</v>
      </c>
      <c r="F77" s="123">
        <v>605.981</v>
      </c>
      <c r="G77" s="123">
        <v>3.4E13</v>
      </c>
      <c r="H77" s="22">
        <v>2015.0</v>
      </c>
      <c r="I77" s="22" t="s">
        <v>419</v>
      </c>
      <c r="J77" s="22">
        <v>66.0</v>
      </c>
      <c r="K77" s="22">
        <v>63.5</v>
      </c>
      <c r="L77" s="22">
        <v>19.6496</v>
      </c>
      <c r="M77" s="22">
        <v>28.8466</v>
      </c>
      <c r="N77" s="123">
        <v>8.8E9</v>
      </c>
      <c r="O77" s="123">
        <v>0.1557293</v>
      </c>
      <c r="P77" s="22">
        <v>0.243774</v>
      </c>
      <c r="Q77" s="22">
        <v>24.88683</v>
      </c>
      <c r="R77" s="22">
        <v>66.5667</v>
      </c>
      <c r="S77" s="32"/>
      <c r="T77" s="32"/>
      <c r="U77" s="32"/>
      <c r="V77" s="32"/>
      <c r="W77" s="32"/>
      <c r="X77" s="32"/>
    </row>
    <row r="78">
      <c r="A78" s="123">
        <v>5.4E10</v>
      </c>
      <c r="B78" s="123">
        <v>1.6E10</v>
      </c>
      <c r="C78" s="123">
        <v>7.3E10</v>
      </c>
      <c r="D78" s="22">
        <v>0.4089</v>
      </c>
      <c r="E78" s="123">
        <v>5.4E10</v>
      </c>
      <c r="F78" s="123">
        <v>1203.52</v>
      </c>
      <c r="G78" s="123">
        <v>6.5E13</v>
      </c>
      <c r="H78" s="22">
        <v>2014.0</v>
      </c>
      <c r="I78" s="22" t="s">
        <v>419</v>
      </c>
      <c r="J78" s="22">
        <v>63.5</v>
      </c>
      <c r="K78" s="32"/>
      <c r="L78" s="22">
        <v>28.8466</v>
      </c>
      <c r="M78" s="32"/>
      <c r="N78" s="123">
        <v>1.4E10</v>
      </c>
      <c r="O78" s="123">
        <v>0.2669725</v>
      </c>
      <c r="P78" s="22">
        <v>0.2995285</v>
      </c>
      <c r="Q78" s="22">
        <v>25.01885</v>
      </c>
      <c r="R78" s="32"/>
      <c r="S78" s="32"/>
      <c r="T78" s="32"/>
      <c r="U78" s="32"/>
      <c r="V78" s="32"/>
      <c r="W78" s="32"/>
      <c r="X78" s="32"/>
    </row>
    <row r="79">
      <c r="A79" s="123">
        <v>1.1E12</v>
      </c>
      <c r="B79" s="123">
        <v>1.0E12</v>
      </c>
      <c r="C79" s="123">
        <v>5.2E10</v>
      </c>
      <c r="D79" s="22">
        <v>0.16195</v>
      </c>
      <c r="E79" s="123">
        <v>1.1E12</v>
      </c>
      <c r="F79" s="123">
        <v>76.7375</v>
      </c>
      <c r="G79" s="123">
        <v>8.6E13</v>
      </c>
      <c r="H79" s="22">
        <v>2024.0</v>
      </c>
      <c r="I79" s="22" t="s">
        <v>483</v>
      </c>
      <c r="J79" s="22">
        <v>84.0</v>
      </c>
      <c r="K79" s="22">
        <v>77.0</v>
      </c>
      <c r="L79" s="22">
        <v>23.6602</v>
      </c>
      <c r="M79" s="22">
        <v>21.6149</v>
      </c>
      <c r="N79" s="123">
        <v>2.3E10</v>
      </c>
      <c r="O79" s="123">
        <v>0.0203324</v>
      </c>
      <c r="P79" s="22">
        <v>0.8962974</v>
      </c>
      <c r="Q79" s="22">
        <v>24.67604</v>
      </c>
      <c r="R79" s="32"/>
      <c r="S79" s="32"/>
      <c r="T79" s="32"/>
      <c r="U79" s="32"/>
      <c r="V79" s="32"/>
      <c r="W79" s="32"/>
      <c r="X79" s="32"/>
    </row>
    <row r="80">
      <c r="A80" s="123">
        <v>9.4E11</v>
      </c>
      <c r="B80" s="123">
        <v>8.5E11</v>
      </c>
      <c r="C80" s="123">
        <v>4.5E10</v>
      </c>
      <c r="D80" s="22">
        <v>0.03467</v>
      </c>
      <c r="E80" s="123">
        <v>9.4E11</v>
      </c>
      <c r="F80" s="123">
        <v>58.1716</v>
      </c>
      <c r="G80" s="123">
        <v>5.4E13</v>
      </c>
      <c r="H80" s="22">
        <v>2023.0</v>
      </c>
      <c r="I80" s="22" t="s">
        <v>483</v>
      </c>
      <c r="J80" s="22">
        <v>77.0</v>
      </c>
      <c r="K80" s="22">
        <v>72.0</v>
      </c>
      <c r="L80" s="22">
        <v>21.6149</v>
      </c>
      <c r="M80" s="22">
        <v>18.1757</v>
      </c>
      <c r="N80" s="123">
        <v>2.1E10</v>
      </c>
      <c r="O80" s="123">
        <v>0.0222802</v>
      </c>
      <c r="P80" s="22">
        <v>0.8976551</v>
      </c>
      <c r="Q80" s="22">
        <v>24.52594</v>
      </c>
      <c r="R80" s="22">
        <v>77.6667</v>
      </c>
      <c r="S80" s="32"/>
      <c r="T80" s="32"/>
      <c r="U80" s="32"/>
      <c r="V80" s="32"/>
      <c r="W80" s="32"/>
      <c r="X80" s="32"/>
    </row>
    <row r="81">
      <c r="A81" s="123">
        <v>7.3E11</v>
      </c>
      <c r="B81" s="123">
        <v>6.5E11</v>
      </c>
      <c r="C81" s="123">
        <v>4.3E10</v>
      </c>
      <c r="D81" s="22">
        <v>0.29059</v>
      </c>
      <c r="E81" s="123">
        <v>7.3E11</v>
      </c>
      <c r="F81" s="123">
        <v>49.0329</v>
      </c>
      <c r="G81" s="123">
        <v>3.5E13</v>
      </c>
      <c r="H81" s="22">
        <v>2022.0</v>
      </c>
      <c r="I81" s="22" t="s">
        <v>483</v>
      </c>
      <c r="J81" s="22">
        <v>72.0</v>
      </c>
      <c r="K81" s="22">
        <v>66.0</v>
      </c>
      <c r="L81" s="22">
        <v>18.1757</v>
      </c>
      <c r="M81" s="22">
        <v>12.1839</v>
      </c>
      <c r="N81" s="123">
        <v>1.8E10</v>
      </c>
      <c r="O81" s="123">
        <v>0.0249202</v>
      </c>
      <c r="P81" s="22">
        <v>0.8907211</v>
      </c>
      <c r="Q81" s="22">
        <v>24.49186</v>
      </c>
      <c r="R81" s="22">
        <v>71.6667</v>
      </c>
      <c r="S81" s="32"/>
      <c r="T81" s="32"/>
      <c r="U81" s="32"/>
      <c r="V81" s="32"/>
      <c r="W81" s="32"/>
      <c r="X81" s="32"/>
    </row>
    <row r="82">
      <c r="A82" s="123">
        <v>6.1E11</v>
      </c>
      <c r="B82" s="123">
        <v>5.4E11</v>
      </c>
      <c r="C82" s="123">
        <v>3.4E10</v>
      </c>
      <c r="D82" s="22">
        <v>0.31165</v>
      </c>
      <c r="E82" s="123">
        <v>6.1E11</v>
      </c>
      <c r="F82" s="123">
        <v>61.1631</v>
      </c>
      <c r="G82" s="123">
        <v>3.7E13</v>
      </c>
      <c r="H82" s="22">
        <v>2021.0</v>
      </c>
      <c r="I82" s="22" t="s">
        <v>483</v>
      </c>
      <c r="J82" s="22">
        <v>66.0</v>
      </c>
      <c r="K82" s="22">
        <v>61.0</v>
      </c>
      <c r="L82" s="22">
        <v>12.1839</v>
      </c>
      <c r="M82" s="22">
        <v>12.2739</v>
      </c>
      <c r="N82" s="123">
        <v>1.3E10</v>
      </c>
      <c r="O82" s="123">
        <v>0.0217766</v>
      </c>
      <c r="P82" s="22">
        <v>0.8970814</v>
      </c>
      <c r="Q82" s="22">
        <v>24.23676</v>
      </c>
      <c r="R82" s="22">
        <v>66.3333</v>
      </c>
      <c r="S82" s="32"/>
      <c r="T82" s="32"/>
      <c r="U82" s="32"/>
      <c r="V82" s="32"/>
      <c r="W82" s="32"/>
      <c r="X82" s="32"/>
    </row>
    <row r="83">
      <c r="A83" s="123">
        <v>4.9E11</v>
      </c>
      <c r="B83" s="123">
        <v>4.4E11</v>
      </c>
      <c r="C83" s="123">
        <v>2.6E10</v>
      </c>
      <c r="D83" s="22">
        <v>0.13871</v>
      </c>
      <c r="E83" s="123">
        <v>4.9E11</v>
      </c>
      <c r="F83" s="123">
        <v>37.5053</v>
      </c>
      <c r="G83" s="123">
        <v>1.8E13</v>
      </c>
      <c r="H83" s="22">
        <v>2020.0</v>
      </c>
      <c r="I83" s="22" t="s">
        <v>483</v>
      </c>
      <c r="J83" s="22">
        <v>61.0</v>
      </c>
      <c r="K83" s="22">
        <v>58.0</v>
      </c>
      <c r="L83" s="22">
        <v>12.2739</v>
      </c>
      <c r="M83" s="22">
        <v>11.3076</v>
      </c>
      <c r="N83" s="123">
        <v>8.6E9</v>
      </c>
      <c r="O83" s="123">
        <v>0.0173866</v>
      </c>
      <c r="P83" s="22">
        <v>0.8987852</v>
      </c>
      <c r="Q83" s="22">
        <v>23.96547</v>
      </c>
      <c r="R83" s="22">
        <v>61.6667</v>
      </c>
      <c r="S83" s="32"/>
      <c r="T83" s="32"/>
      <c r="U83" s="32"/>
      <c r="V83" s="32"/>
      <c r="W83" s="32"/>
      <c r="X83" s="32"/>
    </row>
    <row r="84">
      <c r="A84" s="123">
        <v>4.1E11</v>
      </c>
      <c r="B84" s="123">
        <v>3.7E11</v>
      </c>
      <c r="C84" s="123">
        <v>2.2E10</v>
      </c>
      <c r="D84" s="22">
        <v>0.25618</v>
      </c>
      <c r="E84" s="123">
        <v>4.1E11</v>
      </c>
      <c r="F84" s="123">
        <v>32.4331</v>
      </c>
      <c r="G84" s="123">
        <v>1.3E13</v>
      </c>
      <c r="H84" s="22">
        <v>2019.0</v>
      </c>
      <c r="I84" s="22" t="s">
        <v>483</v>
      </c>
      <c r="J84" s="22">
        <v>58.0</v>
      </c>
      <c r="K84" s="22">
        <v>54.0</v>
      </c>
      <c r="L84" s="22">
        <v>11.3076</v>
      </c>
      <c r="M84" s="22">
        <v>11.3396</v>
      </c>
      <c r="N84" s="123">
        <v>8.1E9</v>
      </c>
      <c r="O84" s="123">
        <v>0.0196084</v>
      </c>
      <c r="P84" s="22">
        <v>0.9030692</v>
      </c>
      <c r="Q84" s="22">
        <v>23.83557</v>
      </c>
      <c r="R84" s="22">
        <v>57.6667</v>
      </c>
      <c r="S84" s="32"/>
      <c r="T84" s="32"/>
      <c r="U84" s="32"/>
      <c r="V84" s="32"/>
      <c r="W84" s="32"/>
      <c r="X84" s="32"/>
    </row>
    <row r="85">
      <c r="A85" s="123">
        <v>3.6E11</v>
      </c>
      <c r="B85" s="123">
        <v>3.3E11</v>
      </c>
      <c r="C85" s="123">
        <v>1.8E10</v>
      </c>
      <c r="D85" s="22">
        <v>0.40911</v>
      </c>
      <c r="E85" s="123">
        <v>3.6E11</v>
      </c>
      <c r="F85" s="123">
        <v>26.2692</v>
      </c>
      <c r="G85" s="123">
        <v>9.2E12</v>
      </c>
      <c r="H85" s="22">
        <v>2018.0</v>
      </c>
      <c r="I85" s="22" t="s">
        <v>483</v>
      </c>
      <c r="J85" s="22">
        <v>54.0</v>
      </c>
      <c r="K85" s="22">
        <v>50.0</v>
      </c>
      <c r="L85" s="22">
        <v>11.3396</v>
      </c>
      <c r="M85" s="22">
        <v>12.4741</v>
      </c>
      <c r="N85" s="123">
        <v>6.2E9</v>
      </c>
      <c r="O85" s="123">
        <v>0.0170838</v>
      </c>
      <c r="P85" s="22">
        <v>0.9056845</v>
      </c>
      <c r="Q85" s="22">
        <v>23.6075</v>
      </c>
      <c r="R85" s="22">
        <v>54.0</v>
      </c>
      <c r="S85" s="32"/>
      <c r="T85" s="32"/>
      <c r="U85" s="32"/>
      <c r="V85" s="32"/>
      <c r="W85" s="32"/>
      <c r="X85" s="32"/>
    </row>
    <row r="86">
      <c r="A86" s="123">
        <v>3.1E11</v>
      </c>
      <c r="B86" s="123">
        <v>2.8E11</v>
      </c>
      <c r="C86" s="123">
        <v>1.3E10</v>
      </c>
      <c r="D86" s="22">
        <v>0.4303</v>
      </c>
      <c r="E86" s="123">
        <v>3.1E11</v>
      </c>
      <c r="F86" s="123">
        <v>31.2173</v>
      </c>
      <c r="G86" s="123">
        <v>9.5E12</v>
      </c>
      <c r="H86" s="22">
        <v>2017.0</v>
      </c>
      <c r="I86" s="22" t="s">
        <v>483</v>
      </c>
      <c r="J86" s="22">
        <v>50.0</v>
      </c>
      <c r="K86" s="22">
        <v>46.0</v>
      </c>
      <c r="L86" s="22">
        <v>12.4741</v>
      </c>
      <c r="M86" s="22">
        <v>14.0523</v>
      </c>
      <c r="N86" s="123">
        <v>3.5E9</v>
      </c>
      <c r="O86" s="123">
        <v>0.0111203</v>
      </c>
      <c r="P86" s="22">
        <v>0.905692</v>
      </c>
      <c r="Q86" s="22">
        <v>23.26454</v>
      </c>
      <c r="R86" s="22">
        <v>50.0</v>
      </c>
      <c r="S86" s="32"/>
      <c r="T86" s="32"/>
      <c r="U86" s="32"/>
      <c r="V86" s="32"/>
      <c r="W86" s="32"/>
      <c r="X86" s="32"/>
    </row>
    <row r="87">
      <c r="A87" s="123">
        <v>2.6E11</v>
      </c>
      <c r="B87" s="123">
        <v>2.3E11</v>
      </c>
      <c r="C87" s="123">
        <v>8.9E9</v>
      </c>
      <c r="D87" s="22">
        <v>0.0884</v>
      </c>
      <c r="E87" s="123">
        <v>2.6E11</v>
      </c>
      <c r="F87" s="123">
        <v>18.357</v>
      </c>
      <c r="G87" s="123">
        <v>4.5E12</v>
      </c>
      <c r="H87" s="22">
        <v>2016.0</v>
      </c>
      <c r="I87" s="22" t="s">
        <v>483</v>
      </c>
      <c r="J87" s="22">
        <v>46.0</v>
      </c>
      <c r="K87" s="22">
        <v>42.0</v>
      </c>
      <c r="L87" s="22">
        <v>14.0523</v>
      </c>
      <c r="M87" s="22">
        <v>19.6496</v>
      </c>
      <c r="N87" s="123">
        <v>2.9E9</v>
      </c>
      <c r="O87" s="123">
        <v>0.0112525</v>
      </c>
      <c r="P87" s="22">
        <v>0.8962436</v>
      </c>
      <c r="Q87" s="22">
        <v>22.90666</v>
      </c>
      <c r="R87" s="22">
        <v>46.0</v>
      </c>
      <c r="S87" s="32"/>
      <c r="T87" s="32"/>
      <c r="U87" s="32"/>
      <c r="V87" s="32"/>
      <c r="W87" s="32"/>
      <c r="X87" s="32"/>
    </row>
    <row r="88">
      <c r="A88" s="123">
        <v>2.2E11</v>
      </c>
      <c r="B88" s="123">
        <v>2.0E11</v>
      </c>
      <c r="C88" s="123">
        <v>8.2E9</v>
      </c>
      <c r="D88" s="22">
        <v>0.03409</v>
      </c>
      <c r="E88" s="123">
        <v>2.2E11</v>
      </c>
      <c r="F88" s="123">
        <v>15.4272</v>
      </c>
      <c r="G88" s="123">
        <v>3.2E12</v>
      </c>
      <c r="H88" s="22">
        <v>2015.0</v>
      </c>
      <c r="I88" s="22" t="s">
        <v>483</v>
      </c>
      <c r="J88" s="22">
        <v>42.0</v>
      </c>
      <c r="K88" s="22">
        <v>38.0</v>
      </c>
      <c r="L88" s="22">
        <v>19.6496</v>
      </c>
      <c r="M88" s="22">
        <v>28.8466</v>
      </c>
      <c r="N88" s="123">
        <v>2.5E9</v>
      </c>
      <c r="O88" s="123">
        <v>0.011365</v>
      </c>
      <c r="P88" s="22">
        <v>0.8951192</v>
      </c>
      <c r="Q88" s="22">
        <v>22.82195</v>
      </c>
      <c r="R88" s="22">
        <v>42.0</v>
      </c>
      <c r="S88" s="32"/>
      <c r="T88" s="32"/>
      <c r="U88" s="32"/>
      <c r="V88" s="32"/>
      <c r="W88" s="32"/>
      <c r="X88" s="32"/>
    </row>
    <row r="89">
      <c r="A89" s="123">
        <v>2.0E11</v>
      </c>
      <c r="B89" s="123">
        <v>1.8E11</v>
      </c>
      <c r="C89" s="123">
        <v>7.9E9</v>
      </c>
      <c r="D89" s="22">
        <v>-0.88032</v>
      </c>
      <c r="E89" s="123">
        <v>2.0E11</v>
      </c>
      <c r="F89" s="123">
        <v>14.0279</v>
      </c>
      <c r="G89" s="123">
        <v>2.6E12</v>
      </c>
      <c r="H89" s="22">
        <v>2014.0</v>
      </c>
      <c r="I89" s="22" t="s">
        <v>483</v>
      </c>
      <c r="J89" s="22">
        <v>38.0</v>
      </c>
      <c r="K89" s="32"/>
      <c r="L89" s="22">
        <v>28.8466</v>
      </c>
      <c r="M89" s="32"/>
      <c r="N89" s="123">
        <v>2.5E9</v>
      </c>
      <c r="O89" s="123">
        <v>0.0124844</v>
      </c>
      <c r="P89" s="22">
        <v>0.9144682</v>
      </c>
      <c r="Q89" s="22">
        <v>22.78843</v>
      </c>
      <c r="R89" s="32"/>
      <c r="S89" s="32"/>
      <c r="T89" s="32"/>
      <c r="U89" s="32"/>
      <c r="V89" s="32"/>
      <c r="W89" s="32"/>
      <c r="X89" s="32"/>
    </row>
    <row r="90">
      <c r="A90" s="123">
        <v>2.1E12</v>
      </c>
      <c r="B90" s="123">
        <v>1.9E12</v>
      </c>
      <c r="C90" s="123">
        <v>6.6E10</v>
      </c>
      <c r="D90" s="22">
        <v>0.01035</v>
      </c>
      <c r="E90" s="123">
        <v>2.1E12</v>
      </c>
      <c r="F90" s="123">
        <v>163.18</v>
      </c>
      <c r="G90" s="123">
        <v>3.4E14</v>
      </c>
      <c r="H90" s="22">
        <v>2024.0</v>
      </c>
      <c r="I90" s="22" t="s">
        <v>539</v>
      </c>
      <c r="J90" s="22">
        <v>87.0</v>
      </c>
      <c r="K90" s="22">
        <v>82.0</v>
      </c>
      <c r="L90" s="22">
        <v>23.6602</v>
      </c>
      <c r="M90" s="22">
        <v>21.6149</v>
      </c>
      <c r="N90" s="123">
        <v>3.4E10</v>
      </c>
      <c r="O90" s="123">
        <v>0.0162297</v>
      </c>
      <c r="P90" s="22">
        <v>0.9059343</v>
      </c>
      <c r="Q90" s="22">
        <v>24.9114</v>
      </c>
      <c r="R90" s="32"/>
      <c r="S90" s="32"/>
      <c r="T90" s="32"/>
      <c r="U90" s="32"/>
      <c r="V90" s="32"/>
      <c r="W90" s="32"/>
      <c r="X90" s="32"/>
    </row>
    <row r="91">
      <c r="A91" s="123">
        <v>1.8E12</v>
      </c>
      <c r="B91" s="123">
        <v>1.7E12</v>
      </c>
      <c r="C91" s="123">
        <v>6.5E10</v>
      </c>
      <c r="D91" s="22">
        <v>-0.00906</v>
      </c>
      <c r="E91" s="123">
        <v>1.8E12</v>
      </c>
      <c r="F91" s="123">
        <v>138.079</v>
      </c>
      <c r="G91" s="123">
        <v>2.5E14</v>
      </c>
      <c r="H91" s="22">
        <v>2023.0</v>
      </c>
      <c r="I91" s="22" t="s">
        <v>539</v>
      </c>
      <c r="J91" s="22">
        <v>82.0</v>
      </c>
      <c r="K91" s="22">
        <v>77.0</v>
      </c>
      <c r="L91" s="22">
        <v>21.6149</v>
      </c>
      <c r="M91" s="22">
        <v>18.1757</v>
      </c>
      <c r="N91" s="123">
        <v>3.3E10</v>
      </c>
      <c r="O91" s="123">
        <v>0.0180039</v>
      </c>
      <c r="P91" s="22">
        <v>0.9102689</v>
      </c>
      <c r="Q91" s="22">
        <v>24.9011</v>
      </c>
      <c r="R91" s="22">
        <v>82.0</v>
      </c>
      <c r="S91" s="32"/>
      <c r="T91" s="32"/>
      <c r="U91" s="32"/>
      <c r="V91" s="32"/>
      <c r="W91" s="32"/>
      <c r="X91" s="32"/>
    </row>
    <row r="92">
      <c r="A92" s="123">
        <v>1.8E12</v>
      </c>
      <c r="B92" s="123">
        <v>1.7E12</v>
      </c>
      <c r="C92" s="123">
        <v>6.6E10</v>
      </c>
      <c r="D92" s="22">
        <v>0.21649</v>
      </c>
      <c r="E92" s="123">
        <v>1.8E12</v>
      </c>
      <c r="F92" s="123">
        <v>92.9044</v>
      </c>
      <c r="G92" s="123">
        <v>1.7E14</v>
      </c>
      <c r="H92" s="22">
        <v>2022.0</v>
      </c>
      <c r="I92" s="22" t="s">
        <v>539</v>
      </c>
      <c r="J92" s="22">
        <v>77.0</v>
      </c>
      <c r="K92" s="22">
        <v>74.0</v>
      </c>
      <c r="L92" s="22">
        <v>18.1757</v>
      </c>
      <c r="M92" s="22">
        <v>12.1839</v>
      </c>
      <c r="N92" s="123">
        <v>3.0E10</v>
      </c>
      <c r="O92" s="123">
        <v>0.0164951</v>
      </c>
      <c r="P92" s="22">
        <v>0.9252151</v>
      </c>
      <c r="Q92" s="22">
        <v>24.9102</v>
      </c>
      <c r="R92" s="22">
        <v>77.6667</v>
      </c>
      <c r="S92" s="32"/>
      <c r="T92" s="32"/>
      <c r="U92" s="32"/>
      <c r="V92" s="32"/>
      <c r="W92" s="32"/>
      <c r="X92" s="32"/>
    </row>
    <row r="93">
      <c r="A93" s="123">
        <v>1.4E12</v>
      </c>
      <c r="B93" s="123">
        <v>1.3E12</v>
      </c>
      <c r="C93" s="123">
        <v>5.4E10</v>
      </c>
      <c r="D93" s="22">
        <v>0.15611</v>
      </c>
      <c r="E93" s="123">
        <v>1.4E12</v>
      </c>
      <c r="F93" s="123">
        <v>117.059</v>
      </c>
      <c r="G93" s="123">
        <v>1.6E14</v>
      </c>
      <c r="H93" s="22">
        <v>2021.0</v>
      </c>
      <c r="I93" s="22" t="s">
        <v>539</v>
      </c>
      <c r="J93" s="22">
        <v>74.0</v>
      </c>
      <c r="K93" s="22">
        <v>69.0</v>
      </c>
      <c r="L93" s="22">
        <v>12.1839</v>
      </c>
      <c r="M93" s="22">
        <v>12.2739</v>
      </c>
      <c r="N93" s="123">
        <v>2.2E10</v>
      </c>
      <c r="O93" s="123">
        <v>0.0155598</v>
      </c>
      <c r="P93" s="22">
        <v>0.9228357</v>
      </c>
      <c r="Q93" s="22">
        <v>24.71423</v>
      </c>
      <c r="R93" s="22">
        <v>73.3333</v>
      </c>
      <c r="S93" s="32"/>
      <c r="T93" s="32"/>
      <c r="U93" s="32"/>
      <c r="V93" s="32"/>
      <c r="W93" s="32"/>
      <c r="X93" s="32"/>
    </row>
    <row r="94">
      <c r="A94" s="123">
        <v>1.3E12</v>
      </c>
      <c r="B94" s="123">
        <v>1.2E12</v>
      </c>
      <c r="C94" s="123">
        <v>4.7E10</v>
      </c>
      <c r="D94" s="22">
        <v>0.10436</v>
      </c>
      <c r="E94" s="123">
        <v>1.3E12</v>
      </c>
      <c r="F94" s="123">
        <v>120.109</v>
      </c>
      <c r="G94" s="123">
        <v>1.6E14</v>
      </c>
      <c r="H94" s="22">
        <v>2020.0</v>
      </c>
      <c r="I94" s="22" t="s">
        <v>539</v>
      </c>
      <c r="J94" s="22">
        <v>69.0</v>
      </c>
      <c r="K94" s="22">
        <v>65.0</v>
      </c>
      <c r="L94" s="22">
        <v>12.2739</v>
      </c>
      <c r="M94" s="22">
        <v>11.3076</v>
      </c>
      <c r="N94" s="123">
        <v>1.8E10</v>
      </c>
      <c r="O94" s="123">
        <v>0.0139286</v>
      </c>
      <c r="P94" s="22">
        <v>0.9290508</v>
      </c>
      <c r="Q94" s="22">
        <v>24.56917</v>
      </c>
      <c r="R94" s="22">
        <v>69.3333</v>
      </c>
      <c r="S94" s="32"/>
      <c r="T94" s="32"/>
      <c r="U94" s="32"/>
      <c r="V94" s="32"/>
      <c r="W94" s="32"/>
      <c r="X94" s="32"/>
    </row>
    <row r="95">
      <c r="A95" s="123">
        <v>1.2E12</v>
      </c>
      <c r="B95" s="123">
        <v>1.1E12</v>
      </c>
      <c r="C95" s="123">
        <v>4.2E10</v>
      </c>
      <c r="D95" s="22">
        <v>0.23452</v>
      </c>
      <c r="E95" s="123">
        <v>1.2E12</v>
      </c>
      <c r="F95" s="123">
        <v>115.525</v>
      </c>
      <c r="G95" s="123">
        <v>1.4E14</v>
      </c>
      <c r="H95" s="22">
        <v>2019.0</v>
      </c>
      <c r="I95" s="22" t="s">
        <v>539</v>
      </c>
      <c r="J95" s="22">
        <v>65.0</v>
      </c>
      <c r="K95" s="22">
        <v>60.0</v>
      </c>
      <c r="L95" s="22">
        <v>11.3076</v>
      </c>
      <c r="M95" s="22">
        <v>11.3396</v>
      </c>
      <c r="N95" s="123">
        <v>1.9E10</v>
      </c>
      <c r="O95" s="123">
        <v>0.0152086</v>
      </c>
      <c r="P95" s="22">
        <v>0.9337966</v>
      </c>
      <c r="Q95" s="22">
        <v>24.46991</v>
      </c>
      <c r="R95" s="22">
        <v>64.6667</v>
      </c>
      <c r="S95" s="32"/>
      <c r="T95" s="32"/>
      <c r="U95" s="32"/>
      <c r="V95" s="32"/>
      <c r="W95" s="32"/>
      <c r="X95" s="32"/>
    </row>
    <row r="96">
      <c r="A96" s="123">
        <v>1.1E12</v>
      </c>
      <c r="B96" s="123">
        <v>1.0E12</v>
      </c>
      <c r="C96" s="123">
        <v>3.4E10</v>
      </c>
      <c r="D96" s="22">
        <v>0.27259</v>
      </c>
      <c r="E96" s="123">
        <v>1.1E12</v>
      </c>
      <c r="F96" s="123">
        <v>78.3246</v>
      </c>
      <c r="G96" s="123">
        <v>8.3E13</v>
      </c>
      <c r="H96" s="22">
        <v>2018.0</v>
      </c>
      <c r="I96" s="22" t="s">
        <v>539</v>
      </c>
      <c r="J96" s="22">
        <v>60.0</v>
      </c>
      <c r="K96" s="22">
        <v>55.0</v>
      </c>
      <c r="L96" s="22">
        <v>11.3396</v>
      </c>
      <c r="M96" s="22">
        <v>12.4741</v>
      </c>
      <c r="N96" s="123">
        <v>1.5E10</v>
      </c>
      <c r="O96" s="123">
        <v>0.0136142</v>
      </c>
      <c r="P96" s="22">
        <v>0.9421063</v>
      </c>
      <c r="Q96" s="22">
        <v>24.25922</v>
      </c>
      <c r="R96" s="22">
        <v>60.0</v>
      </c>
      <c r="S96" s="32"/>
      <c r="T96" s="32"/>
      <c r="U96" s="32"/>
      <c r="V96" s="32"/>
      <c r="W96" s="32"/>
      <c r="X96" s="32"/>
    </row>
    <row r="97">
      <c r="A97" s="123">
        <v>1.0E12</v>
      </c>
      <c r="B97" s="123">
        <v>9.8E11</v>
      </c>
      <c r="C97" s="123">
        <v>2.7E10</v>
      </c>
      <c r="D97" s="22">
        <v>0.17815</v>
      </c>
      <c r="E97" s="123">
        <v>1.0E12</v>
      </c>
      <c r="F97" s="123">
        <v>81.3926</v>
      </c>
      <c r="G97" s="123">
        <v>8.3E13</v>
      </c>
      <c r="H97" s="22">
        <v>2017.0</v>
      </c>
      <c r="I97" s="22" t="s">
        <v>539</v>
      </c>
      <c r="J97" s="22">
        <v>55.0</v>
      </c>
      <c r="K97" s="22">
        <v>49.0</v>
      </c>
      <c r="L97" s="22">
        <v>12.4741</v>
      </c>
      <c r="M97" s="22">
        <v>14.0523</v>
      </c>
      <c r="N97" s="123">
        <v>9.1E9</v>
      </c>
      <c r="O97" s="123">
        <v>0.0088</v>
      </c>
      <c r="P97" s="22">
        <v>0.9492338</v>
      </c>
      <c r="Q97" s="22">
        <v>24.01817</v>
      </c>
      <c r="R97" s="22">
        <v>54.6667</v>
      </c>
      <c r="S97" s="32"/>
      <c r="T97" s="32"/>
      <c r="U97" s="32"/>
      <c r="V97" s="32"/>
      <c r="W97" s="32"/>
      <c r="X97" s="32"/>
    </row>
    <row r="98">
      <c r="A98" s="123">
        <v>7.9E11</v>
      </c>
      <c r="B98" s="123">
        <v>7.4E11</v>
      </c>
      <c r="C98" s="123">
        <v>2.3E10</v>
      </c>
      <c r="D98" s="22">
        <v>0.18952</v>
      </c>
      <c r="E98" s="123">
        <v>7.9E11</v>
      </c>
      <c r="F98" s="123">
        <v>50.9691</v>
      </c>
      <c r="G98" s="123">
        <v>3.9E13</v>
      </c>
      <c r="H98" s="22">
        <v>2016.0</v>
      </c>
      <c r="I98" s="22" t="s">
        <v>539</v>
      </c>
      <c r="J98" s="22">
        <v>49.0</v>
      </c>
      <c r="K98" s="22">
        <v>45.0</v>
      </c>
      <c r="L98" s="22">
        <v>14.0523</v>
      </c>
      <c r="M98" s="22">
        <v>19.6496</v>
      </c>
      <c r="N98" s="123">
        <v>6.9E9</v>
      </c>
      <c r="O98" s="123">
        <v>0.0087508</v>
      </c>
      <c r="P98" s="22">
        <v>0.9388965</v>
      </c>
      <c r="Q98" s="22">
        <v>23.85423</v>
      </c>
      <c r="R98" s="22">
        <v>49.6667</v>
      </c>
      <c r="S98" s="32"/>
      <c r="T98" s="32"/>
      <c r="U98" s="32"/>
      <c r="V98" s="32"/>
      <c r="W98" s="32"/>
      <c r="X98" s="32"/>
    </row>
    <row r="99">
      <c r="A99" s="123">
        <v>6.7E11</v>
      </c>
      <c r="B99" s="123">
        <v>6.3E11</v>
      </c>
      <c r="C99" s="123">
        <v>1.9E10</v>
      </c>
      <c r="D99" s="22">
        <v>0.2589</v>
      </c>
      <c r="E99" s="123">
        <v>6.7E11</v>
      </c>
      <c r="F99" s="123">
        <v>53.4908</v>
      </c>
      <c r="G99" s="123">
        <v>3.5E13</v>
      </c>
      <c r="H99" s="22">
        <v>2015.0</v>
      </c>
      <c r="I99" s="22" t="s">
        <v>539</v>
      </c>
      <c r="J99" s="22">
        <v>45.0</v>
      </c>
      <c r="K99" s="22">
        <v>41.0</v>
      </c>
      <c r="L99" s="22">
        <v>19.6496</v>
      </c>
      <c r="M99" s="22">
        <v>28.8466</v>
      </c>
      <c r="N99" s="123">
        <v>5.3E9</v>
      </c>
      <c r="O99" s="123">
        <v>0.0079064</v>
      </c>
      <c r="P99" s="22">
        <v>0.933018</v>
      </c>
      <c r="Q99" s="22">
        <v>23.68068</v>
      </c>
      <c r="R99" s="22">
        <v>45.0</v>
      </c>
      <c r="S99" s="32"/>
      <c r="T99" s="32"/>
      <c r="U99" s="32"/>
      <c r="V99" s="32"/>
      <c r="W99" s="32"/>
      <c r="X99" s="32"/>
    </row>
    <row r="100">
      <c r="A100" s="123">
        <v>5.8E11</v>
      </c>
      <c r="B100" s="123">
        <v>5.3E11</v>
      </c>
      <c r="C100" s="123">
        <v>1.5E10</v>
      </c>
      <c r="D100" s="22">
        <v>-0.75253</v>
      </c>
      <c r="E100" s="123">
        <v>5.8E11</v>
      </c>
      <c r="F100" s="123">
        <v>38.9128</v>
      </c>
      <c r="G100" s="123">
        <v>2.2E13</v>
      </c>
      <c r="H100" s="22">
        <v>2014.0</v>
      </c>
      <c r="I100" s="22" t="s">
        <v>539</v>
      </c>
      <c r="J100" s="22">
        <v>41.0</v>
      </c>
      <c r="K100" s="32"/>
      <c r="L100" s="22">
        <v>28.8466</v>
      </c>
      <c r="M100" s="32"/>
      <c r="N100" s="123">
        <v>4.6E9</v>
      </c>
      <c r="O100" s="123">
        <v>0.0079476</v>
      </c>
      <c r="P100" s="22">
        <v>0.9246583</v>
      </c>
      <c r="Q100" s="22">
        <v>23.45044</v>
      </c>
      <c r="R100" s="32"/>
      <c r="S100" s="32"/>
      <c r="T100" s="32"/>
      <c r="U100" s="32"/>
      <c r="V100" s="32"/>
      <c r="W100" s="32"/>
      <c r="X100" s="32"/>
    </row>
    <row r="101">
      <c r="A101" s="123">
        <v>5.5E10</v>
      </c>
      <c r="B101" s="123">
        <v>1.9E10</v>
      </c>
      <c r="C101" s="123">
        <v>6.2E10</v>
      </c>
      <c r="D101" s="22">
        <v>0.02342</v>
      </c>
      <c r="E101" s="123">
        <v>5.5E10</v>
      </c>
      <c r="F101" s="123">
        <v>2220.88</v>
      </c>
      <c r="G101" s="123">
        <v>1.2E14</v>
      </c>
      <c r="H101" s="22">
        <v>2024.0</v>
      </c>
      <c r="I101" s="22" t="s">
        <v>595</v>
      </c>
      <c r="J101" s="22">
        <v>94.3</v>
      </c>
      <c r="K101" s="22">
        <v>92.7</v>
      </c>
      <c r="L101" s="22">
        <v>23.6602</v>
      </c>
      <c r="M101" s="22">
        <v>21.6149</v>
      </c>
      <c r="N101" s="123">
        <v>9.5E9</v>
      </c>
      <c r="O101" s="123">
        <v>0.1717176</v>
      </c>
      <c r="P101" s="22">
        <v>0.3428698</v>
      </c>
      <c r="Q101" s="22">
        <v>24.84689</v>
      </c>
      <c r="R101" s="32"/>
      <c r="S101" s="32"/>
      <c r="T101" s="32"/>
      <c r="U101" s="32"/>
      <c r="V101" s="32"/>
      <c r="W101" s="32"/>
      <c r="X101" s="32"/>
    </row>
    <row r="102">
      <c r="A102" s="123">
        <v>5.3E10</v>
      </c>
      <c r="B102" s="123">
        <v>1.8E10</v>
      </c>
      <c r="C102" s="123">
        <v>6.0E10</v>
      </c>
      <c r="D102" s="22">
        <v>0.00688</v>
      </c>
      <c r="E102" s="123">
        <v>5.3E10</v>
      </c>
      <c r="F102" s="123">
        <v>2342.74</v>
      </c>
      <c r="G102" s="123">
        <v>1.2E14</v>
      </c>
      <c r="H102" s="22">
        <v>2023.0</v>
      </c>
      <c r="I102" s="22" t="s">
        <v>595</v>
      </c>
      <c r="J102" s="22">
        <v>92.7</v>
      </c>
      <c r="K102" s="22">
        <v>90.3</v>
      </c>
      <c r="L102" s="22">
        <v>21.6149</v>
      </c>
      <c r="M102" s="22">
        <v>18.1757</v>
      </c>
      <c r="N102" s="123">
        <v>9.0E9</v>
      </c>
      <c r="O102" s="123">
        <v>0.1712318</v>
      </c>
      <c r="P102" s="22">
        <v>0.3350389</v>
      </c>
      <c r="Q102" s="22">
        <v>24.82374</v>
      </c>
      <c r="R102" s="22">
        <v>92.4333</v>
      </c>
      <c r="S102" s="32"/>
      <c r="T102" s="32"/>
      <c r="U102" s="32"/>
      <c r="V102" s="32"/>
      <c r="W102" s="32"/>
      <c r="X102" s="32"/>
    </row>
    <row r="103">
      <c r="A103" s="123">
        <v>4.8E10</v>
      </c>
      <c r="B103" s="123">
        <v>1.6E10</v>
      </c>
      <c r="C103" s="123">
        <v>6.0E10</v>
      </c>
      <c r="D103" s="22">
        <v>-0.01581</v>
      </c>
      <c r="E103" s="123">
        <v>4.8E10</v>
      </c>
      <c r="F103" s="123">
        <v>2752.57</v>
      </c>
      <c r="G103" s="123">
        <v>1.3E14</v>
      </c>
      <c r="H103" s="22">
        <v>2022.0</v>
      </c>
      <c r="I103" s="22" t="s">
        <v>595</v>
      </c>
      <c r="J103" s="22">
        <v>90.3</v>
      </c>
      <c r="K103" s="22">
        <v>88.4</v>
      </c>
      <c r="L103" s="22">
        <v>18.1757</v>
      </c>
      <c r="M103" s="22">
        <v>12.1839</v>
      </c>
      <c r="N103" s="123">
        <v>8.6E9</v>
      </c>
      <c r="O103" s="123">
        <v>0.1769205</v>
      </c>
      <c r="P103" s="22">
        <v>0.3231288</v>
      </c>
      <c r="Q103" s="22">
        <v>24.81688</v>
      </c>
      <c r="R103" s="22">
        <v>90.4667</v>
      </c>
      <c r="S103" s="32"/>
      <c r="T103" s="32"/>
      <c r="U103" s="32"/>
      <c r="V103" s="32"/>
      <c r="W103" s="32"/>
      <c r="X103" s="32"/>
    </row>
    <row r="104">
      <c r="A104" s="123">
        <v>5.3E10</v>
      </c>
      <c r="B104" s="123">
        <v>1.7E10</v>
      </c>
      <c r="C104" s="123">
        <v>6.1E10</v>
      </c>
      <c r="D104" s="22">
        <v>0.02151</v>
      </c>
      <c r="E104" s="123">
        <v>5.3E10</v>
      </c>
      <c r="F104" s="123">
        <v>2653.92</v>
      </c>
      <c r="G104" s="123">
        <v>1.4E14</v>
      </c>
      <c r="H104" s="22">
        <v>2021.0</v>
      </c>
      <c r="I104" s="22" t="s">
        <v>595</v>
      </c>
      <c r="J104" s="22">
        <v>88.4</v>
      </c>
      <c r="K104" s="22">
        <v>86.8</v>
      </c>
      <c r="L104" s="22">
        <v>12.1839</v>
      </c>
      <c r="M104" s="22">
        <v>12.2739</v>
      </c>
      <c r="N104" s="123">
        <v>1.1E10</v>
      </c>
      <c r="O104" s="123">
        <v>0.1993635</v>
      </c>
      <c r="P104" s="22">
        <v>0.3277986</v>
      </c>
      <c r="Q104" s="22">
        <v>24.83281</v>
      </c>
      <c r="R104" s="22">
        <v>88.5</v>
      </c>
      <c r="S104" s="32"/>
      <c r="T104" s="32"/>
      <c r="U104" s="32"/>
      <c r="V104" s="32"/>
      <c r="W104" s="32"/>
      <c r="X104" s="32"/>
    </row>
    <row r="105">
      <c r="A105" s="123">
        <v>4.8E10</v>
      </c>
      <c r="B105" s="123">
        <v>1.5E10</v>
      </c>
      <c r="C105" s="123">
        <v>6.0E10</v>
      </c>
      <c r="D105" s="22">
        <v>0.05892</v>
      </c>
      <c r="E105" s="123">
        <v>4.8E10</v>
      </c>
      <c r="F105" s="123">
        <v>2987.09</v>
      </c>
      <c r="G105" s="123">
        <v>1.4E14</v>
      </c>
      <c r="H105" s="22">
        <v>2020.0</v>
      </c>
      <c r="I105" s="22" t="s">
        <v>595</v>
      </c>
      <c r="J105" s="22">
        <v>86.8</v>
      </c>
      <c r="K105" s="22">
        <v>81.2</v>
      </c>
      <c r="L105" s="22">
        <v>12.2739</v>
      </c>
      <c r="M105" s="22">
        <v>11.3076</v>
      </c>
      <c r="N105" s="123">
        <v>1.1E10</v>
      </c>
      <c r="O105" s="123">
        <v>0.2319876</v>
      </c>
      <c r="P105" s="22">
        <v>0.3052777</v>
      </c>
      <c r="Q105" s="22">
        <v>24.81153</v>
      </c>
      <c r="R105" s="22">
        <v>85.4667</v>
      </c>
      <c r="S105" s="32"/>
      <c r="T105" s="32"/>
      <c r="U105" s="32"/>
      <c r="V105" s="32"/>
      <c r="W105" s="32"/>
      <c r="X105" s="32"/>
    </row>
    <row r="106">
      <c r="A106" s="123">
        <v>4.5E10</v>
      </c>
      <c r="B106" s="123">
        <v>1.5E10</v>
      </c>
      <c r="C106" s="123">
        <v>5.6E10</v>
      </c>
      <c r="D106" s="22">
        <v>0.07146</v>
      </c>
      <c r="E106" s="123">
        <v>4.5E10</v>
      </c>
      <c r="F106" s="123">
        <v>2813.63</v>
      </c>
      <c r="G106" s="123">
        <v>1.3E14</v>
      </c>
      <c r="H106" s="22">
        <v>2019.0</v>
      </c>
      <c r="I106" s="22" t="s">
        <v>595</v>
      </c>
      <c r="J106" s="22">
        <v>81.2</v>
      </c>
      <c r="K106" s="22">
        <v>78.3</v>
      </c>
      <c r="L106" s="22">
        <v>11.3076</v>
      </c>
      <c r="M106" s="22">
        <v>11.3396</v>
      </c>
      <c r="N106" s="123">
        <v>1.1E10</v>
      </c>
      <c r="O106" s="123">
        <v>0.2361155</v>
      </c>
      <c r="P106" s="22">
        <v>0.3348694</v>
      </c>
      <c r="Q106" s="22">
        <v>24.75428</v>
      </c>
      <c r="R106" s="22">
        <v>82.1</v>
      </c>
      <c r="S106" s="32"/>
      <c r="T106" s="32"/>
      <c r="U106" s="32"/>
      <c r="V106" s="32"/>
      <c r="W106" s="32"/>
      <c r="X106" s="32"/>
    </row>
    <row r="107">
      <c r="A107" s="123">
        <v>3.7E10</v>
      </c>
      <c r="B107" s="123">
        <v>1.1E10</v>
      </c>
      <c r="C107" s="123">
        <v>5.3E10</v>
      </c>
      <c r="D107" s="22">
        <v>0.0298</v>
      </c>
      <c r="E107" s="123">
        <v>3.7E10</v>
      </c>
      <c r="F107" s="123">
        <v>2784.92</v>
      </c>
      <c r="G107" s="123">
        <v>1.0E14</v>
      </c>
      <c r="H107" s="22">
        <v>2018.0</v>
      </c>
      <c r="I107" s="22" t="s">
        <v>595</v>
      </c>
      <c r="J107" s="22">
        <v>78.3</v>
      </c>
      <c r="K107" s="22">
        <v>74.0</v>
      </c>
      <c r="L107" s="22">
        <v>11.3396</v>
      </c>
      <c r="M107" s="22">
        <v>12.4741</v>
      </c>
      <c r="N107" s="123">
        <v>1.0E10</v>
      </c>
      <c r="O107" s="123">
        <v>0.2731253</v>
      </c>
      <c r="P107" s="22">
        <v>0.2969199</v>
      </c>
      <c r="Q107" s="22">
        <v>24.68526</v>
      </c>
      <c r="R107" s="22">
        <v>77.8333</v>
      </c>
      <c r="S107" s="32"/>
      <c r="T107" s="32"/>
      <c r="U107" s="32"/>
      <c r="V107" s="32"/>
      <c r="W107" s="32"/>
      <c r="X107" s="32"/>
    </row>
    <row r="108">
      <c r="A108" s="123">
        <v>3.5E10</v>
      </c>
      <c r="B108" s="123">
        <v>1.1E10</v>
      </c>
      <c r="C108" s="123">
        <v>5.1E10</v>
      </c>
      <c r="D108" s="22">
        <v>0.09075</v>
      </c>
      <c r="E108" s="123">
        <v>3.5E10</v>
      </c>
      <c r="F108" s="123">
        <v>4230.67</v>
      </c>
      <c r="G108" s="123">
        <v>1.5E14</v>
      </c>
      <c r="H108" s="22">
        <v>2017.0</v>
      </c>
      <c r="I108" s="22" t="s">
        <v>595</v>
      </c>
      <c r="J108" s="22">
        <v>74.0</v>
      </c>
      <c r="K108" s="22">
        <v>70.1</v>
      </c>
      <c r="L108" s="22">
        <v>12.4741</v>
      </c>
      <c r="M108" s="22">
        <v>14.0523</v>
      </c>
      <c r="N108" s="123">
        <v>1.0E10</v>
      </c>
      <c r="O108" s="123">
        <v>0.2964802</v>
      </c>
      <c r="P108" s="22">
        <v>0.3113671</v>
      </c>
      <c r="Q108" s="22">
        <v>24.6559</v>
      </c>
      <c r="R108" s="22">
        <v>74.1333</v>
      </c>
      <c r="S108" s="32"/>
      <c r="T108" s="32"/>
      <c r="U108" s="32"/>
      <c r="V108" s="32"/>
      <c r="W108" s="32"/>
      <c r="X108" s="32"/>
    </row>
    <row r="109">
      <c r="A109" s="123">
        <v>2.9E10</v>
      </c>
      <c r="B109" s="123">
        <v>7.0E9</v>
      </c>
      <c r="C109" s="123">
        <v>4.7E10</v>
      </c>
      <c r="D109" s="22">
        <v>0.16751</v>
      </c>
      <c r="E109" s="123">
        <v>2.9E10</v>
      </c>
      <c r="F109" s="123">
        <v>2402.95</v>
      </c>
      <c r="G109" s="123">
        <v>7.1E13</v>
      </c>
      <c r="H109" s="22">
        <v>2016.0</v>
      </c>
      <c r="I109" s="22" t="s">
        <v>595</v>
      </c>
      <c r="J109" s="22">
        <v>70.1</v>
      </c>
      <c r="K109" s="22">
        <v>65.5</v>
      </c>
      <c r="L109" s="22">
        <v>14.0523</v>
      </c>
      <c r="M109" s="22">
        <v>19.6496</v>
      </c>
      <c r="N109" s="123">
        <v>9.4E9</v>
      </c>
      <c r="O109" s="123">
        <v>0.318729</v>
      </c>
      <c r="P109" s="22">
        <v>0.2373392</v>
      </c>
      <c r="Q109" s="22">
        <v>24.56903</v>
      </c>
      <c r="R109" s="22">
        <v>69.8667</v>
      </c>
      <c r="S109" s="32"/>
      <c r="T109" s="32"/>
      <c r="U109" s="32"/>
      <c r="V109" s="32"/>
      <c r="W109" s="32"/>
      <c r="X109" s="32"/>
    </row>
    <row r="110">
      <c r="A110" s="123">
        <v>2.7E10</v>
      </c>
      <c r="B110" s="123">
        <v>6.6E9</v>
      </c>
      <c r="C110" s="123">
        <v>4.0E10</v>
      </c>
      <c r="D110" s="22">
        <v>0.1428</v>
      </c>
      <c r="E110" s="123">
        <v>2.7E10</v>
      </c>
      <c r="F110" s="123">
        <v>1751.44</v>
      </c>
      <c r="G110" s="123">
        <v>4.8E13</v>
      </c>
      <c r="H110" s="22">
        <v>2015.0</v>
      </c>
      <c r="I110" s="22" t="s">
        <v>595</v>
      </c>
      <c r="J110" s="22">
        <v>65.5</v>
      </c>
      <c r="K110" s="22">
        <v>62.8</v>
      </c>
      <c r="L110" s="22">
        <v>19.6496</v>
      </c>
      <c r="M110" s="22">
        <v>28.8466</v>
      </c>
      <c r="N110" s="123">
        <v>7.8E9</v>
      </c>
      <c r="O110" s="123">
        <v>0.2827536</v>
      </c>
      <c r="P110" s="22">
        <v>0.238526</v>
      </c>
      <c r="Q110" s="22">
        <v>24.41415</v>
      </c>
      <c r="R110" s="22">
        <v>66.1333</v>
      </c>
      <c r="S110" s="32"/>
      <c r="T110" s="32"/>
      <c r="U110" s="32"/>
      <c r="V110" s="32"/>
      <c r="W110" s="32"/>
      <c r="X110" s="32"/>
    </row>
    <row r="111">
      <c r="A111" s="123">
        <v>2.6E10</v>
      </c>
      <c r="B111" s="123">
        <v>6.0E9</v>
      </c>
      <c r="C111" s="123">
        <v>3.5E10</v>
      </c>
      <c r="D111" s="22">
        <v>1.74381</v>
      </c>
      <c r="E111" s="123">
        <v>2.6E10</v>
      </c>
      <c r="F111" s="123">
        <v>917.422</v>
      </c>
      <c r="G111" s="123">
        <v>2.4E13</v>
      </c>
      <c r="H111" s="22">
        <v>2014.0</v>
      </c>
      <c r="I111" s="22" t="s">
        <v>595</v>
      </c>
      <c r="J111" s="22">
        <v>62.8</v>
      </c>
      <c r="K111" s="32"/>
      <c r="L111" s="22">
        <v>28.8466</v>
      </c>
      <c r="M111" s="32"/>
      <c r="N111" s="123">
        <v>6.1E9</v>
      </c>
      <c r="O111" s="123">
        <v>0.2354742</v>
      </c>
      <c r="P111" s="22">
        <v>0.2316597</v>
      </c>
      <c r="Q111" s="22">
        <v>24.28067</v>
      </c>
      <c r="R111" s="32"/>
      <c r="S111" s="32"/>
      <c r="T111" s="32"/>
      <c r="U111" s="32"/>
      <c r="V111" s="32"/>
      <c r="W111" s="32"/>
      <c r="X111" s="32"/>
    </row>
    <row r="112">
      <c r="A112" s="123">
        <v>1.4E10</v>
      </c>
      <c r="B112" s="123">
        <v>7.5E9</v>
      </c>
      <c r="C112" s="123">
        <v>1.3E10</v>
      </c>
      <c r="D112" s="22">
        <v>0.01273</v>
      </c>
      <c r="E112" s="123">
        <v>1.4E10</v>
      </c>
      <c r="F112" s="123">
        <v>233.038</v>
      </c>
      <c r="G112" s="123">
        <v>3.2E12</v>
      </c>
      <c r="H112" s="22">
        <v>2024.0</v>
      </c>
      <c r="I112" s="22" t="s">
        <v>660</v>
      </c>
      <c r="J112" s="22">
        <v>90.7</v>
      </c>
      <c r="K112" s="22">
        <v>87.3</v>
      </c>
      <c r="L112" s="22">
        <v>23.6602</v>
      </c>
      <c r="M112" s="22">
        <v>21.6149</v>
      </c>
      <c r="N112" s="123">
        <v>3.2E8</v>
      </c>
      <c r="O112" s="123">
        <v>0.0232261</v>
      </c>
      <c r="P112" s="22">
        <v>0.5470529</v>
      </c>
      <c r="Q112" s="22">
        <v>23.27132</v>
      </c>
      <c r="R112" s="32"/>
      <c r="S112" s="32"/>
      <c r="T112" s="32"/>
      <c r="U112" s="32"/>
      <c r="V112" s="32"/>
      <c r="W112" s="32"/>
      <c r="X112" s="32"/>
    </row>
    <row r="113">
      <c r="A113" s="123">
        <v>1.2E10</v>
      </c>
      <c r="B113" s="123">
        <v>5.6E9</v>
      </c>
      <c r="C113" s="123">
        <v>1.3E10</v>
      </c>
      <c r="D113" s="22">
        <v>-0.17454</v>
      </c>
      <c r="E113" s="123">
        <v>1.2E10</v>
      </c>
      <c r="F113" s="123">
        <v>299.96</v>
      </c>
      <c r="G113" s="123">
        <v>3.5E12</v>
      </c>
      <c r="H113" s="22">
        <v>2023.0</v>
      </c>
      <c r="I113" s="22" t="s">
        <v>660</v>
      </c>
      <c r="J113" s="22">
        <v>87.3</v>
      </c>
      <c r="K113" s="22">
        <v>84.9</v>
      </c>
      <c r="L113" s="22">
        <v>21.6149</v>
      </c>
      <c r="M113" s="22">
        <v>18.1757</v>
      </c>
      <c r="N113" s="123">
        <v>3.1E8</v>
      </c>
      <c r="O113" s="123">
        <v>0.0266927</v>
      </c>
      <c r="P113" s="22">
        <v>0.4851384</v>
      </c>
      <c r="Q113" s="22">
        <v>23.25867</v>
      </c>
      <c r="R113" s="22">
        <v>87.6333</v>
      </c>
      <c r="S113" s="32"/>
      <c r="T113" s="32"/>
      <c r="U113" s="32"/>
      <c r="V113" s="32"/>
      <c r="W113" s="32"/>
      <c r="X113" s="32"/>
    </row>
    <row r="114">
      <c r="A114" s="123">
        <v>1.1E10</v>
      </c>
      <c r="B114" s="123">
        <v>4.6E9</v>
      </c>
      <c r="C114" s="123">
        <v>1.5E10</v>
      </c>
      <c r="D114" s="22">
        <v>0.16337</v>
      </c>
      <c r="E114" s="123">
        <v>1.1E10</v>
      </c>
      <c r="F114" s="123">
        <v>198.742</v>
      </c>
      <c r="G114" s="123">
        <v>2.1E12</v>
      </c>
      <c r="H114" s="22">
        <v>2022.0</v>
      </c>
      <c r="I114" s="22" t="s">
        <v>660</v>
      </c>
      <c r="J114" s="22">
        <v>84.9</v>
      </c>
      <c r="K114" s="22">
        <v>81.7</v>
      </c>
      <c r="L114" s="22">
        <v>18.1757</v>
      </c>
      <c r="M114" s="22">
        <v>12.1839</v>
      </c>
      <c r="N114" s="123">
        <v>1.2E8</v>
      </c>
      <c r="O114" s="123">
        <v>0.0108645</v>
      </c>
      <c r="P114" s="22">
        <v>0.4283734</v>
      </c>
      <c r="Q114" s="22">
        <v>23.45049</v>
      </c>
      <c r="R114" s="22">
        <v>84.6333</v>
      </c>
      <c r="S114" s="32"/>
      <c r="T114" s="32"/>
      <c r="U114" s="32"/>
      <c r="V114" s="32"/>
      <c r="W114" s="32"/>
      <c r="X114" s="32"/>
    </row>
    <row r="115">
      <c r="A115" s="123">
        <v>1.0E10</v>
      </c>
      <c r="B115" s="123">
        <v>4.6E9</v>
      </c>
      <c r="C115" s="123">
        <v>1.3E10</v>
      </c>
      <c r="D115" s="22">
        <v>0.76927</v>
      </c>
      <c r="E115" s="123">
        <v>1.0E10</v>
      </c>
      <c r="F115" s="123">
        <v>430.201</v>
      </c>
      <c r="G115" s="123">
        <v>4.3E12</v>
      </c>
      <c r="H115" s="22">
        <v>2021.0</v>
      </c>
      <c r="I115" s="22" t="s">
        <v>660</v>
      </c>
      <c r="J115" s="22">
        <v>81.7</v>
      </c>
      <c r="K115" s="22">
        <v>79.3</v>
      </c>
      <c r="L115" s="22">
        <v>12.1839</v>
      </c>
      <c r="M115" s="22">
        <v>12.2739</v>
      </c>
      <c r="N115" s="123">
        <v>3.2E8</v>
      </c>
      <c r="O115" s="123">
        <v>0.0323835</v>
      </c>
      <c r="P115" s="22">
        <v>0.455081</v>
      </c>
      <c r="Q115" s="22">
        <v>23.29916</v>
      </c>
      <c r="R115" s="22">
        <v>81.9667</v>
      </c>
      <c r="S115" s="32"/>
      <c r="T115" s="32"/>
      <c r="U115" s="32"/>
      <c r="V115" s="32"/>
      <c r="W115" s="32"/>
      <c r="X115" s="32"/>
    </row>
    <row r="116">
      <c r="A116" s="123">
        <v>8.6E9</v>
      </c>
      <c r="B116" s="123">
        <v>4.5E9</v>
      </c>
      <c r="C116" s="123">
        <v>7.4E9</v>
      </c>
      <c r="D116" s="22">
        <v>-0.19761</v>
      </c>
      <c r="E116" s="123">
        <v>8.6E9</v>
      </c>
      <c r="F116" s="123">
        <v>244.595</v>
      </c>
      <c r="G116" s="123">
        <v>2.1E12</v>
      </c>
      <c r="H116" s="22">
        <v>2020.0</v>
      </c>
      <c r="I116" s="22" t="s">
        <v>660</v>
      </c>
      <c r="J116" s="22">
        <v>79.3</v>
      </c>
      <c r="K116" s="22">
        <v>71.6</v>
      </c>
      <c r="L116" s="22">
        <v>12.2739</v>
      </c>
      <c r="M116" s="22">
        <v>11.3076</v>
      </c>
      <c r="N116" s="123">
        <v>2.8E8</v>
      </c>
      <c r="O116" s="123">
        <v>0.0330446</v>
      </c>
      <c r="P116" s="22">
        <v>0.5304274</v>
      </c>
      <c r="Q116" s="22">
        <v>22.7286</v>
      </c>
      <c r="R116" s="22">
        <v>77.5333</v>
      </c>
      <c r="S116" s="32"/>
      <c r="T116" s="32"/>
      <c r="U116" s="32"/>
      <c r="V116" s="32"/>
      <c r="W116" s="32"/>
      <c r="X116" s="32"/>
    </row>
    <row r="117">
      <c r="A117" s="123">
        <v>8.0E9</v>
      </c>
      <c r="B117" s="123">
        <v>4.7E9</v>
      </c>
      <c r="C117" s="123">
        <v>9.3E9</v>
      </c>
      <c r="D117" s="22">
        <v>0.15559</v>
      </c>
      <c r="E117" s="123">
        <v>8.0E9</v>
      </c>
      <c r="F117" s="123">
        <v>211.767</v>
      </c>
      <c r="G117" s="123">
        <v>1.7E12</v>
      </c>
      <c r="H117" s="22">
        <v>2019.0</v>
      </c>
      <c r="I117" s="22" t="s">
        <v>660</v>
      </c>
      <c r="J117" s="22">
        <v>71.6</v>
      </c>
      <c r="K117" s="22">
        <v>65.6</v>
      </c>
      <c r="L117" s="22">
        <v>11.3076</v>
      </c>
      <c r="M117" s="22">
        <v>11.3396</v>
      </c>
      <c r="N117" s="123">
        <v>4.9E8</v>
      </c>
      <c r="O117" s="123">
        <v>0.061475</v>
      </c>
      <c r="P117" s="22">
        <v>0.5924561</v>
      </c>
      <c r="Q117" s="22">
        <v>22.94876</v>
      </c>
      <c r="R117" s="22">
        <v>72.1667</v>
      </c>
      <c r="S117" s="32"/>
      <c r="T117" s="32"/>
      <c r="U117" s="32"/>
      <c r="V117" s="32"/>
      <c r="W117" s="32"/>
      <c r="X117" s="32"/>
    </row>
    <row r="118">
      <c r="A118" s="123">
        <v>7.5E9</v>
      </c>
      <c r="B118" s="123">
        <v>4.5E9</v>
      </c>
      <c r="C118" s="123">
        <v>8.0E9</v>
      </c>
      <c r="D118" s="22">
        <v>0.96863</v>
      </c>
      <c r="E118" s="123">
        <v>7.5E9</v>
      </c>
      <c r="F118" s="123">
        <v>123.591</v>
      </c>
      <c r="G118" s="123">
        <v>9.3E11</v>
      </c>
      <c r="H118" s="22">
        <v>2018.0</v>
      </c>
      <c r="I118" s="22" t="s">
        <v>660</v>
      </c>
      <c r="J118" s="22">
        <v>65.6</v>
      </c>
      <c r="K118" s="22">
        <v>54.1</v>
      </c>
      <c r="L118" s="22">
        <v>11.3396</v>
      </c>
      <c r="M118" s="22">
        <v>12.4741</v>
      </c>
      <c r="N118" s="123">
        <v>2.1E8</v>
      </c>
      <c r="O118" s="123">
        <v>0.0281769</v>
      </c>
      <c r="P118" s="22">
        <v>0.6041726</v>
      </c>
      <c r="Q118" s="22">
        <v>22.80415</v>
      </c>
      <c r="R118" s="22">
        <v>63.7667</v>
      </c>
      <c r="S118" s="32"/>
      <c r="T118" s="32"/>
      <c r="U118" s="32"/>
      <c r="V118" s="32"/>
      <c r="W118" s="32"/>
      <c r="X118" s="32"/>
    </row>
    <row r="119">
      <c r="A119" s="123">
        <v>4.6E9</v>
      </c>
      <c r="B119" s="123">
        <v>3.0E9</v>
      </c>
      <c r="C119" s="123">
        <v>4.1E9</v>
      </c>
      <c r="D119" s="22">
        <v>0.89834</v>
      </c>
      <c r="E119" s="123">
        <v>4.6E9</v>
      </c>
      <c r="F119" s="123">
        <v>239.788</v>
      </c>
      <c r="G119" s="123">
        <v>1.1E12</v>
      </c>
      <c r="H119" s="22">
        <v>2017.0</v>
      </c>
      <c r="I119" s="22" t="s">
        <v>660</v>
      </c>
      <c r="J119" s="22">
        <v>54.1</v>
      </c>
      <c r="K119" s="22">
        <v>51.5</v>
      </c>
      <c r="L119" s="22">
        <v>12.4741</v>
      </c>
      <c r="M119" s="22">
        <v>14.0523</v>
      </c>
      <c r="N119" s="123">
        <v>2.6E8</v>
      </c>
      <c r="O119" s="123">
        <v>0.0575514</v>
      </c>
      <c r="P119" s="22">
        <v>0.644905</v>
      </c>
      <c r="Q119" s="22">
        <v>22.12681</v>
      </c>
      <c r="R119" s="22">
        <v>57.0667</v>
      </c>
      <c r="S119" s="32"/>
      <c r="T119" s="32"/>
      <c r="U119" s="32"/>
      <c r="V119" s="32"/>
      <c r="W119" s="32"/>
      <c r="X119" s="32"/>
    </row>
    <row r="120">
      <c r="A120" s="123">
        <v>3.1E9</v>
      </c>
      <c r="B120" s="123">
        <v>2.1E9</v>
      </c>
      <c r="C120" s="123">
        <v>2.1E9</v>
      </c>
      <c r="D120" s="22">
        <v>0.32778</v>
      </c>
      <c r="E120" s="123">
        <v>3.1E9</v>
      </c>
      <c r="F120" s="123">
        <v>207.637</v>
      </c>
      <c r="G120" s="123">
        <v>6.4E11</v>
      </c>
      <c r="H120" s="22">
        <v>2016.0</v>
      </c>
      <c r="I120" s="22" t="s">
        <v>660</v>
      </c>
      <c r="J120" s="22">
        <v>51.5</v>
      </c>
      <c r="K120" s="22">
        <v>48.7</v>
      </c>
      <c r="L120" s="22">
        <v>14.0523</v>
      </c>
      <c r="M120" s="22">
        <v>19.6496</v>
      </c>
      <c r="N120" s="123">
        <v>1.4E8</v>
      </c>
      <c r="O120" s="123">
        <v>0.0464402</v>
      </c>
      <c r="P120" s="22">
        <v>0.6897754</v>
      </c>
      <c r="Q120" s="22">
        <v>21.48583</v>
      </c>
      <c r="R120" s="22">
        <v>51.4333</v>
      </c>
      <c r="S120" s="32"/>
      <c r="T120" s="32"/>
      <c r="U120" s="32"/>
      <c r="V120" s="32"/>
      <c r="W120" s="32"/>
      <c r="X120" s="32"/>
    </row>
    <row r="121">
      <c r="A121" s="123">
        <v>2.0E9</v>
      </c>
      <c r="B121" s="123">
        <v>1.1E9</v>
      </c>
      <c r="C121" s="123">
        <v>1.6E9</v>
      </c>
      <c r="D121" s="22">
        <v>0.03454</v>
      </c>
      <c r="E121" s="123">
        <v>2.0E9</v>
      </c>
      <c r="F121" s="123">
        <v>127.387</v>
      </c>
      <c r="G121" s="123">
        <v>2.5E11</v>
      </c>
      <c r="H121" s="22">
        <v>2015.0</v>
      </c>
      <c r="I121" s="22" t="s">
        <v>660</v>
      </c>
      <c r="J121" s="22">
        <v>48.7</v>
      </c>
      <c r="K121" s="22">
        <v>44.0</v>
      </c>
      <c r="L121" s="22">
        <v>19.6496</v>
      </c>
      <c r="M121" s="22">
        <v>28.8466</v>
      </c>
      <c r="N121" s="123">
        <v>4.1E7</v>
      </c>
      <c r="O121" s="123">
        <v>0.0207436</v>
      </c>
      <c r="P121" s="22">
        <v>0.5807755</v>
      </c>
      <c r="Q121" s="22">
        <v>21.20232</v>
      </c>
      <c r="R121" s="22">
        <v>48.0667</v>
      </c>
      <c r="S121" s="32"/>
      <c r="T121" s="32"/>
      <c r="U121" s="32"/>
      <c r="V121" s="32"/>
      <c r="W121" s="32"/>
      <c r="X121" s="32"/>
    </row>
    <row r="122">
      <c r="A122" s="123">
        <v>1.4E9</v>
      </c>
      <c r="B122" s="123">
        <v>6.4E8</v>
      </c>
      <c r="C122" s="123">
        <v>1.6E9</v>
      </c>
      <c r="D122" s="22">
        <v>-0.95874</v>
      </c>
      <c r="E122" s="123">
        <v>1.4E9</v>
      </c>
      <c r="F122" s="123">
        <v>79.2625</v>
      </c>
      <c r="G122" s="123">
        <v>1.1E11</v>
      </c>
      <c r="H122" s="22">
        <v>2014.0</v>
      </c>
      <c r="I122" s="22" t="s">
        <v>660</v>
      </c>
      <c r="J122" s="22">
        <v>44.0</v>
      </c>
      <c r="K122" s="32"/>
      <c r="L122" s="22">
        <v>28.8466</v>
      </c>
      <c r="M122" s="32"/>
      <c r="N122" s="123">
        <v>4.8E7</v>
      </c>
      <c r="O122" s="123">
        <v>0.0336094</v>
      </c>
      <c r="P122" s="22">
        <v>0.4468924</v>
      </c>
      <c r="Q122" s="22">
        <v>21.16836</v>
      </c>
      <c r="R122" s="32"/>
      <c r="S122" s="32"/>
      <c r="T122" s="32"/>
      <c r="U122" s="32"/>
      <c r="V122" s="32"/>
      <c r="W122" s="32"/>
      <c r="X122" s="32"/>
    </row>
    <row r="123">
      <c r="A123" s="123">
        <v>1.7E10</v>
      </c>
      <c r="B123" s="123">
        <v>6.0E9</v>
      </c>
      <c r="C123" s="123">
        <v>3.8E10</v>
      </c>
      <c r="D123" s="22">
        <v>0.14141</v>
      </c>
      <c r="E123" s="123">
        <v>1.7E10</v>
      </c>
      <c r="F123" s="123">
        <v>1825.87</v>
      </c>
      <c r="G123" s="123">
        <v>3.1E13</v>
      </c>
      <c r="H123" s="22">
        <v>2024.0</v>
      </c>
      <c r="I123" s="22" t="s">
        <v>723</v>
      </c>
      <c r="J123" s="22">
        <v>87.31</v>
      </c>
      <c r="K123" s="22">
        <v>84.85</v>
      </c>
      <c r="L123" s="22">
        <v>23.6602</v>
      </c>
      <c r="M123" s="22">
        <v>21.6149</v>
      </c>
      <c r="N123" s="123">
        <v>2.1E9</v>
      </c>
      <c r="O123" s="123">
        <v>0.1227888</v>
      </c>
      <c r="P123" s="22">
        <v>0.3459157</v>
      </c>
      <c r="Q123" s="22">
        <v>24.35618</v>
      </c>
      <c r="R123" s="32"/>
      <c r="S123" s="32"/>
      <c r="T123" s="32"/>
      <c r="U123" s="32"/>
      <c r="V123" s="32"/>
      <c r="W123" s="32"/>
      <c r="X123" s="32"/>
    </row>
    <row r="124">
      <c r="A124" s="123">
        <v>1.4E10</v>
      </c>
      <c r="B124" s="123">
        <v>4.6E9</v>
      </c>
      <c r="C124" s="123">
        <v>3.3E10</v>
      </c>
      <c r="D124" s="22">
        <v>-0.02183</v>
      </c>
      <c r="E124" s="123">
        <v>1.4E10</v>
      </c>
      <c r="F124" s="123">
        <v>1406.24</v>
      </c>
      <c r="G124" s="123">
        <v>2.0E13</v>
      </c>
      <c r="H124" s="22">
        <v>2023.0</v>
      </c>
      <c r="I124" s="22" t="s">
        <v>723</v>
      </c>
      <c r="J124" s="22">
        <v>84.85</v>
      </c>
      <c r="K124" s="22">
        <v>80.1</v>
      </c>
      <c r="L124" s="22">
        <v>21.6149</v>
      </c>
      <c r="M124" s="22">
        <v>18.1757</v>
      </c>
      <c r="N124" s="123">
        <v>2.0E9</v>
      </c>
      <c r="O124" s="123">
        <v>0.1366204</v>
      </c>
      <c r="P124" s="22">
        <v>0.320316</v>
      </c>
      <c r="Q124" s="22">
        <v>24.22392</v>
      </c>
      <c r="R124" s="22">
        <v>84.0867</v>
      </c>
      <c r="S124" s="32"/>
      <c r="T124" s="32"/>
      <c r="U124" s="32"/>
      <c r="V124" s="32"/>
      <c r="W124" s="32"/>
      <c r="X124" s="32"/>
    </row>
    <row r="125">
      <c r="A125" s="123">
        <v>1.3E10</v>
      </c>
      <c r="B125" s="123">
        <v>4.9E9</v>
      </c>
      <c r="C125" s="123">
        <v>3.4E10</v>
      </c>
      <c r="D125" s="22">
        <v>0.73307</v>
      </c>
      <c r="E125" s="123">
        <v>1.3E10</v>
      </c>
      <c r="F125" s="123">
        <v>1433.09</v>
      </c>
      <c r="G125" s="123">
        <v>1.9E13</v>
      </c>
      <c r="H125" s="22">
        <v>2022.0</v>
      </c>
      <c r="I125" s="22" t="s">
        <v>723</v>
      </c>
      <c r="J125" s="22">
        <v>80.1</v>
      </c>
      <c r="K125" s="22">
        <v>75.6</v>
      </c>
      <c r="L125" s="22">
        <v>18.1757</v>
      </c>
      <c r="M125" s="22">
        <v>12.1839</v>
      </c>
      <c r="N125" s="123">
        <v>1.8E9</v>
      </c>
      <c r="O125" s="123">
        <v>0.1357399</v>
      </c>
      <c r="P125" s="22">
        <v>0.3668729</v>
      </c>
      <c r="Q125" s="22">
        <v>24.24599</v>
      </c>
      <c r="R125" s="22">
        <v>80.1833</v>
      </c>
      <c r="S125" s="32"/>
      <c r="T125" s="32"/>
      <c r="U125" s="32"/>
      <c r="V125" s="32"/>
      <c r="W125" s="32"/>
      <c r="X125" s="32"/>
    </row>
    <row r="126">
      <c r="A126" s="123">
        <v>1.1E10</v>
      </c>
      <c r="B126" s="123">
        <v>4.6E9</v>
      </c>
      <c r="C126" s="123">
        <v>2.0E10</v>
      </c>
      <c r="D126" s="22">
        <v>0.11629</v>
      </c>
      <c r="E126" s="123">
        <v>1.1E10</v>
      </c>
      <c r="F126" s="123">
        <v>1417.98</v>
      </c>
      <c r="G126" s="123">
        <v>1.5E13</v>
      </c>
      <c r="H126" s="22">
        <v>2021.0</v>
      </c>
      <c r="I126" s="22" t="s">
        <v>723</v>
      </c>
      <c r="J126" s="22">
        <v>75.6</v>
      </c>
      <c r="K126" s="22">
        <v>70.55</v>
      </c>
      <c r="L126" s="22">
        <v>12.1839</v>
      </c>
      <c r="M126" s="22">
        <v>12.2739</v>
      </c>
      <c r="N126" s="123">
        <v>1.0E9</v>
      </c>
      <c r="O126" s="123">
        <v>0.0969056</v>
      </c>
      <c r="P126" s="22">
        <v>0.4337862</v>
      </c>
      <c r="Q126" s="22">
        <v>23.69609</v>
      </c>
      <c r="R126" s="22">
        <v>75.4167</v>
      </c>
      <c r="S126" s="32"/>
      <c r="T126" s="32"/>
      <c r="U126" s="32"/>
      <c r="V126" s="32"/>
      <c r="W126" s="32"/>
      <c r="X126" s="32"/>
    </row>
    <row r="127">
      <c r="A127" s="123">
        <v>8.5E9</v>
      </c>
      <c r="B127" s="123">
        <v>3.2E9</v>
      </c>
      <c r="C127" s="123">
        <v>1.8E10</v>
      </c>
      <c r="D127" s="22">
        <v>0.03001</v>
      </c>
      <c r="E127" s="123">
        <v>8.5E9</v>
      </c>
      <c r="F127" s="123">
        <v>1456.0</v>
      </c>
      <c r="G127" s="123">
        <v>1.2E13</v>
      </c>
      <c r="H127" s="22">
        <v>2020.0</v>
      </c>
      <c r="I127" s="22" t="s">
        <v>723</v>
      </c>
      <c r="J127" s="22">
        <v>70.55</v>
      </c>
      <c r="K127" s="22">
        <v>64.775</v>
      </c>
      <c r="L127" s="22">
        <v>12.2739</v>
      </c>
      <c r="M127" s="22">
        <v>11.3076</v>
      </c>
      <c r="N127" s="123">
        <v>1.1E9</v>
      </c>
      <c r="O127" s="123">
        <v>0.1260511</v>
      </c>
      <c r="P127" s="22">
        <v>0.3820852</v>
      </c>
      <c r="Q127" s="22">
        <v>23.58608</v>
      </c>
      <c r="R127" s="22">
        <v>70.3083</v>
      </c>
      <c r="S127" s="32"/>
      <c r="T127" s="32"/>
      <c r="U127" s="32"/>
      <c r="V127" s="32"/>
      <c r="W127" s="32"/>
      <c r="X127" s="32"/>
    </row>
    <row r="128">
      <c r="A128" s="123">
        <v>8.6E9</v>
      </c>
      <c r="B128" s="123">
        <v>4.0E9</v>
      </c>
      <c r="C128" s="123">
        <v>1.7E10</v>
      </c>
      <c r="D128" s="22">
        <v>0.16674</v>
      </c>
      <c r="E128" s="123">
        <v>8.6E9</v>
      </c>
      <c r="F128" s="123">
        <v>1097.58</v>
      </c>
      <c r="G128" s="123">
        <v>9.4E12</v>
      </c>
      <c r="H128" s="22">
        <v>2019.0</v>
      </c>
      <c r="I128" s="22" t="s">
        <v>723</v>
      </c>
      <c r="J128" s="22">
        <v>64.775</v>
      </c>
      <c r="K128" s="22">
        <v>56.475</v>
      </c>
      <c r="L128" s="22">
        <v>11.3076</v>
      </c>
      <c r="M128" s="22">
        <v>11.3396</v>
      </c>
      <c r="N128" s="123">
        <v>1.2E9</v>
      </c>
      <c r="O128" s="123">
        <v>0.1387806</v>
      </c>
      <c r="P128" s="22">
        <v>0.4679432</v>
      </c>
      <c r="Q128" s="22">
        <v>23.55652</v>
      </c>
      <c r="R128" s="22">
        <v>63.9333</v>
      </c>
      <c r="S128" s="32"/>
      <c r="T128" s="32"/>
      <c r="U128" s="32"/>
      <c r="V128" s="32"/>
      <c r="W128" s="32"/>
      <c r="X128" s="32"/>
    </row>
    <row r="129">
      <c r="A129" s="123">
        <v>6.4E9</v>
      </c>
      <c r="B129" s="123">
        <v>2.7E9</v>
      </c>
      <c r="C129" s="123">
        <v>1.5E10</v>
      </c>
      <c r="D129" s="22">
        <v>0.32744</v>
      </c>
      <c r="E129" s="123">
        <v>6.4E9</v>
      </c>
      <c r="F129" s="123">
        <v>762.327</v>
      </c>
      <c r="G129" s="123">
        <v>4.9E12</v>
      </c>
      <c r="H129" s="22">
        <v>2018.0</v>
      </c>
      <c r="I129" s="22" t="s">
        <v>723</v>
      </c>
      <c r="J129" s="22">
        <v>56.475</v>
      </c>
      <c r="K129" s="22">
        <v>50.225</v>
      </c>
      <c r="L129" s="22">
        <v>11.3396</v>
      </c>
      <c r="M129" s="22">
        <v>12.4741</v>
      </c>
      <c r="N129" s="123">
        <v>9.6E8</v>
      </c>
      <c r="O129" s="123">
        <v>0.1491051</v>
      </c>
      <c r="P129" s="22">
        <v>0.4182768</v>
      </c>
      <c r="Q129" s="22">
        <v>23.40231</v>
      </c>
      <c r="R129" s="22">
        <v>57.1583</v>
      </c>
      <c r="S129" s="32"/>
      <c r="T129" s="32"/>
      <c r="U129" s="32"/>
      <c r="V129" s="32"/>
      <c r="W129" s="32"/>
      <c r="X129" s="32"/>
    </row>
    <row r="130">
      <c r="A130" s="123">
        <v>4.6E9</v>
      </c>
      <c r="B130" s="123">
        <v>1.5E9</v>
      </c>
      <c r="C130" s="123">
        <v>1.1E10</v>
      </c>
      <c r="D130" s="22">
        <v>0.28165</v>
      </c>
      <c r="E130" s="123">
        <v>4.6E9</v>
      </c>
      <c r="F130" s="123">
        <v>936.888</v>
      </c>
      <c r="G130" s="123">
        <v>4.3E12</v>
      </c>
      <c r="H130" s="22">
        <v>2017.0</v>
      </c>
      <c r="I130" s="22" t="s">
        <v>723</v>
      </c>
      <c r="J130" s="22">
        <v>50.225</v>
      </c>
      <c r="K130" s="22">
        <v>42.9</v>
      </c>
      <c r="L130" s="22">
        <v>12.4741</v>
      </c>
      <c r="M130" s="22">
        <v>14.0523</v>
      </c>
      <c r="N130" s="123">
        <v>7.2E8</v>
      </c>
      <c r="O130" s="123">
        <v>0.1585668</v>
      </c>
      <c r="P130" s="22">
        <v>0.3374745</v>
      </c>
      <c r="Q130" s="22">
        <v>23.11905</v>
      </c>
      <c r="R130" s="22">
        <v>49.8667</v>
      </c>
      <c r="S130" s="32"/>
      <c r="T130" s="32"/>
      <c r="U130" s="32"/>
      <c r="V130" s="32"/>
      <c r="W130" s="32"/>
      <c r="X130" s="32"/>
    </row>
    <row r="131">
      <c r="A131" s="123">
        <v>3.6E9</v>
      </c>
      <c r="B131" s="123">
        <v>2.1E9</v>
      </c>
      <c r="C131" s="123">
        <v>8.6E9</v>
      </c>
      <c r="D131" s="22">
        <v>0.11141</v>
      </c>
      <c r="E131" s="123">
        <v>3.6E9</v>
      </c>
      <c r="F131" s="123">
        <v>565.784</v>
      </c>
      <c r="G131" s="123">
        <v>2.0E12</v>
      </c>
      <c r="H131" s="22">
        <v>2016.0</v>
      </c>
      <c r="I131" s="22" t="s">
        <v>723</v>
      </c>
      <c r="J131" s="22">
        <v>42.9</v>
      </c>
      <c r="K131" s="22">
        <v>40.525</v>
      </c>
      <c r="L131" s="22">
        <v>14.0523</v>
      </c>
      <c r="M131" s="22">
        <v>19.6496</v>
      </c>
      <c r="N131" s="123">
        <v>4.5E8</v>
      </c>
      <c r="O131" s="123">
        <v>0.1255545</v>
      </c>
      <c r="P131" s="22">
        <v>0.5818472</v>
      </c>
      <c r="Q131" s="22">
        <v>22.8709</v>
      </c>
      <c r="R131" s="22">
        <v>44.55</v>
      </c>
      <c r="S131" s="32"/>
      <c r="T131" s="32"/>
      <c r="U131" s="32"/>
      <c r="V131" s="32"/>
      <c r="W131" s="32"/>
      <c r="X131" s="32"/>
    </row>
    <row r="132">
      <c r="A132" s="123">
        <v>3.0E9</v>
      </c>
      <c r="B132" s="123">
        <v>1.7E9</v>
      </c>
      <c r="C132" s="123">
        <v>7.7E9</v>
      </c>
      <c r="D132" s="22">
        <v>-0.16232</v>
      </c>
      <c r="E132" s="123">
        <v>3.0E9</v>
      </c>
      <c r="F132" s="123">
        <v>328.743</v>
      </c>
      <c r="G132" s="123">
        <v>9.8E11</v>
      </c>
      <c r="H132" s="22">
        <v>2015.0</v>
      </c>
      <c r="I132" s="22" t="s">
        <v>723</v>
      </c>
      <c r="J132" s="22">
        <v>40.525</v>
      </c>
      <c r="K132" s="22">
        <v>38.25</v>
      </c>
      <c r="L132" s="22">
        <v>19.6496</v>
      </c>
      <c r="M132" s="22">
        <v>28.8466</v>
      </c>
      <c r="N132" s="123">
        <v>7.6E7</v>
      </c>
      <c r="O132" s="123">
        <v>0.0253859</v>
      </c>
      <c r="P132" s="22">
        <v>0.5580305</v>
      </c>
      <c r="Q132" s="22">
        <v>22.76527</v>
      </c>
      <c r="R132" s="22">
        <v>40.5583</v>
      </c>
      <c r="S132" s="32"/>
      <c r="T132" s="32"/>
      <c r="U132" s="32"/>
      <c r="V132" s="32"/>
      <c r="W132" s="32"/>
      <c r="X132" s="32"/>
    </row>
    <row r="133">
      <c r="A133" s="123">
        <v>2.8E9</v>
      </c>
      <c r="B133" s="123">
        <v>1.5E9</v>
      </c>
      <c r="C133" s="123">
        <v>9.2E9</v>
      </c>
      <c r="D133" s="22">
        <v>-0.87836</v>
      </c>
      <c r="E133" s="123">
        <v>2.8E9</v>
      </c>
      <c r="F133" s="123">
        <v>243.283</v>
      </c>
      <c r="G133" s="123">
        <v>6.9E11</v>
      </c>
      <c r="H133" s="22">
        <v>2014.0</v>
      </c>
      <c r="I133" s="22" t="s">
        <v>723</v>
      </c>
      <c r="J133" s="22">
        <v>38.25</v>
      </c>
      <c r="K133" s="32"/>
      <c r="L133" s="22">
        <v>28.8466</v>
      </c>
      <c r="M133" s="32"/>
      <c r="N133" s="123">
        <v>2.6E8</v>
      </c>
      <c r="O133" s="123">
        <v>0.0904565</v>
      </c>
      <c r="P133" s="22">
        <v>0.5416496</v>
      </c>
      <c r="Q133" s="22">
        <v>22.94238</v>
      </c>
      <c r="R133" s="32"/>
      <c r="S133" s="32"/>
      <c r="T133" s="32"/>
      <c r="U133" s="32"/>
      <c r="V133" s="32"/>
      <c r="W133" s="32"/>
      <c r="X133" s="32"/>
    </row>
    <row r="134">
      <c r="A134" s="123">
        <v>2.8E12</v>
      </c>
      <c r="B134" s="123">
        <v>2.6E12</v>
      </c>
      <c r="C134" s="123">
        <v>7.6E10</v>
      </c>
      <c r="D134" s="22">
        <v>0.07138</v>
      </c>
      <c r="E134" s="123">
        <v>2.8E12</v>
      </c>
      <c r="F134" s="123">
        <v>77.6271</v>
      </c>
      <c r="G134" s="123">
        <v>2.1E14</v>
      </c>
      <c r="H134" s="22">
        <v>2024.0</v>
      </c>
      <c r="I134" s="22" t="s">
        <v>780</v>
      </c>
      <c r="J134" s="22">
        <v>93.9</v>
      </c>
      <c r="K134" s="22">
        <v>92.2</v>
      </c>
      <c r="L134" s="22">
        <v>23.6602</v>
      </c>
      <c r="M134" s="22">
        <v>21.6149</v>
      </c>
      <c r="N134" s="123">
        <v>2.6E10</v>
      </c>
      <c r="O134" s="123">
        <v>0.0092742</v>
      </c>
      <c r="P134" s="22">
        <v>0.947511</v>
      </c>
      <c r="Q134" s="22">
        <v>25.0491</v>
      </c>
      <c r="R134" s="32"/>
      <c r="S134" s="32"/>
      <c r="T134" s="32"/>
      <c r="U134" s="32"/>
      <c r="V134" s="32"/>
      <c r="W134" s="32"/>
      <c r="X134" s="32"/>
    </row>
    <row r="135">
      <c r="A135" s="123">
        <v>2.3E12</v>
      </c>
      <c r="B135" s="123">
        <v>2.2E12</v>
      </c>
      <c r="C135" s="123">
        <v>7.1E10</v>
      </c>
      <c r="D135" s="22">
        <v>0.08464</v>
      </c>
      <c r="E135" s="123">
        <v>2.3E12</v>
      </c>
      <c r="F135" s="123">
        <v>78.9353</v>
      </c>
      <c r="G135" s="123">
        <v>1.8E14</v>
      </c>
      <c r="H135" s="22">
        <v>2023.0</v>
      </c>
      <c r="I135" s="22" t="s">
        <v>780</v>
      </c>
      <c r="J135" s="22">
        <v>92.2</v>
      </c>
      <c r="K135" s="22">
        <v>89.3</v>
      </c>
      <c r="L135" s="22">
        <v>21.6149</v>
      </c>
      <c r="M135" s="22">
        <v>18.1757</v>
      </c>
      <c r="N135" s="123">
        <v>2.2E10</v>
      </c>
      <c r="O135" s="123">
        <v>0.0095517</v>
      </c>
      <c r="P135" s="22">
        <v>0.9465998</v>
      </c>
      <c r="Q135" s="22">
        <v>24.98015</v>
      </c>
      <c r="R135" s="22">
        <v>91.8</v>
      </c>
      <c r="S135" s="32"/>
      <c r="T135" s="32"/>
      <c r="U135" s="32"/>
      <c r="V135" s="32"/>
      <c r="W135" s="32"/>
      <c r="X135" s="32"/>
    </row>
    <row r="136">
      <c r="A136" s="123">
        <v>2.1E12</v>
      </c>
      <c r="B136" s="123">
        <v>2.0E12</v>
      </c>
      <c r="C136" s="123">
        <v>6.5E10</v>
      </c>
      <c r="D136" s="22">
        <v>0.15953</v>
      </c>
      <c r="E136" s="123">
        <v>2.1E12</v>
      </c>
      <c r="F136" s="123">
        <v>67.7352</v>
      </c>
      <c r="G136" s="123">
        <v>1.4E14</v>
      </c>
      <c r="H136" s="22">
        <v>2022.0</v>
      </c>
      <c r="I136" s="22" t="s">
        <v>780</v>
      </c>
      <c r="J136" s="22">
        <v>89.3</v>
      </c>
      <c r="K136" s="22">
        <v>87.5</v>
      </c>
      <c r="L136" s="22">
        <v>18.1757</v>
      </c>
      <c r="M136" s="22">
        <v>12.1839</v>
      </c>
      <c r="N136" s="123">
        <v>1.8E10</v>
      </c>
      <c r="O136" s="123">
        <v>0.0086862</v>
      </c>
      <c r="P136" s="22">
        <v>0.9508679</v>
      </c>
      <c r="Q136" s="22">
        <v>24.8989</v>
      </c>
      <c r="R136" s="22">
        <v>89.6667</v>
      </c>
      <c r="S136" s="32"/>
      <c r="T136" s="32"/>
      <c r="U136" s="32"/>
      <c r="V136" s="32"/>
      <c r="W136" s="32"/>
      <c r="X136" s="32"/>
    </row>
    <row r="137">
      <c r="A137" s="123">
        <v>1.8E12</v>
      </c>
      <c r="B137" s="123">
        <v>1.7E12</v>
      </c>
      <c r="C137" s="123">
        <v>5.6E10</v>
      </c>
      <c r="D137" s="22">
        <v>0.25312</v>
      </c>
      <c r="E137" s="123">
        <v>1.8E12</v>
      </c>
      <c r="F137" s="123">
        <v>62.3854</v>
      </c>
      <c r="G137" s="123">
        <v>1.1E14</v>
      </c>
      <c r="H137" s="22">
        <v>2021.0</v>
      </c>
      <c r="I137" s="22" t="s">
        <v>780</v>
      </c>
      <c r="J137" s="22">
        <v>87.5</v>
      </c>
      <c r="K137" s="22">
        <v>85.8</v>
      </c>
      <c r="L137" s="22">
        <v>12.1839</v>
      </c>
      <c r="M137" s="22">
        <v>12.2739</v>
      </c>
      <c r="N137" s="123">
        <v>1.1E10</v>
      </c>
      <c r="O137" s="123">
        <v>0.0061539</v>
      </c>
      <c r="P137" s="22">
        <v>0.9509966</v>
      </c>
      <c r="Q137" s="22">
        <v>24.75089</v>
      </c>
      <c r="R137" s="22">
        <v>87.5333</v>
      </c>
      <c r="S137" s="32"/>
      <c r="T137" s="32"/>
      <c r="U137" s="32"/>
      <c r="V137" s="32"/>
      <c r="W137" s="32"/>
      <c r="X137" s="32"/>
    </row>
    <row r="138">
      <c r="A138" s="123">
        <v>1.5E12</v>
      </c>
      <c r="B138" s="123">
        <v>1.4E12</v>
      </c>
      <c r="C138" s="123">
        <v>4.5E10</v>
      </c>
      <c r="D138" s="22">
        <v>0.05276</v>
      </c>
      <c r="E138" s="123">
        <v>1.5E12</v>
      </c>
      <c r="F138" s="123">
        <v>73.8631</v>
      </c>
      <c r="G138" s="123">
        <v>1.1E14</v>
      </c>
      <c r="H138" s="22">
        <v>2020.0</v>
      </c>
      <c r="I138" s="22" t="s">
        <v>780</v>
      </c>
      <c r="J138" s="22">
        <v>85.8</v>
      </c>
      <c r="K138" s="22">
        <v>82.0</v>
      </c>
      <c r="L138" s="22">
        <v>12.2739</v>
      </c>
      <c r="M138" s="22">
        <v>11.3076</v>
      </c>
      <c r="N138" s="123">
        <v>7.2E9</v>
      </c>
      <c r="O138" s="123">
        <v>0.0047627</v>
      </c>
      <c r="P138" s="22">
        <v>0.9474864</v>
      </c>
      <c r="Q138" s="22">
        <v>24.52526</v>
      </c>
      <c r="R138" s="22">
        <v>85.1</v>
      </c>
      <c r="S138" s="32"/>
      <c r="T138" s="32"/>
      <c r="U138" s="32"/>
      <c r="V138" s="32"/>
      <c r="W138" s="32"/>
      <c r="X138" s="32"/>
    </row>
    <row r="139">
      <c r="A139" s="123">
        <v>1.5E12</v>
      </c>
      <c r="B139" s="123">
        <v>1.4E12</v>
      </c>
      <c r="C139" s="123">
        <v>4.3E10</v>
      </c>
      <c r="D139" s="22">
        <v>0.05846</v>
      </c>
      <c r="E139" s="123">
        <v>1.5E12</v>
      </c>
      <c r="F139" s="123">
        <v>60.721</v>
      </c>
      <c r="G139" s="123">
        <v>8.9E13</v>
      </c>
      <c r="H139" s="22">
        <v>2019.0</v>
      </c>
      <c r="I139" s="22" t="s">
        <v>780</v>
      </c>
      <c r="J139" s="22">
        <v>82.0</v>
      </c>
      <c r="K139" s="22">
        <v>74.6</v>
      </c>
      <c r="L139" s="22">
        <v>11.3076</v>
      </c>
      <c r="M139" s="22">
        <v>11.3396</v>
      </c>
      <c r="N139" s="123">
        <v>8.5E9</v>
      </c>
      <c r="O139" s="123">
        <v>0.0057369</v>
      </c>
      <c r="P139" s="22">
        <v>0.9478824</v>
      </c>
      <c r="Q139" s="22">
        <v>24.47384</v>
      </c>
      <c r="R139" s="22">
        <v>80.8</v>
      </c>
      <c r="S139" s="32"/>
      <c r="T139" s="32"/>
      <c r="U139" s="32"/>
      <c r="V139" s="32"/>
      <c r="W139" s="32"/>
      <c r="X139" s="32"/>
    </row>
    <row r="140">
      <c r="A140" s="123">
        <v>1.3E12</v>
      </c>
      <c r="B140" s="123">
        <v>1.3E12</v>
      </c>
      <c r="C140" s="123">
        <v>4.0E10</v>
      </c>
      <c r="D140" s="22">
        <v>0.13541</v>
      </c>
      <c r="E140" s="123">
        <v>1.3E12</v>
      </c>
      <c r="F140" s="123">
        <v>49.8594</v>
      </c>
      <c r="G140" s="123">
        <v>6.4E13</v>
      </c>
      <c r="H140" s="22">
        <v>2018.0</v>
      </c>
      <c r="I140" s="22" t="s">
        <v>780</v>
      </c>
      <c r="J140" s="22">
        <v>74.6</v>
      </c>
      <c r="K140" s="22">
        <v>70.5</v>
      </c>
      <c r="L140" s="22">
        <v>11.3396</v>
      </c>
      <c r="M140" s="22">
        <v>12.4741</v>
      </c>
      <c r="N140" s="123">
        <v>7.5E9</v>
      </c>
      <c r="O140" s="123">
        <v>0.0056975</v>
      </c>
      <c r="P140" s="22">
        <v>0.9584957</v>
      </c>
      <c r="Q140" s="22">
        <v>24.41703</v>
      </c>
      <c r="R140" s="22">
        <v>75.7</v>
      </c>
      <c r="S140" s="32"/>
      <c r="T140" s="32"/>
      <c r="U140" s="32"/>
      <c r="V140" s="32"/>
      <c r="W140" s="32"/>
      <c r="X140" s="32"/>
    </row>
    <row r="141">
      <c r="A141" s="123">
        <v>1.2E12</v>
      </c>
      <c r="B141" s="123">
        <v>1.2E12</v>
      </c>
      <c r="C141" s="123">
        <v>3.5E10</v>
      </c>
      <c r="D141" s="22">
        <v>0.29669</v>
      </c>
      <c r="E141" s="123">
        <v>1.2E12</v>
      </c>
      <c r="F141" s="123">
        <v>40.5427</v>
      </c>
      <c r="G141" s="123">
        <v>4.8E13</v>
      </c>
      <c r="H141" s="22">
        <v>2017.0</v>
      </c>
      <c r="I141" s="22" t="s">
        <v>780</v>
      </c>
      <c r="J141" s="22">
        <v>70.5</v>
      </c>
      <c r="K141" s="22">
        <v>66.4</v>
      </c>
      <c r="L141" s="22">
        <v>12.4741</v>
      </c>
      <c r="M141" s="22">
        <v>14.0523</v>
      </c>
      <c r="N141" s="123">
        <v>6.9E9</v>
      </c>
      <c r="O141" s="123">
        <v>0.005777</v>
      </c>
      <c r="P141" s="22">
        <v>0.9593823</v>
      </c>
      <c r="Q141" s="22">
        <v>24.29004</v>
      </c>
      <c r="R141" s="22">
        <v>70.5</v>
      </c>
      <c r="S141" s="32"/>
      <c r="T141" s="32"/>
      <c r="U141" s="32"/>
      <c r="V141" s="32"/>
      <c r="W141" s="32"/>
      <c r="X141" s="32"/>
    </row>
    <row r="142">
      <c r="A142" s="123">
        <v>1.0E12</v>
      </c>
      <c r="B142" s="123">
        <v>9.6E11</v>
      </c>
      <c r="C142" s="123">
        <v>2.7E10</v>
      </c>
      <c r="D142" s="22">
        <v>0.24702</v>
      </c>
      <c r="E142" s="123">
        <v>1.0E12</v>
      </c>
      <c r="F142" s="123">
        <v>26.4738</v>
      </c>
      <c r="G142" s="123">
        <v>2.6E13</v>
      </c>
      <c r="H142" s="22">
        <v>2016.0</v>
      </c>
      <c r="I142" s="22" t="s">
        <v>780</v>
      </c>
      <c r="J142" s="22">
        <v>66.4</v>
      </c>
      <c r="K142" s="22">
        <v>65.0</v>
      </c>
      <c r="L142" s="22">
        <v>14.0523</v>
      </c>
      <c r="M142" s="22">
        <v>19.6496</v>
      </c>
      <c r="N142" s="123">
        <v>6.2E9</v>
      </c>
      <c r="O142" s="123">
        <v>0.0061571</v>
      </c>
      <c r="P142" s="22">
        <v>0.9561647</v>
      </c>
      <c r="Q142" s="22">
        <v>24.03022</v>
      </c>
      <c r="R142" s="22">
        <v>67.3</v>
      </c>
      <c r="S142" s="32"/>
      <c r="T142" s="32"/>
      <c r="U142" s="32"/>
      <c r="V142" s="32"/>
      <c r="W142" s="32"/>
      <c r="X142" s="32"/>
    </row>
    <row r="143">
      <c r="A143" s="123">
        <v>8.5E11</v>
      </c>
      <c r="B143" s="123">
        <v>8.1E11</v>
      </c>
      <c r="C143" s="123">
        <v>2.2E10</v>
      </c>
      <c r="D143" s="22">
        <v>0.09792</v>
      </c>
      <c r="E143" s="123">
        <v>8.5E11</v>
      </c>
      <c r="F143" s="123">
        <v>35.1459</v>
      </c>
      <c r="G143" s="123">
        <v>2.9E13</v>
      </c>
      <c r="H143" s="22">
        <v>2015.0</v>
      </c>
      <c r="I143" s="22" t="s">
        <v>780</v>
      </c>
      <c r="J143" s="22">
        <v>65.0</v>
      </c>
      <c r="K143" s="22">
        <v>60.0</v>
      </c>
      <c r="L143" s="22">
        <v>19.6496</v>
      </c>
      <c r="M143" s="22">
        <v>28.8466</v>
      </c>
      <c r="N143" s="123">
        <v>6.4E9</v>
      </c>
      <c r="O143" s="123">
        <v>0.0074962</v>
      </c>
      <c r="P143" s="22">
        <v>0.9502328</v>
      </c>
      <c r="Q143" s="22">
        <v>23.80947</v>
      </c>
      <c r="R143" s="22">
        <v>63.8</v>
      </c>
      <c r="S143" s="32"/>
      <c r="T143" s="32"/>
      <c r="U143" s="32"/>
      <c r="V143" s="32"/>
      <c r="W143" s="32"/>
      <c r="X143" s="32"/>
    </row>
    <row r="144">
      <c r="A144" s="123">
        <v>6.5E11</v>
      </c>
      <c r="B144" s="123">
        <v>6.2E11</v>
      </c>
      <c r="C144" s="123">
        <v>2.0E10</v>
      </c>
      <c r="D144" s="22">
        <v>1.37857</v>
      </c>
      <c r="E144" s="123">
        <v>6.5E11</v>
      </c>
      <c r="F144" s="123">
        <v>25.8302</v>
      </c>
      <c r="G144" s="123">
        <v>1.6E13</v>
      </c>
      <c r="H144" s="22">
        <v>2014.0</v>
      </c>
      <c r="I144" s="22" t="s">
        <v>780</v>
      </c>
      <c r="J144" s="22">
        <v>60.0</v>
      </c>
      <c r="K144" s="32"/>
      <c r="L144" s="22">
        <v>28.8466</v>
      </c>
      <c r="M144" s="32"/>
      <c r="N144" s="123">
        <v>5.0E9</v>
      </c>
      <c r="O144" s="123">
        <v>0.0076662</v>
      </c>
      <c r="P144" s="22">
        <v>0.9483252</v>
      </c>
      <c r="Q144" s="22">
        <v>23.71605</v>
      </c>
      <c r="R144" s="32"/>
      <c r="S144" s="32"/>
      <c r="T144" s="32"/>
      <c r="U144" s="32"/>
      <c r="V144" s="32"/>
      <c r="W144" s="32"/>
      <c r="X144" s="32"/>
    </row>
    <row r="145">
      <c r="A145" s="123">
        <v>3.6E10</v>
      </c>
      <c r="B145" s="123">
        <v>1.4E10</v>
      </c>
      <c r="C145" s="123">
        <v>8.4E9</v>
      </c>
      <c r="D145" s="22">
        <v>-0.02173</v>
      </c>
      <c r="E145" s="123">
        <v>3.6E10</v>
      </c>
      <c r="F145" s="123">
        <v>59.3035</v>
      </c>
      <c r="G145" s="123">
        <v>2.1E12</v>
      </c>
      <c r="H145" s="22">
        <v>2024.0</v>
      </c>
      <c r="I145" s="22" t="s">
        <v>852</v>
      </c>
      <c r="J145" s="22">
        <v>92.5</v>
      </c>
      <c r="K145" s="22">
        <v>89.5</v>
      </c>
      <c r="L145" s="22">
        <v>23.6602</v>
      </c>
      <c r="M145" s="22">
        <v>21.6149</v>
      </c>
      <c r="N145" s="123">
        <v>2.4E9</v>
      </c>
      <c r="O145" s="123">
        <v>0.0658924</v>
      </c>
      <c r="P145" s="22">
        <v>0.3824714</v>
      </c>
      <c r="Q145" s="22">
        <v>22.84955</v>
      </c>
      <c r="R145" s="32"/>
      <c r="S145" s="32"/>
      <c r="T145" s="32"/>
      <c r="U145" s="32"/>
      <c r="V145" s="32"/>
      <c r="W145" s="32"/>
      <c r="X145" s="32"/>
    </row>
    <row r="146">
      <c r="A146" s="123">
        <v>3.5E10</v>
      </c>
      <c r="B146" s="123">
        <v>1.4E10</v>
      </c>
      <c r="C146" s="123">
        <v>8.6E9</v>
      </c>
      <c r="D146" s="22">
        <v>-0.08558</v>
      </c>
      <c r="E146" s="123">
        <v>3.5E10</v>
      </c>
      <c r="F146" s="123">
        <v>162.929</v>
      </c>
      <c r="G146" s="123">
        <v>5.7E12</v>
      </c>
      <c r="H146" s="22">
        <v>2023.0</v>
      </c>
      <c r="I146" s="22" t="s">
        <v>852</v>
      </c>
      <c r="J146" s="22">
        <v>89.5</v>
      </c>
      <c r="K146" s="22">
        <v>86.4</v>
      </c>
      <c r="L146" s="22">
        <v>21.6149</v>
      </c>
      <c r="M146" s="22">
        <v>18.1757</v>
      </c>
      <c r="N146" s="123">
        <v>2.8E9</v>
      </c>
      <c r="O146" s="123">
        <v>0.0798189</v>
      </c>
      <c r="P146" s="22">
        <v>0.4050774</v>
      </c>
      <c r="Q146" s="22">
        <v>22.87152</v>
      </c>
      <c r="R146" s="22">
        <v>89.4667</v>
      </c>
      <c r="S146" s="32"/>
      <c r="T146" s="32"/>
      <c r="U146" s="32"/>
      <c r="V146" s="32"/>
      <c r="W146" s="32"/>
      <c r="X146" s="32"/>
    </row>
    <row r="147">
      <c r="A147" s="123">
        <v>3.4E10</v>
      </c>
      <c r="B147" s="123">
        <v>1.5E10</v>
      </c>
      <c r="C147" s="123">
        <v>9.4E9</v>
      </c>
      <c r="D147" s="22">
        <v>0.61312</v>
      </c>
      <c r="E147" s="123">
        <v>3.4E10</v>
      </c>
      <c r="F147" s="123">
        <v>70.3728</v>
      </c>
      <c r="G147" s="123">
        <v>2.4E12</v>
      </c>
      <c r="H147" s="22">
        <v>2022.0</v>
      </c>
      <c r="I147" s="22" t="s">
        <v>852</v>
      </c>
      <c r="J147" s="22">
        <v>86.4</v>
      </c>
      <c r="K147" s="22">
        <v>83.7</v>
      </c>
      <c r="L147" s="22">
        <v>18.1757</v>
      </c>
      <c r="M147" s="22">
        <v>12.1839</v>
      </c>
      <c r="N147" s="123">
        <v>3.5E9</v>
      </c>
      <c r="O147" s="123">
        <v>0.1036539</v>
      </c>
      <c r="P147" s="22">
        <v>0.4337626</v>
      </c>
      <c r="Q147" s="22">
        <v>22.96099</v>
      </c>
      <c r="R147" s="22">
        <v>86.5333</v>
      </c>
      <c r="S147" s="32"/>
      <c r="T147" s="32"/>
      <c r="U147" s="32"/>
      <c r="V147" s="32"/>
      <c r="W147" s="32"/>
      <c r="X147" s="32"/>
    </row>
    <row r="148">
      <c r="A148" s="123">
        <v>3.2E10</v>
      </c>
      <c r="B148" s="123">
        <v>1.5E10</v>
      </c>
      <c r="C148" s="123">
        <v>5.8E9</v>
      </c>
      <c r="D148" s="22">
        <v>0.03015</v>
      </c>
      <c r="E148" s="123">
        <v>3.2E10</v>
      </c>
      <c r="F148" s="123">
        <v>93.6972</v>
      </c>
      <c r="G148" s="123">
        <v>3.0E12</v>
      </c>
      <c r="H148" s="22">
        <v>2021.0</v>
      </c>
      <c r="I148" s="22" t="s">
        <v>852</v>
      </c>
      <c r="J148" s="22">
        <v>83.7</v>
      </c>
      <c r="K148" s="22">
        <v>80.7</v>
      </c>
      <c r="L148" s="22">
        <v>12.1839</v>
      </c>
      <c r="M148" s="22">
        <v>12.2739</v>
      </c>
      <c r="N148" s="123">
        <v>2.1E9</v>
      </c>
      <c r="O148" s="123">
        <v>0.0670943</v>
      </c>
      <c r="P148" s="22">
        <v>0.4860378</v>
      </c>
      <c r="Q148" s="22">
        <v>22.48281</v>
      </c>
      <c r="R148" s="22">
        <v>83.6</v>
      </c>
      <c r="S148" s="32"/>
      <c r="T148" s="32"/>
      <c r="U148" s="32"/>
      <c r="V148" s="32"/>
      <c r="W148" s="32"/>
      <c r="X148" s="32"/>
    </row>
    <row r="149">
      <c r="A149" s="123">
        <v>2.1E10</v>
      </c>
      <c r="B149" s="123">
        <v>8.3E9</v>
      </c>
      <c r="C149" s="123">
        <v>5.6E9</v>
      </c>
      <c r="D149" s="22">
        <v>0.15336</v>
      </c>
      <c r="E149" s="123">
        <v>2.1E10</v>
      </c>
      <c r="F149" s="123">
        <v>108.894</v>
      </c>
      <c r="G149" s="123">
        <v>2.2E12</v>
      </c>
      <c r="H149" s="22">
        <v>2020.0</v>
      </c>
      <c r="I149" s="22" t="s">
        <v>852</v>
      </c>
      <c r="J149" s="22">
        <v>80.7</v>
      </c>
      <c r="K149" s="22">
        <v>76.0</v>
      </c>
      <c r="L149" s="22">
        <v>12.2739</v>
      </c>
      <c r="M149" s="22">
        <v>11.3076</v>
      </c>
      <c r="N149" s="123">
        <v>1.7E9</v>
      </c>
      <c r="O149" s="123">
        <v>0.0834615</v>
      </c>
      <c r="P149" s="22">
        <v>0.4051447</v>
      </c>
      <c r="Q149" s="22">
        <v>22.45311</v>
      </c>
      <c r="R149" s="22">
        <v>80.1333</v>
      </c>
      <c r="S149" s="32"/>
      <c r="T149" s="32"/>
      <c r="U149" s="32"/>
      <c r="V149" s="32"/>
      <c r="W149" s="32"/>
      <c r="X149" s="32"/>
    </row>
    <row r="150">
      <c r="A150" s="123">
        <v>2.0E10</v>
      </c>
      <c r="B150" s="123">
        <v>8.5E9</v>
      </c>
      <c r="C150" s="123">
        <v>4.9E9</v>
      </c>
      <c r="D150" s="22">
        <v>-0.04133</v>
      </c>
      <c r="E150" s="123">
        <v>2.0E10</v>
      </c>
      <c r="F150" s="123">
        <v>191.149</v>
      </c>
      <c r="G150" s="123">
        <v>3.7E12</v>
      </c>
      <c r="H150" s="22">
        <v>2019.0</v>
      </c>
      <c r="I150" s="22" t="s">
        <v>852</v>
      </c>
      <c r="J150" s="22">
        <v>76.0</v>
      </c>
      <c r="K150" s="22">
        <v>70.8</v>
      </c>
      <c r="L150" s="22">
        <v>11.3076</v>
      </c>
      <c r="M150" s="22">
        <v>11.3396</v>
      </c>
      <c r="N150" s="123">
        <v>1.7E9</v>
      </c>
      <c r="O150" s="123">
        <v>0.0876494</v>
      </c>
      <c r="P150" s="22">
        <v>0.4342454</v>
      </c>
      <c r="Q150" s="22">
        <v>22.31042</v>
      </c>
      <c r="R150" s="22">
        <v>75.8333</v>
      </c>
      <c r="S150" s="32"/>
      <c r="T150" s="32"/>
      <c r="U150" s="32"/>
      <c r="V150" s="32"/>
      <c r="W150" s="32"/>
      <c r="X150" s="32"/>
    </row>
    <row r="151">
      <c r="A151" s="123">
        <v>1.5E10</v>
      </c>
      <c r="B151" s="123">
        <v>5.6E9</v>
      </c>
      <c r="C151" s="123">
        <v>5.1E9</v>
      </c>
      <c r="D151" s="22">
        <v>0.02112</v>
      </c>
      <c r="E151" s="123">
        <v>1.5E10</v>
      </c>
      <c r="F151" s="123">
        <v>195.878</v>
      </c>
      <c r="G151" s="123">
        <v>3.0E12</v>
      </c>
      <c r="H151" s="22">
        <v>2018.0</v>
      </c>
      <c r="I151" s="22" t="s">
        <v>852</v>
      </c>
      <c r="J151" s="22">
        <v>70.8</v>
      </c>
      <c r="K151" s="22">
        <v>67.2</v>
      </c>
      <c r="L151" s="22">
        <v>11.3396</v>
      </c>
      <c r="M151" s="22">
        <v>12.4741</v>
      </c>
      <c r="N151" s="123">
        <v>1.9E9</v>
      </c>
      <c r="O151" s="123">
        <v>0.1216</v>
      </c>
      <c r="P151" s="22">
        <v>0.3594462</v>
      </c>
      <c r="Q151" s="22">
        <v>22.35263</v>
      </c>
      <c r="R151" s="22">
        <v>71.3333</v>
      </c>
      <c r="S151" s="32"/>
      <c r="T151" s="32"/>
      <c r="U151" s="32"/>
      <c r="V151" s="32"/>
      <c r="W151" s="32"/>
      <c r="X151" s="32"/>
    </row>
    <row r="152">
      <c r="A152" s="123">
        <v>1.4E10</v>
      </c>
      <c r="B152" s="123">
        <v>5.6E9</v>
      </c>
      <c r="C152" s="123">
        <v>5.0E9</v>
      </c>
      <c r="D152" s="22">
        <v>0.36504</v>
      </c>
      <c r="E152" s="123">
        <v>1.4E10</v>
      </c>
      <c r="F152" s="123">
        <v>205.516</v>
      </c>
      <c r="G152" s="123">
        <v>2.9E12</v>
      </c>
      <c r="H152" s="22">
        <v>2017.0</v>
      </c>
      <c r="I152" s="22" t="s">
        <v>852</v>
      </c>
      <c r="J152" s="22">
        <v>67.2</v>
      </c>
      <c r="K152" s="22">
        <v>63.4</v>
      </c>
      <c r="L152" s="22">
        <v>12.4741</v>
      </c>
      <c r="M152" s="22">
        <v>14.0523</v>
      </c>
      <c r="N152" s="123">
        <v>1.5E9</v>
      </c>
      <c r="O152" s="123">
        <v>0.106531</v>
      </c>
      <c r="P152" s="22">
        <v>0.3918517</v>
      </c>
      <c r="Q152" s="22">
        <v>22.33174</v>
      </c>
      <c r="R152" s="22">
        <v>67.1333</v>
      </c>
      <c r="S152" s="32"/>
      <c r="T152" s="32"/>
      <c r="U152" s="32"/>
      <c r="V152" s="32"/>
      <c r="W152" s="32"/>
      <c r="X152" s="32"/>
    </row>
    <row r="153">
      <c r="A153" s="123">
        <v>1.1E10</v>
      </c>
      <c r="B153" s="123">
        <v>3.7E9</v>
      </c>
      <c r="C153" s="123">
        <v>3.7E9</v>
      </c>
      <c r="D153" s="22">
        <v>0.38435</v>
      </c>
      <c r="E153" s="123">
        <v>1.1E10</v>
      </c>
      <c r="F153" s="123">
        <v>264.476</v>
      </c>
      <c r="G153" s="123">
        <v>3.0E12</v>
      </c>
      <c r="H153" s="22">
        <v>2016.0</v>
      </c>
      <c r="I153" s="22" t="s">
        <v>852</v>
      </c>
      <c r="J153" s="22">
        <v>63.4</v>
      </c>
      <c r="K153" s="22">
        <v>61.1</v>
      </c>
      <c r="L153" s="22">
        <v>14.0523</v>
      </c>
      <c r="M153" s="22">
        <v>19.6496</v>
      </c>
      <c r="N153" s="123">
        <v>1.2E9</v>
      </c>
      <c r="O153" s="123">
        <v>0.102983</v>
      </c>
      <c r="P153" s="22">
        <v>0.3225069</v>
      </c>
      <c r="Q153" s="22">
        <v>22.02056</v>
      </c>
      <c r="R153" s="22">
        <v>63.9</v>
      </c>
      <c r="S153" s="32"/>
      <c r="T153" s="32"/>
      <c r="U153" s="32"/>
      <c r="V153" s="32"/>
      <c r="W153" s="32"/>
      <c r="X153" s="32"/>
    </row>
    <row r="154">
      <c r="A154" s="123">
        <v>9.6E9</v>
      </c>
      <c r="B154" s="123">
        <v>2.9E9</v>
      </c>
      <c r="C154" s="123">
        <v>2.6E9</v>
      </c>
      <c r="D154" s="22">
        <v>0.00532</v>
      </c>
      <c r="E154" s="123">
        <v>9.6E9</v>
      </c>
      <c r="F154" s="123">
        <v>139.889</v>
      </c>
      <c r="G154" s="123">
        <v>1.3E12</v>
      </c>
      <c r="H154" s="22">
        <v>2015.0</v>
      </c>
      <c r="I154" s="22" t="s">
        <v>852</v>
      </c>
      <c r="J154" s="22">
        <v>61.1</v>
      </c>
      <c r="K154" s="22">
        <v>58.7</v>
      </c>
      <c r="L154" s="22">
        <v>19.6496</v>
      </c>
      <c r="M154" s="22">
        <v>28.8466</v>
      </c>
      <c r="N154" s="123">
        <v>8.9E8</v>
      </c>
      <c r="O154" s="123">
        <v>0.0924231</v>
      </c>
      <c r="P154" s="22">
        <v>0.3044986</v>
      </c>
      <c r="Q154" s="22">
        <v>21.69533</v>
      </c>
      <c r="R154" s="22">
        <v>61.0667</v>
      </c>
      <c r="S154" s="32"/>
      <c r="T154" s="32"/>
      <c r="U154" s="32"/>
      <c r="V154" s="32"/>
      <c r="W154" s="32"/>
      <c r="X154" s="32"/>
    </row>
    <row r="155">
      <c r="A155" s="123">
        <v>8.4E9</v>
      </c>
      <c r="B155" s="123">
        <v>2.1E9</v>
      </c>
      <c r="C155" s="123">
        <v>2.6E9</v>
      </c>
      <c r="D155" s="22">
        <v>-0.13157</v>
      </c>
      <c r="E155" s="123">
        <v>8.4E9</v>
      </c>
      <c r="F155" s="123">
        <v>173.931</v>
      </c>
      <c r="G155" s="123">
        <v>1.5E12</v>
      </c>
      <c r="H155" s="22">
        <v>2014.0</v>
      </c>
      <c r="I155" s="22" t="s">
        <v>852</v>
      </c>
      <c r="J155" s="22">
        <v>58.7</v>
      </c>
      <c r="K155" s="32"/>
      <c r="L155" s="22">
        <v>28.8466</v>
      </c>
      <c r="M155" s="32"/>
      <c r="N155" s="123">
        <v>1.1E9</v>
      </c>
      <c r="O155" s="123">
        <v>0.1307425</v>
      </c>
      <c r="P155" s="22">
        <v>0.2457325</v>
      </c>
      <c r="Q155" s="22">
        <v>21.69002</v>
      </c>
      <c r="R155" s="32"/>
      <c r="S155" s="32"/>
      <c r="T155" s="32"/>
      <c r="U155" s="32"/>
      <c r="V155" s="32"/>
      <c r="W155" s="32"/>
      <c r="X155" s="32"/>
    </row>
    <row r="156">
      <c r="A156" s="123">
        <v>3.7E10</v>
      </c>
      <c r="B156" s="123">
        <v>2.8E10</v>
      </c>
      <c r="C156" s="123">
        <v>3.0E9</v>
      </c>
      <c r="D156" s="22">
        <v>-0.02006</v>
      </c>
      <c r="E156" s="123">
        <v>3.7E10</v>
      </c>
      <c r="F156" s="123">
        <v>104.735</v>
      </c>
      <c r="G156" s="123">
        <v>3.8E12</v>
      </c>
      <c r="H156" s="22">
        <v>2024.0</v>
      </c>
      <c r="I156" s="22" t="s">
        <v>908</v>
      </c>
      <c r="J156" s="22">
        <v>80.3</v>
      </c>
      <c r="K156" s="22">
        <v>77.3</v>
      </c>
      <c r="L156" s="22">
        <v>23.6602</v>
      </c>
      <c r="M156" s="22">
        <v>21.6149</v>
      </c>
      <c r="N156" s="123">
        <v>6.2E8</v>
      </c>
      <c r="O156" s="123">
        <v>0.0168601</v>
      </c>
      <c r="P156" s="22">
        <v>0.7511854</v>
      </c>
      <c r="Q156" s="22">
        <v>21.83108</v>
      </c>
      <c r="R156" s="32"/>
      <c r="S156" s="32"/>
      <c r="T156" s="32"/>
      <c r="U156" s="32"/>
      <c r="V156" s="32"/>
      <c r="W156" s="32"/>
      <c r="X156" s="32"/>
    </row>
    <row r="157">
      <c r="A157" s="123">
        <v>3.3E10</v>
      </c>
      <c r="B157" s="123">
        <v>2.5E10</v>
      </c>
      <c r="C157" s="123">
        <v>3.1E9</v>
      </c>
      <c r="D157" s="22">
        <v>-0.46247</v>
      </c>
      <c r="E157" s="123">
        <v>3.3E10</v>
      </c>
      <c r="F157" s="123">
        <v>117.825</v>
      </c>
      <c r="G157" s="123">
        <v>3.9E12</v>
      </c>
      <c r="H157" s="22">
        <v>2023.0</v>
      </c>
      <c r="I157" s="22" t="s">
        <v>908</v>
      </c>
      <c r="J157" s="22">
        <v>77.3</v>
      </c>
      <c r="K157" s="22">
        <v>74.3</v>
      </c>
      <c r="L157" s="22">
        <v>21.6149</v>
      </c>
      <c r="M157" s="22">
        <v>18.1757</v>
      </c>
      <c r="N157" s="123">
        <v>3.7E8</v>
      </c>
      <c r="O157" s="123">
        <v>0.0111485</v>
      </c>
      <c r="P157" s="22">
        <v>0.7436926</v>
      </c>
      <c r="Q157" s="22">
        <v>21.85134</v>
      </c>
      <c r="R157" s="22">
        <v>77.3</v>
      </c>
      <c r="S157" s="32"/>
      <c r="T157" s="32"/>
      <c r="U157" s="32"/>
      <c r="V157" s="32"/>
      <c r="W157" s="32"/>
      <c r="X157" s="32"/>
    </row>
    <row r="158">
      <c r="A158" s="123">
        <v>2.9E10</v>
      </c>
      <c r="B158" s="123">
        <v>2.0E10</v>
      </c>
      <c r="C158" s="123">
        <v>5.7E9</v>
      </c>
      <c r="D158" s="22">
        <v>1.00976</v>
      </c>
      <c r="E158" s="123">
        <v>2.9E10</v>
      </c>
      <c r="F158" s="123">
        <v>100.005</v>
      </c>
      <c r="G158" s="123">
        <v>2.8E12</v>
      </c>
      <c r="H158" s="22">
        <v>2022.0</v>
      </c>
      <c r="I158" s="22" t="s">
        <v>908</v>
      </c>
      <c r="J158" s="22">
        <v>74.3</v>
      </c>
      <c r="K158" s="22">
        <v>71.0</v>
      </c>
      <c r="L158" s="22">
        <v>18.1757</v>
      </c>
      <c r="M158" s="22">
        <v>12.1839</v>
      </c>
      <c r="N158" s="123">
        <v>8.6E8</v>
      </c>
      <c r="O158" s="123">
        <v>0.0301318</v>
      </c>
      <c r="P158" s="22">
        <v>0.7093434</v>
      </c>
      <c r="Q158" s="22">
        <v>22.47212</v>
      </c>
      <c r="R158" s="22">
        <v>74.2</v>
      </c>
      <c r="S158" s="32"/>
      <c r="T158" s="32"/>
      <c r="U158" s="32"/>
      <c r="V158" s="32"/>
      <c r="W158" s="32"/>
      <c r="X158" s="32"/>
    </row>
    <row r="159">
      <c r="A159" s="123">
        <v>3.1E10</v>
      </c>
      <c r="B159" s="123">
        <v>2.2E10</v>
      </c>
      <c r="C159" s="123">
        <v>2.9E9</v>
      </c>
      <c r="D159" s="22">
        <v>-0.46781</v>
      </c>
      <c r="E159" s="123">
        <v>3.1E10</v>
      </c>
      <c r="F159" s="123">
        <v>330.992</v>
      </c>
      <c r="G159" s="123">
        <v>1.0E13</v>
      </c>
      <c r="H159" s="22">
        <v>2021.0</v>
      </c>
      <c r="I159" s="22" t="s">
        <v>908</v>
      </c>
      <c r="J159" s="22">
        <v>71.0</v>
      </c>
      <c r="K159" s="22">
        <v>66.7</v>
      </c>
      <c r="L159" s="22">
        <v>12.1839</v>
      </c>
      <c r="M159" s="22">
        <v>12.2739</v>
      </c>
      <c r="N159" s="123">
        <v>-2.4E8</v>
      </c>
      <c r="O159" s="123">
        <v>-0.0078418</v>
      </c>
      <c r="P159" s="22">
        <v>0.7285801</v>
      </c>
      <c r="Q159" s="22">
        <v>21.7741</v>
      </c>
      <c r="R159" s="22">
        <v>70.6667</v>
      </c>
      <c r="S159" s="32"/>
      <c r="T159" s="32"/>
      <c r="U159" s="32"/>
      <c r="V159" s="32"/>
      <c r="W159" s="32"/>
      <c r="X159" s="32"/>
    </row>
    <row r="160">
      <c r="A160" s="123">
        <v>3.0E10</v>
      </c>
      <c r="B160" s="123">
        <v>2.2E10</v>
      </c>
      <c r="C160" s="123">
        <v>5.4E9</v>
      </c>
      <c r="D160" s="22">
        <v>1.96393</v>
      </c>
      <c r="E160" s="123">
        <v>3.0E10</v>
      </c>
      <c r="F160" s="123">
        <v>159.877</v>
      </c>
      <c r="G160" s="123">
        <v>4.7E12</v>
      </c>
      <c r="H160" s="22">
        <v>2020.0</v>
      </c>
      <c r="I160" s="22" t="s">
        <v>908</v>
      </c>
      <c r="J160" s="22">
        <v>66.7</v>
      </c>
      <c r="K160" s="22">
        <v>63.0</v>
      </c>
      <c r="L160" s="22">
        <v>12.2739</v>
      </c>
      <c r="M160" s="22">
        <v>11.3076</v>
      </c>
      <c r="N160" s="123">
        <v>4.7E8</v>
      </c>
      <c r="O160" s="123">
        <v>0.0159753</v>
      </c>
      <c r="P160" s="22">
        <v>0.7365011</v>
      </c>
      <c r="Q160" s="22">
        <v>22.40486</v>
      </c>
      <c r="R160" s="22">
        <v>66.9</v>
      </c>
      <c r="S160" s="32"/>
      <c r="T160" s="32"/>
      <c r="U160" s="32"/>
      <c r="V160" s="32"/>
      <c r="W160" s="32"/>
      <c r="X160" s="32"/>
    </row>
    <row r="161">
      <c r="A161" s="123">
        <v>2.9E10</v>
      </c>
      <c r="B161" s="123">
        <v>2.1E10</v>
      </c>
      <c r="C161" s="123">
        <v>1.8E9</v>
      </c>
      <c r="D161" s="22">
        <v>-0.32496</v>
      </c>
      <c r="E161" s="123">
        <v>2.9E10</v>
      </c>
      <c r="F161" s="123">
        <v>169.656</v>
      </c>
      <c r="G161" s="123">
        <v>4.9E12</v>
      </c>
      <c r="H161" s="22">
        <v>2019.0</v>
      </c>
      <c r="I161" s="22" t="s">
        <v>908</v>
      </c>
      <c r="J161" s="22">
        <v>63.0</v>
      </c>
      <c r="K161" s="22">
        <v>58.7</v>
      </c>
      <c r="L161" s="22">
        <v>11.3076</v>
      </c>
      <c r="M161" s="22">
        <v>11.3396</v>
      </c>
      <c r="N161" s="123">
        <v>4.6E8</v>
      </c>
      <c r="O161" s="123">
        <v>0.0156908</v>
      </c>
      <c r="P161" s="22">
        <v>0.7051209</v>
      </c>
      <c r="Q161" s="22">
        <v>21.31834</v>
      </c>
      <c r="R161" s="22">
        <v>62.8</v>
      </c>
      <c r="S161" s="32"/>
      <c r="T161" s="32"/>
      <c r="U161" s="32"/>
      <c r="V161" s="32"/>
      <c r="W161" s="32"/>
      <c r="X161" s="32"/>
    </row>
    <row r="162">
      <c r="A162" s="123">
        <v>2.2E10</v>
      </c>
      <c r="B162" s="123">
        <v>1.5E10</v>
      </c>
      <c r="C162" s="123">
        <v>2.7E9</v>
      </c>
      <c r="D162" s="22">
        <v>0.31592</v>
      </c>
      <c r="E162" s="123">
        <v>2.2E10</v>
      </c>
      <c r="F162" s="123">
        <v>257.041</v>
      </c>
      <c r="G162" s="123">
        <v>5.7E12</v>
      </c>
      <c r="H162" s="22">
        <v>2018.0</v>
      </c>
      <c r="I162" s="22" t="s">
        <v>908</v>
      </c>
      <c r="J162" s="22">
        <v>58.7</v>
      </c>
      <c r="K162" s="22">
        <v>56.0</v>
      </c>
      <c r="L162" s="22">
        <v>11.3396</v>
      </c>
      <c r="M162" s="22">
        <v>12.4741</v>
      </c>
      <c r="N162" s="123">
        <v>2.2E8</v>
      </c>
      <c r="O162" s="123">
        <v>0.0096592</v>
      </c>
      <c r="P162" s="22">
        <v>0.6536652</v>
      </c>
      <c r="Q162" s="22">
        <v>21.71132</v>
      </c>
      <c r="R162" s="22">
        <v>59.2333</v>
      </c>
      <c r="S162" s="32"/>
      <c r="T162" s="32"/>
      <c r="U162" s="32"/>
      <c r="V162" s="32"/>
      <c r="W162" s="32"/>
      <c r="X162" s="32"/>
    </row>
    <row r="163">
      <c r="A163" s="123">
        <v>2.1E10</v>
      </c>
      <c r="B163" s="123">
        <v>1.3E10</v>
      </c>
      <c r="C163" s="123">
        <v>2.0E9</v>
      </c>
      <c r="D163" s="22">
        <v>0.68586</v>
      </c>
      <c r="E163" s="123">
        <v>2.1E10</v>
      </c>
      <c r="F163" s="123">
        <v>362.077</v>
      </c>
      <c r="G163" s="123">
        <v>7.5E12</v>
      </c>
      <c r="H163" s="22">
        <v>2017.0</v>
      </c>
      <c r="I163" s="22" t="s">
        <v>908</v>
      </c>
      <c r="J163" s="22">
        <v>56.0</v>
      </c>
      <c r="K163" s="22">
        <v>52.0</v>
      </c>
      <c r="L163" s="22">
        <v>12.4741</v>
      </c>
      <c r="M163" s="22">
        <v>14.0523</v>
      </c>
      <c r="N163" s="123">
        <v>1.6E9</v>
      </c>
      <c r="O163" s="123">
        <v>0.0778729</v>
      </c>
      <c r="P163" s="22">
        <v>0.6315227</v>
      </c>
      <c r="Q163" s="22">
        <v>21.43679</v>
      </c>
      <c r="R163" s="22">
        <v>55.5667</v>
      </c>
      <c r="S163" s="32"/>
      <c r="T163" s="32"/>
      <c r="U163" s="32"/>
      <c r="V163" s="32"/>
      <c r="W163" s="32"/>
      <c r="X163" s="32"/>
    </row>
    <row r="164">
      <c r="A164" s="123">
        <v>1.0E10</v>
      </c>
      <c r="B164" s="123">
        <v>5.8E9</v>
      </c>
      <c r="C164" s="123">
        <v>1.2E9</v>
      </c>
      <c r="D164" s="22">
        <v>-0.30851</v>
      </c>
      <c r="E164" s="123">
        <v>1.0E10</v>
      </c>
      <c r="F164" s="123">
        <v>484.129</v>
      </c>
      <c r="G164" s="123">
        <v>4.9E12</v>
      </c>
      <c r="H164" s="22">
        <v>2016.0</v>
      </c>
      <c r="I164" s="22" t="s">
        <v>908</v>
      </c>
      <c r="J164" s="22">
        <v>52.0</v>
      </c>
      <c r="K164" s="22">
        <v>48.7</v>
      </c>
      <c r="L164" s="22">
        <v>14.0523</v>
      </c>
      <c r="M164" s="22">
        <v>19.6496</v>
      </c>
      <c r="N164" s="123">
        <v>1.0E9</v>
      </c>
      <c r="O164" s="123">
        <v>0.098461</v>
      </c>
      <c r="P164" s="22">
        <v>0.5763025</v>
      </c>
      <c r="Q164" s="22">
        <v>20.91451</v>
      </c>
      <c r="R164" s="22">
        <v>52.2333</v>
      </c>
      <c r="S164" s="32"/>
      <c r="T164" s="32"/>
      <c r="U164" s="32"/>
      <c r="V164" s="32"/>
      <c r="W164" s="32"/>
      <c r="X164" s="32"/>
    </row>
    <row r="165">
      <c r="A165" s="123">
        <v>1.5E10</v>
      </c>
      <c r="B165" s="123">
        <v>1.0E10</v>
      </c>
      <c r="C165" s="123">
        <v>1.8E9</v>
      </c>
      <c r="D165" s="22">
        <v>-0.32823</v>
      </c>
      <c r="E165" s="123">
        <v>1.5E10</v>
      </c>
      <c r="F165" s="123">
        <v>195.697</v>
      </c>
      <c r="G165" s="123">
        <v>2.9E12</v>
      </c>
      <c r="H165" s="22">
        <v>2015.0</v>
      </c>
      <c r="I165" s="22" t="s">
        <v>908</v>
      </c>
      <c r="J165" s="22">
        <v>48.7</v>
      </c>
      <c r="K165" s="22">
        <v>46.0</v>
      </c>
      <c r="L165" s="22">
        <v>19.6496</v>
      </c>
      <c r="M165" s="22">
        <v>28.8466</v>
      </c>
      <c r="N165" s="123">
        <v>7.9E8</v>
      </c>
      <c r="O165" s="123">
        <v>0.0525434</v>
      </c>
      <c r="P165" s="22">
        <v>0.6919267</v>
      </c>
      <c r="Q165" s="22">
        <v>21.28342</v>
      </c>
      <c r="R165" s="22">
        <v>48.9</v>
      </c>
      <c r="S165" s="32"/>
      <c r="T165" s="32"/>
      <c r="U165" s="32"/>
      <c r="V165" s="32"/>
      <c r="W165" s="32"/>
      <c r="X165" s="32"/>
    </row>
    <row r="166">
      <c r="A166" s="123">
        <v>9.0E9</v>
      </c>
      <c r="B166" s="123">
        <v>5.8E9</v>
      </c>
      <c r="C166" s="123">
        <v>2.6E9</v>
      </c>
      <c r="D166" s="22">
        <v>5.15097</v>
      </c>
      <c r="E166" s="123">
        <v>9.0E9</v>
      </c>
      <c r="F166" s="123">
        <v>161.33</v>
      </c>
      <c r="G166" s="123">
        <v>1.4E12</v>
      </c>
      <c r="H166" s="22">
        <v>2014.0</v>
      </c>
      <c r="I166" s="22" t="s">
        <v>908</v>
      </c>
      <c r="J166" s="22">
        <v>46.0</v>
      </c>
      <c r="K166" s="32"/>
      <c r="L166" s="22">
        <v>28.8466</v>
      </c>
      <c r="M166" s="32"/>
      <c r="N166" s="123">
        <v>5.4E8</v>
      </c>
      <c r="O166" s="123">
        <v>0.0605134</v>
      </c>
      <c r="P166" s="22">
        <v>0.6423557</v>
      </c>
      <c r="Q166" s="22">
        <v>21.68126</v>
      </c>
      <c r="R166" s="32"/>
      <c r="S166" s="32"/>
      <c r="T166" s="32"/>
      <c r="U166" s="32"/>
      <c r="V166" s="32"/>
      <c r="W166" s="32"/>
      <c r="X166" s="32"/>
    </row>
    <row r="167">
      <c r="A167" s="123">
        <v>7.9E8</v>
      </c>
      <c r="B167" s="123">
        <v>5.2E8</v>
      </c>
      <c r="C167" s="123">
        <v>4.2E8</v>
      </c>
      <c r="D167" s="22">
        <v>-0.00324</v>
      </c>
      <c r="E167" s="123">
        <v>7.9E8</v>
      </c>
      <c r="F167" s="123">
        <v>526.792</v>
      </c>
      <c r="G167" s="123">
        <v>4.2E11</v>
      </c>
      <c r="H167" s="22">
        <v>2024.0</v>
      </c>
      <c r="I167" s="22" t="s">
        <v>964</v>
      </c>
      <c r="J167" s="22">
        <v>76.2</v>
      </c>
      <c r="K167" s="22">
        <v>73.2</v>
      </c>
      <c r="L167" s="22">
        <v>23.6602</v>
      </c>
      <c r="M167" s="22">
        <v>21.6149</v>
      </c>
      <c r="N167" s="123">
        <v>3.3E7</v>
      </c>
      <c r="O167" s="123">
        <v>0.0413026</v>
      </c>
      <c r="P167" s="22">
        <v>0.6570677</v>
      </c>
      <c r="Q167" s="22">
        <v>19.86465</v>
      </c>
      <c r="R167" s="32"/>
      <c r="S167" s="32"/>
      <c r="T167" s="32"/>
      <c r="U167" s="32"/>
      <c r="V167" s="32"/>
      <c r="W167" s="32"/>
      <c r="X167" s="32"/>
    </row>
    <row r="168">
      <c r="A168" s="123">
        <v>7.8E8</v>
      </c>
      <c r="B168" s="123">
        <v>5.2E8</v>
      </c>
      <c r="C168" s="123">
        <v>4.3E8</v>
      </c>
      <c r="D168" s="22">
        <v>-0.10343</v>
      </c>
      <c r="E168" s="123">
        <v>7.8E8</v>
      </c>
      <c r="F168" s="123">
        <v>533.633</v>
      </c>
      <c r="G168" s="123">
        <v>4.2E11</v>
      </c>
      <c r="H168" s="22">
        <v>2023.0</v>
      </c>
      <c r="I168" s="22" t="s">
        <v>964</v>
      </c>
      <c r="J168" s="22">
        <v>73.2</v>
      </c>
      <c r="K168" s="22">
        <v>69.5</v>
      </c>
      <c r="L168" s="22">
        <v>21.6149</v>
      </c>
      <c r="M168" s="22">
        <v>18.1757</v>
      </c>
      <c r="N168" s="123">
        <v>2.5E7</v>
      </c>
      <c r="O168" s="123">
        <v>0.0321055</v>
      </c>
      <c r="P168" s="22">
        <v>0.6619174</v>
      </c>
      <c r="Q168" s="22">
        <v>19.8679</v>
      </c>
      <c r="R168" s="22">
        <v>72.9667</v>
      </c>
      <c r="S168" s="32"/>
      <c r="T168" s="32"/>
      <c r="U168" s="32"/>
      <c r="V168" s="32"/>
      <c r="W168" s="32"/>
      <c r="X168" s="32"/>
    </row>
    <row r="169">
      <c r="A169" s="123">
        <v>7.8E8</v>
      </c>
      <c r="B169" s="123">
        <v>5.1E8</v>
      </c>
      <c r="C169" s="123">
        <v>4.7E8</v>
      </c>
      <c r="D169" s="22">
        <v>0.58503</v>
      </c>
      <c r="E169" s="123">
        <v>7.8E8</v>
      </c>
      <c r="F169" s="123">
        <v>554.913</v>
      </c>
      <c r="G169" s="123">
        <v>4.3E11</v>
      </c>
      <c r="H169" s="22">
        <v>2022.0</v>
      </c>
      <c r="I169" s="22" t="s">
        <v>964</v>
      </c>
      <c r="J169" s="22">
        <v>69.5</v>
      </c>
      <c r="K169" s="22">
        <v>67.0</v>
      </c>
      <c r="L169" s="22">
        <v>18.1757</v>
      </c>
      <c r="M169" s="22">
        <v>12.1839</v>
      </c>
      <c r="N169" s="123">
        <v>2.5E7</v>
      </c>
      <c r="O169" s="123">
        <v>0.0320102</v>
      </c>
      <c r="P169" s="22">
        <v>0.6599639</v>
      </c>
      <c r="Q169" s="22">
        <v>19.97707</v>
      </c>
      <c r="R169" s="22">
        <v>69.9</v>
      </c>
      <c r="S169" s="32"/>
      <c r="T169" s="32"/>
      <c r="U169" s="32"/>
      <c r="V169" s="32"/>
      <c r="W169" s="32"/>
      <c r="X169" s="32"/>
    </row>
    <row r="170">
      <c r="A170" s="123">
        <v>6.9E8</v>
      </c>
      <c r="B170" s="123">
        <v>4.1E8</v>
      </c>
      <c r="C170" s="123">
        <v>3.0E8</v>
      </c>
      <c r="D170" s="22">
        <v>0.03028</v>
      </c>
      <c r="E170" s="123">
        <v>6.9E8</v>
      </c>
      <c r="F170" s="123">
        <v>519.287</v>
      </c>
      <c r="G170" s="123">
        <v>3.6E11</v>
      </c>
      <c r="H170" s="22">
        <v>2021.0</v>
      </c>
      <c r="I170" s="22" t="s">
        <v>964</v>
      </c>
      <c r="J170" s="22">
        <v>67.0</v>
      </c>
      <c r="K170" s="22">
        <v>64.0</v>
      </c>
      <c r="L170" s="22">
        <v>12.1839</v>
      </c>
      <c r="M170" s="22">
        <v>12.2739</v>
      </c>
      <c r="N170" s="123">
        <v>3.3E7</v>
      </c>
      <c r="O170" s="123">
        <v>0.0472508</v>
      </c>
      <c r="P170" s="22">
        <v>0.5935781</v>
      </c>
      <c r="Q170" s="22">
        <v>19.51647</v>
      </c>
      <c r="R170" s="22">
        <v>66.8333</v>
      </c>
      <c r="S170" s="32"/>
      <c r="T170" s="32"/>
      <c r="U170" s="32"/>
      <c r="V170" s="32"/>
      <c r="W170" s="32"/>
      <c r="X170" s="32"/>
    </row>
    <row r="171">
      <c r="A171" s="123">
        <v>6.9E8</v>
      </c>
      <c r="B171" s="123">
        <v>4.2E8</v>
      </c>
      <c r="C171" s="123">
        <v>2.9E8</v>
      </c>
      <c r="D171" s="22">
        <v>-0.24498</v>
      </c>
      <c r="E171" s="123">
        <v>6.9E8</v>
      </c>
      <c r="F171" s="123">
        <v>353.092</v>
      </c>
      <c r="G171" s="123">
        <v>2.4E11</v>
      </c>
      <c r="H171" s="22">
        <v>2020.0</v>
      </c>
      <c r="I171" s="22" t="s">
        <v>964</v>
      </c>
      <c r="J171" s="22">
        <v>64.0</v>
      </c>
      <c r="K171" s="22">
        <v>60.8</v>
      </c>
      <c r="L171" s="22">
        <v>12.2739</v>
      </c>
      <c r="M171" s="22">
        <v>11.3076</v>
      </c>
      <c r="N171" s="123">
        <v>3.0E7</v>
      </c>
      <c r="O171" s="123">
        <v>0.0435052</v>
      </c>
      <c r="P171" s="22">
        <v>0.6025091</v>
      </c>
      <c r="Q171" s="22">
        <v>19.48664</v>
      </c>
      <c r="R171" s="22">
        <v>63.9333</v>
      </c>
      <c r="S171" s="32"/>
      <c r="T171" s="32"/>
      <c r="U171" s="32"/>
      <c r="V171" s="32"/>
      <c r="W171" s="32"/>
      <c r="X171" s="32"/>
    </row>
    <row r="172">
      <c r="A172" s="123">
        <v>6.9E8</v>
      </c>
      <c r="B172" s="123">
        <v>4.2E8</v>
      </c>
      <c r="C172" s="123">
        <v>3.8E8</v>
      </c>
      <c r="D172" s="22">
        <v>-0.03491</v>
      </c>
      <c r="E172" s="123">
        <v>6.9E8</v>
      </c>
      <c r="F172" s="123">
        <v>277.524</v>
      </c>
      <c r="G172" s="123">
        <v>1.9E11</v>
      </c>
      <c r="H172" s="22">
        <v>2019.0</v>
      </c>
      <c r="I172" s="22" t="s">
        <v>964</v>
      </c>
      <c r="J172" s="22">
        <v>60.8</v>
      </c>
      <c r="K172" s="22">
        <v>57.5</v>
      </c>
      <c r="L172" s="22">
        <v>11.3076</v>
      </c>
      <c r="M172" s="22">
        <v>11.3396</v>
      </c>
      <c r="N172" s="123">
        <v>3.0E7</v>
      </c>
      <c r="O172" s="123">
        <v>0.0428451</v>
      </c>
      <c r="P172" s="22">
        <v>0.605298</v>
      </c>
      <c r="Q172" s="22">
        <v>19.76766</v>
      </c>
      <c r="R172" s="22">
        <v>60.7667</v>
      </c>
      <c r="S172" s="32"/>
      <c r="T172" s="32"/>
      <c r="U172" s="32"/>
      <c r="V172" s="32"/>
      <c r="W172" s="32"/>
      <c r="X172" s="32"/>
    </row>
    <row r="173">
      <c r="A173" s="123">
        <v>6.9E8</v>
      </c>
      <c r="B173" s="123">
        <v>4.2E8</v>
      </c>
      <c r="C173" s="123">
        <v>4.0E8</v>
      </c>
      <c r="D173" s="22">
        <v>0.18946</v>
      </c>
      <c r="E173" s="123">
        <v>6.9E8</v>
      </c>
      <c r="F173" s="123">
        <v>193.282</v>
      </c>
      <c r="G173" s="123">
        <v>1.3E11</v>
      </c>
      <c r="H173" s="22">
        <v>2018.0</v>
      </c>
      <c r="I173" s="22" t="s">
        <v>964</v>
      </c>
      <c r="J173" s="22">
        <v>57.5</v>
      </c>
      <c r="K173" s="22">
        <v>55.5</v>
      </c>
      <c r="L173" s="22">
        <v>11.3396</v>
      </c>
      <c r="M173" s="22">
        <v>12.4741</v>
      </c>
      <c r="N173" s="123">
        <v>2.9E7</v>
      </c>
      <c r="O173" s="123">
        <v>0.0425026</v>
      </c>
      <c r="P173" s="22">
        <v>0.6068444</v>
      </c>
      <c r="Q173" s="22">
        <v>19.80319</v>
      </c>
      <c r="R173" s="22">
        <v>57.9333</v>
      </c>
      <c r="S173" s="32"/>
      <c r="T173" s="32"/>
      <c r="U173" s="32"/>
      <c r="V173" s="32"/>
      <c r="W173" s="32"/>
      <c r="X173" s="32"/>
    </row>
    <row r="174">
      <c r="A174" s="123">
        <v>6.9E8</v>
      </c>
      <c r="B174" s="123">
        <v>4.2E8</v>
      </c>
      <c r="C174" s="123">
        <v>3.4E8</v>
      </c>
      <c r="D174" s="22">
        <v>0.13972</v>
      </c>
      <c r="E174" s="123">
        <v>6.9E8</v>
      </c>
      <c r="F174" s="123">
        <v>238.285</v>
      </c>
      <c r="G174" s="123">
        <v>1.6E11</v>
      </c>
      <c r="H174" s="22">
        <v>2017.0</v>
      </c>
      <c r="I174" s="22" t="s">
        <v>964</v>
      </c>
      <c r="J174" s="22">
        <v>55.5</v>
      </c>
      <c r="K174" s="22">
        <v>53.2</v>
      </c>
      <c r="L174" s="22">
        <v>12.4741</v>
      </c>
      <c r="M174" s="22">
        <v>14.0523</v>
      </c>
      <c r="N174" s="123">
        <v>2.9E7</v>
      </c>
      <c r="O174" s="123">
        <v>0.0419371</v>
      </c>
      <c r="P174" s="22">
        <v>0.6076789</v>
      </c>
      <c r="Q174" s="22">
        <v>19.62969</v>
      </c>
      <c r="R174" s="22">
        <v>55.4</v>
      </c>
      <c r="S174" s="32"/>
      <c r="T174" s="32"/>
      <c r="U174" s="32"/>
      <c r="V174" s="32"/>
      <c r="W174" s="32"/>
      <c r="X174" s="32"/>
    </row>
    <row r="175">
      <c r="A175" s="123">
        <v>6.6E8</v>
      </c>
      <c r="B175" s="123">
        <v>4.0E8</v>
      </c>
      <c r="C175" s="123">
        <v>2.9E8</v>
      </c>
      <c r="D175" s="22">
        <v>-0.21052</v>
      </c>
      <c r="E175" s="123">
        <v>6.6E8</v>
      </c>
      <c r="F175" s="123">
        <v>136.197</v>
      </c>
      <c r="G175" s="123">
        <v>9.0E10</v>
      </c>
      <c r="H175" s="22">
        <v>2016.0</v>
      </c>
      <c r="I175" s="22" t="s">
        <v>964</v>
      </c>
      <c r="J175" s="22">
        <v>53.2</v>
      </c>
      <c r="K175" s="22">
        <v>51.6</v>
      </c>
      <c r="L175" s="22">
        <v>14.0523</v>
      </c>
      <c r="M175" s="22">
        <v>19.6496</v>
      </c>
      <c r="N175" s="123">
        <v>2.7E7</v>
      </c>
      <c r="O175" s="123">
        <v>0.0399673</v>
      </c>
      <c r="P175" s="22">
        <v>0.6022966</v>
      </c>
      <c r="Q175" s="22">
        <v>19.49891</v>
      </c>
      <c r="R175" s="22">
        <v>53.4333</v>
      </c>
      <c r="S175" s="32"/>
      <c r="T175" s="32"/>
      <c r="U175" s="32"/>
      <c r="V175" s="32"/>
      <c r="W175" s="32"/>
      <c r="X175" s="32"/>
    </row>
    <row r="176">
      <c r="A176" s="123">
        <v>6.0E8</v>
      </c>
      <c r="B176" s="123">
        <v>3.9E8</v>
      </c>
      <c r="C176" s="123">
        <v>3.7E8</v>
      </c>
      <c r="D176" s="22">
        <v>-0.26564</v>
      </c>
      <c r="E176" s="123">
        <v>6.0E8</v>
      </c>
      <c r="F176" s="123">
        <v>113.714</v>
      </c>
      <c r="G176" s="123">
        <v>6.8E10</v>
      </c>
      <c r="H176" s="22">
        <v>2015.0</v>
      </c>
      <c r="I176" s="22" t="s">
        <v>964</v>
      </c>
      <c r="J176" s="22">
        <v>51.6</v>
      </c>
      <c r="K176" s="22">
        <v>48.3</v>
      </c>
      <c r="L176" s="22">
        <v>19.6496</v>
      </c>
      <c r="M176" s="22">
        <v>28.8466</v>
      </c>
      <c r="N176" s="123">
        <v>2.3E7</v>
      </c>
      <c r="O176" s="123">
        <v>0.037903</v>
      </c>
      <c r="P176" s="22">
        <v>0.643576</v>
      </c>
      <c r="Q176" s="22">
        <v>19.73529</v>
      </c>
      <c r="R176" s="22">
        <v>51.0333</v>
      </c>
      <c r="S176" s="32"/>
      <c r="T176" s="32"/>
      <c r="U176" s="32"/>
      <c r="V176" s="32"/>
      <c r="W176" s="32"/>
      <c r="X176" s="32"/>
    </row>
    <row r="177">
      <c r="A177" s="123">
        <v>5.9E8</v>
      </c>
      <c r="B177" s="123">
        <v>3.9E8</v>
      </c>
      <c r="C177" s="123">
        <v>5.1E8</v>
      </c>
      <c r="D177" s="22">
        <v>-0.68315</v>
      </c>
      <c r="E177" s="123">
        <v>5.9E8</v>
      </c>
      <c r="F177" s="123">
        <v>117.422</v>
      </c>
      <c r="G177" s="123">
        <v>6.9E10</v>
      </c>
      <c r="H177" s="22">
        <v>2014.0</v>
      </c>
      <c r="I177" s="22" t="s">
        <v>964</v>
      </c>
      <c r="J177" s="22">
        <v>48.3</v>
      </c>
      <c r="K177" s="32"/>
      <c r="L177" s="22">
        <v>28.8466</v>
      </c>
      <c r="M177" s="32"/>
      <c r="N177" s="123">
        <v>1.5E7</v>
      </c>
      <c r="O177" s="123">
        <v>0.0254304</v>
      </c>
      <c r="P177" s="22">
        <v>0.6524106</v>
      </c>
      <c r="Q177" s="22">
        <v>20.04405</v>
      </c>
      <c r="R177" s="32"/>
      <c r="S177" s="32"/>
      <c r="T177" s="32"/>
      <c r="U177" s="32"/>
      <c r="V177" s="32"/>
      <c r="W177" s="32"/>
      <c r="X177" s="32"/>
    </row>
    <row r="178">
      <c r="A178" s="123">
        <v>1.4E9</v>
      </c>
      <c r="B178" s="123">
        <v>7.3E8</v>
      </c>
      <c r="C178" s="123">
        <v>1.6E9</v>
      </c>
      <c r="D178" s="22">
        <v>0.02642</v>
      </c>
      <c r="E178" s="123">
        <v>1.4E9</v>
      </c>
      <c r="F178" s="123">
        <v>332.837</v>
      </c>
      <c r="G178" s="123">
        <v>4.6E11</v>
      </c>
      <c r="H178" s="22">
        <v>2024.0</v>
      </c>
      <c r="I178" s="22" t="s">
        <v>1020</v>
      </c>
      <c r="J178" s="22">
        <v>65.35</v>
      </c>
      <c r="K178" s="22">
        <v>61.7</v>
      </c>
      <c r="L178" s="22">
        <v>23.6602</v>
      </c>
      <c r="M178" s="22">
        <v>21.6149</v>
      </c>
      <c r="N178" s="123">
        <v>2.6E7</v>
      </c>
      <c r="O178" s="123">
        <v>0.0185875</v>
      </c>
      <c r="P178" s="22">
        <v>0.5301012</v>
      </c>
      <c r="Q178" s="22">
        <v>21.19337</v>
      </c>
      <c r="R178" s="32"/>
      <c r="S178" s="32"/>
      <c r="T178" s="32"/>
      <c r="U178" s="32"/>
      <c r="V178" s="32"/>
      <c r="W178" s="32"/>
      <c r="X178" s="32"/>
    </row>
    <row r="179">
      <c r="A179" s="123">
        <v>1.2E9</v>
      </c>
      <c r="B179" s="123">
        <v>5.9E8</v>
      </c>
      <c r="C179" s="123">
        <v>1.6E9</v>
      </c>
      <c r="D179" s="22">
        <v>-0.22382</v>
      </c>
      <c r="E179" s="123">
        <v>1.2E9</v>
      </c>
      <c r="F179" s="123">
        <v>293.065</v>
      </c>
      <c r="G179" s="123">
        <v>3.6E11</v>
      </c>
      <c r="H179" s="22">
        <v>2023.0</v>
      </c>
      <c r="I179" s="22" t="s">
        <v>1020</v>
      </c>
      <c r="J179" s="22">
        <v>61.7</v>
      </c>
      <c r="K179" s="22">
        <v>57.7</v>
      </c>
      <c r="L179" s="22">
        <v>21.6149</v>
      </c>
      <c r="M179" s="22">
        <v>18.1757</v>
      </c>
      <c r="N179" s="123">
        <v>5.7E7</v>
      </c>
      <c r="O179" s="123">
        <v>0.0456779</v>
      </c>
      <c r="P179" s="22">
        <v>0.4746231</v>
      </c>
      <c r="Q179" s="22">
        <v>21.16729</v>
      </c>
      <c r="R179" s="22">
        <v>61.5833</v>
      </c>
      <c r="S179" s="32"/>
      <c r="T179" s="32"/>
      <c r="U179" s="32"/>
      <c r="V179" s="32"/>
      <c r="W179" s="32"/>
      <c r="X179" s="32"/>
    </row>
    <row r="180">
      <c r="A180" s="123">
        <v>1.1E9</v>
      </c>
      <c r="B180" s="123">
        <v>4.7E8</v>
      </c>
      <c r="C180" s="123">
        <v>2.0E9</v>
      </c>
      <c r="D180" s="22">
        <v>-0.04795</v>
      </c>
      <c r="E180" s="123">
        <v>1.1E9</v>
      </c>
      <c r="F180" s="123">
        <v>371.314</v>
      </c>
      <c r="G180" s="123">
        <v>4.0E11</v>
      </c>
      <c r="H180" s="22">
        <v>2022.0</v>
      </c>
      <c r="I180" s="22" t="s">
        <v>1020</v>
      </c>
      <c r="J180" s="22">
        <v>57.7</v>
      </c>
      <c r="K180" s="22">
        <v>52.5</v>
      </c>
      <c r="L180" s="22">
        <v>18.1757</v>
      </c>
      <c r="M180" s="22">
        <v>12.1839</v>
      </c>
      <c r="N180" s="123">
        <v>4.5E7</v>
      </c>
      <c r="O180" s="123">
        <v>0.0415857</v>
      </c>
      <c r="P180" s="22">
        <v>0.4319296</v>
      </c>
      <c r="Q180" s="22">
        <v>21.42066</v>
      </c>
      <c r="R180" s="22">
        <v>57.3</v>
      </c>
      <c r="S180" s="32"/>
      <c r="T180" s="32"/>
      <c r="U180" s="32"/>
      <c r="V180" s="32"/>
      <c r="W180" s="32"/>
      <c r="X180" s="32"/>
    </row>
    <row r="181">
      <c r="A181" s="123">
        <v>1.4E9</v>
      </c>
      <c r="B181" s="123">
        <v>8.4E8</v>
      </c>
      <c r="C181" s="123">
        <v>2.1E9</v>
      </c>
      <c r="D181" s="22">
        <v>0.51943</v>
      </c>
      <c r="E181" s="123">
        <v>1.4E9</v>
      </c>
      <c r="F181" s="123">
        <v>545.463</v>
      </c>
      <c r="G181" s="123">
        <v>7.8E11</v>
      </c>
      <c r="H181" s="22">
        <v>2021.0</v>
      </c>
      <c r="I181" s="22" t="s">
        <v>1020</v>
      </c>
      <c r="J181" s="22">
        <v>52.5</v>
      </c>
      <c r="K181" s="22">
        <v>48.55</v>
      </c>
      <c r="L181" s="22">
        <v>12.1839</v>
      </c>
      <c r="M181" s="22">
        <v>12.2739</v>
      </c>
      <c r="N181" s="123">
        <v>3.7E7</v>
      </c>
      <c r="O181" s="123">
        <v>0.0256181</v>
      </c>
      <c r="P181" s="22">
        <v>0.5914158</v>
      </c>
      <c r="Q181" s="22">
        <v>21.4698</v>
      </c>
      <c r="R181" s="22">
        <v>52.9167</v>
      </c>
      <c r="S181" s="32"/>
      <c r="T181" s="32"/>
      <c r="U181" s="32"/>
      <c r="V181" s="32"/>
      <c r="W181" s="32"/>
      <c r="X181" s="32"/>
    </row>
    <row r="182">
      <c r="A182" s="123">
        <v>1.1E9</v>
      </c>
      <c r="B182" s="123">
        <v>5.0E8</v>
      </c>
      <c r="C182" s="123">
        <v>1.4E9</v>
      </c>
      <c r="D182" s="22">
        <v>-0.14665</v>
      </c>
      <c r="E182" s="123">
        <v>1.1E9</v>
      </c>
      <c r="F182" s="123">
        <v>288.733</v>
      </c>
      <c r="G182" s="123">
        <v>3.0E11</v>
      </c>
      <c r="H182" s="22">
        <v>2020.0</v>
      </c>
      <c r="I182" s="22" t="s">
        <v>1020</v>
      </c>
      <c r="J182" s="22">
        <v>48.55</v>
      </c>
      <c r="K182" s="22">
        <v>42.73</v>
      </c>
      <c r="L182" s="22">
        <v>12.2739</v>
      </c>
      <c r="M182" s="22">
        <v>11.3076</v>
      </c>
      <c r="N182" s="123">
        <v>3000000.0</v>
      </c>
      <c r="O182" s="123">
        <v>0.0028672</v>
      </c>
      <c r="P182" s="22">
        <v>0.4698903</v>
      </c>
      <c r="Q182" s="22">
        <v>21.05146</v>
      </c>
      <c r="R182" s="22">
        <v>47.9267</v>
      </c>
      <c r="S182" s="32"/>
      <c r="T182" s="32"/>
      <c r="U182" s="32"/>
      <c r="V182" s="32"/>
      <c r="W182" s="32"/>
      <c r="X182" s="32"/>
    </row>
    <row r="183">
      <c r="A183" s="123">
        <v>1.1E9</v>
      </c>
      <c r="B183" s="123">
        <v>5.3E8</v>
      </c>
      <c r="C183" s="123">
        <v>1.6E9</v>
      </c>
      <c r="D183" s="22">
        <v>-0.274</v>
      </c>
      <c r="E183" s="123">
        <v>1.1E9</v>
      </c>
      <c r="F183" s="123">
        <v>229.597</v>
      </c>
      <c r="G183" s="123">
        <v>2.5E11</v>
      </c>
      <c r="H183" s="22">
        <v>2019.0</v>
      </c>
      <c r="I183" s="22" t="s">
        <v>1020</v>
      </c>
      <c r="J183" s="22">
        <v>42.73</v>
      </c>
      <c r="K183" s="22">
        <v>36.925</v>
      </c>
      <c r="L183" s="22">
        <v>11.3076</v>
      </c>
      <c r="M183" s="22">
        <v>11.3396</v>
      </c>
      <c r="N183" s="123">
        <v>1500000.0</v>
      </c>
      <c r="O183" s="123">
        <v>0.0014166</v>
      </c>
      <c r="P183" s="22">
        <v>0.4877466</v>
      </c>
      <c r="Q183" s="22">
        <v>21.21005</v>
      </c>
      <c r="R183" s="22">
        <v>42.735</v>
      </c>
      <c r="S183" s="32"/>
      <c r="T183" s="32"/>
      <c r="U183" s="32"/>
      <c r="V183" s="32"/>
      <c r="W183" s="32"/>
      <c r="X183" s="32"/>
    </row>
    <row r="184">
      <c r="A184" s="123">
        <v>1.2E9</v>
      </c>
      <c r="B184" s="123">
        <v>6.6E8</v>
      </c>
      <c r="C184" s="123">
        <v>2.2E9</v>
      </c>
      <c r="D184" s="22">
        <v>-0.05936</v>
      </c>
      <c r="E184" s="123">
        <v>1.2E9</v>
      </c>
      <c r="F184" s="123">
        <v>432.063</v>
      </c>
      <c r="G184" s="123">
        <v>5.4E11</v>
      </c>
      <c r="H184" s="22">
        <v>2018.0</v>
      </c>
      <c r="I184" s="22" t="s">
        <v>1020</v>
      </c>
      <c r="J184" s="22">
        <v>36.925</v>
      </c>
      <c r="K184" s="22">
        <v>32.1</v>
      </c>
      <c r="L184" s="22">
        <v>11.3396</v>
      </c>
      <c r="M184" s="22">
        <v>12.4741</v>
      </c>
      <c r="N184" s="123">
        <v>6.9E7</v>
      </c>
      <c r="O184" s="123">
        <v>0.0553415</v>
      </c>
      <c r="P184" s="22">
        <v>0.5341199</v>
      </c>
      <c r="Q184" s="22">
        <v>21.53026</v>
      </c>
      <c r="R184" s="22">
        <v>37.2517</v>
      </c>
      <c r="S184" s="32"/>
      <c r="T184" s="32"/>
      <c r="U184" s="32"/>
      <c r="V184" s="32"/>
      <c r="W184" s="32"/>
      <c r="X184" s="32"/>
    </row>
    <row r="185">
      <c r="A185" s="123">
        <v>1.2E9</v>
      </c>
      <c r="B185" s="123">
        <v>6.5E8</v>
      </c>
      <c r="C185" s="123">
        <v>2.4E9</v>
      </c>
      <c r="D185" s="22">
        <v>0.01888</v>
      </c>
      <c r="E185" s="123">
        <v>1.2E9</v>
      </c>
      <c r="F185" s="123">
        <v>346.933</v>
      </c>
      <c r="G185" s="123">
        <v>4.3E11</v>
      </c>
      <c r="H185" s="22">
        <v>2017.0</v>
      </c>
      <c r="I185" s="22" t="s">
        <v>1020</v>
      </c>
      <c r="J185" s="22">
        <v>32.1</v>
      </c>
      <c r="K185" s="22">
        <v>28.5</v>
      </c>
      <c r="L185" s="22">
        <v>12.4741</v>
      </c>
      <c r="M185" s="22">
        <v>14.0523</v>
      </c>
      <c r="N185" s="123">
        <v>9.2E7</v>
      </c>
      <c r="O185" s="123">
        <v>0.0742802</v>
      </c>
      <c r="P185" s="22">
        <v>0.5242743</v>
      </c>
      <c r="Q185" s="22">
        <v>21.59145</v>
      </c>
      <c r="R185" s="22">
        <v>32.5083</v>
      </c>
      <c r="S185" s="32"/>
      <c r="T185" s="32"/>
      <c r="U185" s="32"/>
      <c r="V185" s="32"/>
      <c r="W185" s="32"/>
      <c r="X185" s="32"/>
    </row>
    <row r="186">
      <c r="A186" s="123">
        <v>1.2E9</v>
      </c>
      <c r="B186" s="123">
        <v>6.0E8</v>
      </c>
      <c r="C186" s="123">
        <v>2.3E9</v>
      </c>
      <c r="D186" s="22">
        <v>2.0E-4</v>
      </c>
      <c r="E186" s="123">
        <v>1.2E9</v>
      </c>
      <c r="F186" s="123">
        <v>295.584</v>
      </c>
      <c r="G186" s="123">
        <v>3.4E11</v>
      </c>
      <c r="H186" s="22">
        <v>2016.0</v>
      </c>
      <c r="I186" s="22" t="s">
        <v>1020</v>
      </c>
      <c r="J186" s="22">
        <v>28.5</v>
      </c>
      <c r="K186" s="22">
        <v>25.76</v>
      </c>
      <c r="L186" s="22">
        <v>14.0523</v>
      </c>
      <c r="M186" s="22">
        <v>19.6496</v>
      </c>
      <c r="N186" s="123">
        <v>9.1E7</v>
      </c>
      <c r="O186" s="123">
        <v>0.0781261</v>
      </c>
      <c r="P186" s="22">
        <v>0.5145863</v>
      </c>
      <c r="Q186" s="22">
        <v>21.57274</v>
      </c>
      <c r="R186" s="22">
        <v>28.7867</v>
      </c>
      <c r="S186" s="32"/>
      <c r="T186" s="32"/>
      <c r="U186" s="32"/>
      <c r="V186" s="32"/>
      <c r="W186" s="32"/>
      <c r="X186" s="32"/>
    </row>
    <row r="187">
      <c r="A187" s="123">
        <v>1.4E9</v>
      </c>
      <c r="B187" s="123">
        <v>7.7E8</v>
      </c>
      <c r="C187" s="123">
        <v>2.3E9</v>
      </c>
      <c r="D187" s="22">
        <v>0.04467</v>
      </c>
      <c r="E187" s="123">
        <v>1.4E9</v>
      </c>
      <c r="F187" s="123">
        <v>236.805</v>
      </c>
      <c r="G187" s="123">
        <v>3.2E11</v>
      </c>
      <c r="H187" s="22">
        <v>2015.0</v>
      </c>
      <c r="I187" s="22" t="s">
        <v>1020</v>
      </c>
      <c r="J187" s="22">
        <v>25.76</v>
      </c>
      <c r="K187" s="22">
        <v>23.15</v>
      </c>
      <c r="L187" s="22">
        <v>19.6496</v>
      </c>
      <c r="M187" s="22">
        <v>28.8466</v>
      </c>
      <c r="N187" s="123">
        <v>8.6E7</v>
      </c>
      <c r="O187" s="123">
        <v>0.0636649</v>
      </c>
      <c r="P187" s="22">
        <v>0.5714167</v>
      </c>
      <c r="Q187" s="22">
        <v>21.57254</v>
      </c>
      <c r="R187" s="22">
        <v>25.8033</v>
      </c>
      <c r="S187" s="32"/>
      <c r="T187" s="32"/>
      <c r="U187" s="32"/>
      <c r="V187" s="32"/>
      <c r="W187" s="32"/>
      <c r="X187" s="32"/>
    </row>
    <row r="188">
      <c r="A188" s="123">
        <v>1.6E9</v>
      </c>
      <c r="B188" s="123">
        <v>9.9E8</v>
      </c>
      <c r="C188" s="123">
        <v>2.2E9</v>
      </c>
      <c r="D188" s="22">
        <v>2.56454</v>
      </c>
      <c r="E188" s="123">
        <v>1.6E9</v>
      </c>
      <c r="F188" s="123">
        <v>224.89</v>
      </c>
      <c r="G188" s="123">
        <v>3.5E11</v>
      </c>
      <c r="H188" s="22">
        <v>2014.0</v>
      </c>
      <c r="I188" s="22" t="s">
        <v>1020</v>
      </c>
      <c r="J188" s="22">
        <v>23.15</v>
      </c>
      <c r="K188" s="32"/>
      <c r="L188" s="22">
        <v>28.8466</v>
      </c>
      <c r="M188" s="32"/>
      <c r="N188" s="123">
        <v>1.0E8</v>
      </c>
      <c r="O188" s="123">
        <v>0.0639196</v>
      </c>
      <c r="P188" s="22">
        <v>0.625409</v>
      </c>
      <c r="Q188" s="22">
        <v>21.52884</v>
      </c>
      <c r="R188" s="32"/>
      <c r="S188" s="32"/>
      <c r="T188" s="32"/>
      <c r="U188" s="32"/>
      <c r="V188" s="32"/>
      <c r="W188" s="32"/>
      <c r="X188" s="32"/>
    </row>
    <row r="189">
      <c r="A189" s="123">
        <v>1.4E9</v>
      </c>
      <c r="B189" s="123">
        <v>1.1E8</v>
      </c>
      <c r="C189" s="123">
        <v>6.3E8</v>
      </c>
      <c r="D189" s="22">
        <v>-0.05042</v>
      </c>
      <c r="E189" s="123">
        <v>1.4E9</v>
      </c>
      <c r="F189" s="123">
        <v>2263.26</v>
      </c>
      <c r="G189" s="123">
        <v>3.3E12</v>
      </c>
      <c r="H189" s="22">
        <v>2024.0</v>
      </c>
      <c r="I189" s="22" t="s">
        <v>1076</v>
      </c>
      <c r="J189" s="22">
        <v>72.75</v>
      </c>
      <c r="K189" s="22">
        <v>69.45</v>
      </c>
      <c r="L189" s="22">
        <v>23.6602</v>
      </c>
      <c r="M189" s="22">
        <v>21.6149</v>
      </c>
      <c r="N189" s="123">
        <v>3.0E8</v>
      </c>
      <c r="O189" s="123">
        <v>0.2048729</v>
      </c>
      <c r="P189" s="22">
        <v>0.0732284</v>
      </c>
      <c r="Q189" s="22">
        <v>20.25781</v>
      </c>
      <c r="R189" s="32"/>
      <c r="S189" s="32"/>
      <c r="T189" s="32"/>
      <c r="U189" s="32"/>
      <c r="V189" s="32"/>
      <c r="W189" s="32"/>
      <c r="X189" s="32"/>
    </row>
    <row r="190">
      <c r="A190" s="123">
        <v>1.5E9</v>
      </c>
      <c r="B190" s="123">
        <v>1.9E8</v>
      </c>
      <c r="C190" s="123">
        <v>6.6E8</v>
      </c>
      <c r="D190" s="22">
        <v>-0.11382</v>
      </c>
      <c r="E190" s="123">
        <v>1.5E9</v>
      </c>
      <c r="F190" s="123">
        <v>1746.71</v>
      </c>
      <c r="G190" s="123">
        <v>2.7E12</v>
      </c>
      <c r="H190" s="22">
        <v>2023.0</v>
      </c>
      <c r="I190" s="22" t="s">
        <v>1076</v>
      </c>
      <c r="J190" s="22">
        <v>69.45</v>
      </c>
      <c r="K190" s="22">
        <v>65.35</v>
      </c>
      <c r="L190" s="22">
        <v>21.6149</v>
      </c>
      <c r="M190" s="22">
        <v>18.1757</v>
      </c>
      <c r="N190" s="123">
        <v>2.8E8</v>
      </c>
      <c r="O190" s="123">
        <v>0.1780831</v>
      </c>
      <c r="P190" s="22">
        <v>0.1225674</v>
      </c>
      <c r="Q190" s="22">
        <v>20.30954</v>
      </c>
      <c r="R190" s="22">
        <v>69.1833</v>
      </c>
      <c r="S190" s="32"/>
      <c r="T190" s="32"/>
      <c r="U190" s="32"/>
      <c r="V190" s="32"/>
      <c r="W190" s="32"/>
      <c r="X190" s="32"/>
    </row>
    <row r="191">
      <c r="A191" s="123">
        <v>1.8E9</v>
      </c>
      <c r="B191" s="123">
        <v>3.2E8</v>
      </c>
      <c r="C191" s="123">
        <v>7.5E8</v>
      </c>
      <c r="D191" s="22">
        <v>0.13421</v>
      </c>
      <c r="E191" s="123">
        <v>1.8E9</v>
      </c>
      <c r="F191" s="123">
        <v>1061.19</v>
      </c>
      <c r="G191" s="123">
        <v>1.9E12</v>
      </c>
      <c r="H191" s="22">
        <v>2022.0</v>
      </c>
      <c r="I191" s="22" t="s">
        <v>1076</v>
      </c>
      <c r="J191" s="22">
        <v>65.35</v>
      </c>
      <c r="K191" s="22">
        <v>60.9</v>
      </c>
      <c r="L191" s="22">
        <v>18.1757</v>
      </c>
      <c r="M191" s="22">
        <v>12.1839</v>
      </c>
      <c r="N191" s="123">
        <v>3.2E8</v>
      </c>
      <c r="O191" s="123">
        <v>0.1814775</v>
      </c>
      <c r="P191" s="22">
        <v>0.1818901</v>
      </c>
      <c r="Q191" s="22">
        <v>20.43037</v>
      </c>
      <c r="R191" s="22">
        <v>65.2333</v>
      </c>
      <c r="S191" s="32"/>
      <c r="T191" s="32"/>
      <c r="U191" s="32"/>
      <c r="V191" s="32"/>
      <c r="W191" s="32"/>
      <c r="X191" s="32"/>
    </row>
    <row r="192">
      <c r="A192" s="123">
        <v>1.8E9</v>
      </c>
      <c r="B192" s="123">
        <v>5.0E8</v>
      </c>
      <c r="C192" s="123">
        <v>6.6E8</v>
      </c>
      <c r="D192" s="22">
        <v>0.532</v>
      </c>
      <c r="E192" s="123">
        <v>1.8E9</v>
      </c>
      <c r="F192" s="123">
        <v>867.435</v>
      </c>
      <c r="G192" s="123">
        <v>1.6E12</v>
      </c>
      <c r="H192" s="22">
        <v>2021.0</v>
      </c>
      <c r="I192" s="22" t="s">
        <v>1076</v>
      </c>
      <c r="J192" s="22">
        <v>60.9</v>
      </c>
      <c r="K192" s="22">
        <v>56.7</v>
      </c>
      <c r="L192" s="22">
        <v>12.1839</v>
      </c>
      <c r="M192" s="22">
        <v>12.2739</v>
      </c>
      <c r="N192" s="123">
        <v>2.7E8</v>
      </c>
      <c r="O192" s="123">
        <v>0.1446829</v>
      </c>
      <c r="P192" s="22">
        <v>0.2705839</v>
      </c>
      <c r="Q192" s="22">
        <v>20.30444</v>
      </c>
      <c r="R192" s="22">
        <v>60.9833</v>
      </c>
      <c r="S192" s="32"/>
      <c r="T192" s="32"/>
      <c r="U192" s="32"/>
      <c r="V192" s="32"/>
      <c r="W192" s="32"/>
      <c r="X192" s="32"/>
    </row>
    <row r="193">
      <c r="A193" s="123">
        <v>1.8E9</v>
      </c>
      <c r="B193" s="123">
        <v>7.0E8</v>
      </c>
      <c r="C193" s="123">
        <v>4.3E8</v>
      </c>
      <c r="D193" s="22">
        <v>-0.33225</v>
      </c>
      <c r="E193" s="123">
        <v>1.8E9</v>
      </c>
      <c r="F193" s="123">
        <v>756.504</v>
      </c>
      <c r="G193" s="123">
        <v>1.4E12</v>
      </c>
      <c r="H193" s="22">
        <v>2020.0</v>
      </c>
      <c r="I193" s="22" t="s">
        <v>1076</v>
      </c>
      <c r="J193" s="22">
        <v>56.7</v>
      </c>
      <c r="K193" s="22">
        <v>51.85</v>
      </c>
      <c r="L193" s="22">
        <v>12.2739</v>
      </c>
      <c r="M193" s="22">
        <v>11.3076</v>
      </c>
      <c r="N193" s="123">
        <v>6.3E7</v>
      </c>
      <c r="O193" s="123">
        <v>0.0347476</v>
      </c>
      <c r="P193" s="22">
        <v>0.3858682</v>
      </c>
      <c r="Q193" s="22">
        <v>19.87786</v>
      </c>
      <c r="R193" s="22">
        <v>56.4833</v>
      </c>
      <c r="S193" s="32"/>
      <c r="T193" s="32"/>
      <c r="U193" s="32"/>
      <c r="V193" s="32"/>
      <c r="W193" s="32"/>
      <c r="X193" s="32"/>
    </row>
    <row r="194">
      <c r="A194" s="123">
        <v>2.1E9</v>
      </c>
      <c r="B194" s="123">
        <v>8.3E8</v>
      </c>
      <c r="C194" s="123">
        <v>6.4E8</v>
      </c>
      <c r="D194" s="22">
        <v>0.03833</v>
      </c>
      <c r="E194" s="123">
        <v>2.1E9</v>
      </c>
      <c r="F194" s="123">
        <v>570.143</v>
      </c>
      <c r="G194" s="123">
        <v>1.2E12</v>
      </c>
      <c r="H194" s="22">
        <v>2019.0</v>
      </c>
      <c r="I194" s="22" t="s">
        <v>1076</v>
      </c>
      <c r="J194" s="22">
        <v>51.85</v>
      </c>
      <c r="K194" s="22">
        <v>48.65</v>
      </c>
      <c r="L194" s="22">
        <v>11.3076</v>
      </c>
      <c r="M194" s="22">
        <v>11.3396</v>
      </c>
      <c r="N194" s="123">
        <v>2.2E8</v>
      </c>
      <c r="O194" s="123">
        <v>0.1037938</v>
      </c>
      <c r="P194" s="22">
        <v>0.3989212</v>
      </c>
      <c r="Q194" s="22">
        <v>20.2817</v>
      </c>
      <c r="R194" s="22">
        <v>52.4</v>
      </c>
      <c r="S194" s="32"/>
      <c r="T194" s="32"/>
      <c r="U194" s="32"/>
      <c r="V194" s="32"/>
      <c r="W194" s="32"/>
      <c r="X194" s="32"/>
    </row>
    <row r="195">
      <c r="A195" s="123">
        <v>2.3E9</v>
      </c>
      <c r="B195" s="123">
        <v>1.1E9</v>
      </c>
      <c r="C195" s="123">
        <v>6.2E8</v>
      </c>
      <c r="D195" s="22">
        <v>0.00377</v>
      </c>
      <c r="E195" s="123">
        <v>2.3E9</v>
      </c>
      <c r="F195" s="123">
        <v>480.469</v>
      </c>
      <c r="G195" s="123">
        <v>1.1E12</v>
      </c>
      <c r="H195" s="22">
        <v>2018.0</v>
      </c>
      <c r="I195" s="22" t="s">
        <v>1076</v>
      </c>
      <c r="J195" s="22">
        <v>48.65</v>
      </c>
      <c r="K195" s="22">
        <v>44.4</v>
      </c>
      <c r="L195" s="22">
        <v>11.3396</v>
      </c>
      <c r="M195" s="22">
        <v>12.4741</v>
      </c>
      <c r="N195" s="123">
        <v>1.9E8</v>
      </c>
      <c r="O195" s="123">
        <v>0.0810954</v>
      </c>
      <c r="P195" s="22">
        <v>0.4662207</v>
      </c>
      <c r="Q195" s="22">
        <v>20.24408</v>
      </c>
      <c r="R195" s="22">
        <v>48.3</v>
      </c>
      <c r="S195" s="32"/>
      <c r="T195" s="32"/>
      <c r="U195" s="32"/>
      <c r="V195" s="32"/>
      <c r="W195" s="32"/>
      <c r="X195" s="32"/>
    </row>
    <row r="196">
      <c r="A196" s="123">
        <v>2.5E9</v>
      </c>
      <c r="B196" s="123">
        <v>1.3E9</v>
      </c>
      <c r="C196" s="123">
        <v>6.2E8</v>
      </c>
      <c r="D196" s="22">
        <v>0.20274</v>
      </c>
      <c r="E196" s="123">
        <v>2.5E9</v>
      </c>
      <c r="F196" s="123">
        <v>424.65</v>
      </c>
      <c r="G196" s="123">
        <v>1.0E12</v>
      </c>
      <c r="H196" s="22">
        <v>2017.0</v>
      </c>
      <c r="I196" s="22" t="s">
        <v>1076</v>
      </c>
      <c r="J196" s="22">
        <v>44.4</v>
      </c>
      <c r="K196" s="22">
        <v>36.65</v>
      </c>
      <c r="L196" s="22">
        <v>12.4741</v>
      </c>
      <c r="M196" s="22">
        <v>14.0523</v>
      </c>
      <c r="N196" s="123">
        <v>1.9E8</v>
      </c>
      <c r="O196" s="123">
        <v>0.0749079</v>
      </c>
      <c r="P196" s="22">
        <v>0.5078744</v>
      </c>
      <c r="Q196" s="22">
        <v>20.24032</v>
      </c>
      <c r="R196" s="22">
        <v>43.2333</v>
      </c>
      <c r="S196" s="32"/>
      <c r="T196" s="32"/>
      <c r="U196" s="32"/>
      <c r="V196" s="32"/>
      <c r="W196" s="32"/>
      <c r="X196" s="32"/>
    </row>
    <row r="197">
      <c r="A197" s="123">
        <v>2.6E9</v>
      </c>
      <c r="B197" s="123">
        <v>1.5E9</v>
      </c>
      <c r="C197" s="123">
        <v>5.1E8</v>
      </c>
      <c r="D197" s="22">
        <v>-0.13742</v>
      </c>
      <c r="E197" s="123">
        <v>2.6E9</v>
      </c>
      <c r="F197" s="123">
        <v>328.922</v>
      </c>
      <c r="G197" s="123">
        <v>8.7E11</v>
      </c>
      <c r="H197" s="22">
        <v>2016.0</v>
      </c>
      <c r="I197" s="22" t="s">
        <v>1076</v>
      </c>
      <c r="J197" s="22">
        <v>36.65</v>
      </c>
      <c r="K197" s="22">
        <v>35.0</v>
      </c>
      <c r="L197" s="22">
        <v>14.0523</v>
      </c>
      <c r="M197" s="22">
        <v>19.6496</v>
      </c>
      <c r="N197" s="123">
        <v>9.8E7</v>
      </c>
      <c r="O197" s="123">
        <v>0.0370626</v>
      </c>
      <c r="P197" s="22">
        <v>0.5550218</v>
      </c>
      <c r="Q197" s="22">
        <v>20.05572</v>
      </c>
      <c r="R197" s="22">
        <v>38.6833</v>
      </c>
      <c r="S197" s="32"/>
      <c r="T197" s="32"/>
      <c r="U197" s="32"/>
      <c r="V197" s="32"/>
      <c r="W197" s="32"/>
      <c r="X197" s="32"/>
    </row>
    <row r="198">
      <c r="A198" s="123">
        <v>2.9E9</v>
      </c>
      <c r="B198" s="123">
        <v>1.7E9</v>
      </c>
      <c r="C198" s="123">
        <v>5.9E8</v>
      </c>
      <c r="D198" s="22">
        <v>-0.00295</v>
      </c>
      <c r="E198" s="123">
        <v>2.9E9</v>
      </c>
      <c r="F198" s="123">
        <v>262.658</v>
      </c>
      <c r="G198" s="123">
        <v>7.6E11</v>
      </c>
      <c r="H198" s="22">
        <v>2015.0</v>
      </c>
      <c r="I198" s="22" t="s">
        <v>1076</v>
      </c>
      <c r="J198" s="22">
        <v>35.0</v>
      </c>
      <c r="K198" s="22">
        <v>34.55</v>
      </c>
      <c r="L198" s="22">
        <v>19.6496</v>
      </c>
      <c r="M198" s="22">
        <v>28.8466</v>
      </c>
      <c r="N198" s="123">
        <v>1.6E8</v>
      </c>
      <c r="O198" s="123">
        <v>0.0564923</v>
      </c>
      <c r="P198" s="22">
        <v>0.5753597</v>
      </c>
      <c r="Q198" s="22">
        <v>20.20354</v>
      </c>
      <c r="R198" s="22">
        <v>35.4</v>
      </c>
      <c r="S198" s="32"/>
      <c r="T198" s="32"/>
      <c r="U198" s="32"/>
      <c r="V198" s="32"/>
      <c r="W198" s="32"/>
      <c r="X198" s="32"/>
    </row>
    <row r="199">
      <c r="A199" s="123">
        <v>3.2E9</v>
      </c>
      <c r="B199" s="123">
        <v>2.0E9</v>
      </c>
      <c r="C199" s="123">
        <v>6.0E8</v>
      </c>
      <c r="D199" s="22">
        <v>0.565</v>
      </c>
      <c r="E199" s="123">
        <v>3.2E9</v>
      </c>
      <c r="F199" s="123">
        <v>238.109</v>
      </c>
      <c r="G199" s="123">
        <v>7.6E11</v>
      </c>
      <c r="H199" s="22">
        <v>2014.0</v>
      </c>
      <c r="I199" s="22" t="s">
        <v>1076</v>
      </c>
      <c r="J199" s="22">
        <v>34.55</v>
      </c>
      <c r="K199" s="32"/>
      <c r="L199" s="22">
        <v>28.8466</v>
      </c>
      <c r="M199" s="32"/>
      <c r="N199" s="123">
        <v>2.2E8</v>
      </c>
      <c r="O199" s="123">
        <v>0.0686639</v>
      </c>
      <c r="P199" s="22">
        <v>0.6188676</v>
      </c>
      <c r="Q199" s="22">
        <v>20.2065</v>
      </c>
      <c r="R199" s="32"/>
      <c r="S199" s="32"/>
      <c r="T199" s="32"/>
      <c r="U199" s="32"/>
      <c r="V199" s="32"/>
      <c r="W199" s="32"/>
      <c r="X199" s="32"/>
    </row>
    <row r="200">
      <c r="A200" s="123">
        <v>9.0E8</v>
      </c>
      <c r="B200" s="123">
        <v>1.4E7</v>
      </c>
      <c r="C200" s="123">
        <v>3.8E8</v>
      </c>
      <c r="D200" s="22">
        <v>-0.06911</v>
      </c>
      <c r="E200" s="123">
        <v>9.0E8</v>
      </c>
      <c r="F200" s="123">
        <v>766.676</v>
      </c>
      <c r="G200" s="123">
        <v>6.9E11</v>
      </c>
      <c r="H200" s="22">
        <v>2024.0</v>
      </c>
      <c r="I200" s="22" t="s">
        <v>1132</v>
      </c>
      <c r="J200" s="22">
        <v>57.25</v>
      </c>
      <c r="K200" s="22">
        <v>56.0</v>
      </c>
      <c r="L200" s="22">
        <v>23.6602</v>
      </c>
      <c r="M200" s="22">
        <v>21.6149</v>
      </c>
      <c r="N200" s="123">
        <v>3.4E7</v>
      </c>
      <c r="O200" s="123">
        <v>0.0378032</v>
      </c>
      <c r="P200" s="22">
        <v>0.0160075</v>
      </c>
      <c r="Q200" s="22">
        <v>19.75861</v>
      </c>
      <c r="R200" s="32"/>
      <c r="S200" s="32"/>
      <c r="T200" s="32"/>
      <c r="U200" s="32"/>
      <c r="V200" s="32"/>
      <c r="W200" s="32"/>
      <c r="X200" s="32"/>
    </row>
    <row r="201">
      <c r="A201" s="123">
        <v>9.0E8</v>
      </c>
      <c r="B201" s="123">
        <v>1.5E7</v>
      </c>
      <c r="C201" s="123">
        <v>4.1E8</v>
      </c>
      <c r="D201" s="22">
        <v>-0.00107</v>
      </c>
      <c r="E201" s="123">
        <v>9.0E8</v>
      </c>
      <c r="F201" s="123">
        <v>918.905</v>
      </c>
      <c r="G201" s="123">
        <v>8.2E11</v>
      </c>
      <c r="H201" s="22">
        <v>2023.0</v>
      </c>
      <c r="I201" s="22" t="s">
        <v>1132</v>
      </c>
      <c r="J201" s="22">
        <v>56.0</v>
      </c>
      <c r="K201" s="22">
        <v>52.55</v>
      </c>
      <c r="L201" s="22">
        <v>21.6149</v>
      </c>
      <c r="M201" s="22">
        <v>18.1757</v>
      </c>
      <c r="N201" s="123">
        <v>7.0E7</v>
      </c>
      <c r="O201" s="123">
        <v>0.0776808</v>
      </c>
      <c r="P201" s="22">
        <v>0.0171303</v>
      </c>
      <c r="Q201" s="22">
        <v>19.83023</v>
      </c>
      <c r="R201" s="22">
        <v>55.2667</v>
      </c>
      <c r="S201" s="32"/>
      <c r="T201" s="32"/>
      <c r="U201" s="32"/>
      <c r="V201" s="32"/>
      <c r="W201" s="32"/>
      <c r="X201" s="32"/>
    </row>
    <row r="202">
      <c r="A202" s="123">
        <v>8.6E8</v>
      </c>
      <c r="B202" s="123">
        <v>1.3E7</v>
      </c>
      <c r="C202" s="123">
        <v>4.1E8</v>
      </c>
      <c r="D202" s="22">
        <v>1.45185</v>
      </c>
      <c r="E202" s="123">
        <v>8.6E8</v>
      </c>
      <c r="F202" s="123">
        <v>911.672</v>
      </c>
      <c r="G202" s="123">
        <v>7.8E11</v>
      </c>
      <c r="H202" s="22">
        <v>2022.0</v>
      </c>
      <c r="I202" s="22" t="s">
        <v>1132</v>
      </c>
      <c r="J202" s="22">
        <v>52.55</v>
      </c>
      <c r="K202" s="22">
        <v>49.1</v>
      </c>
      <c r="L202" s="22">
        <v>18.1757</v>
      </c>
      <c r="M202" s="22">
        <v>12.1839</v>
      </c>
      <c r="N202" s="123">
        <v>4.3E7</v>
      </c>
      <c r="O202" s="123">
        <v>0.0501428</v>
      </c>
      <c r="P202" s="22">
        <v>0.0152972</v>
      </c>
      <c r="Q202" s="22">
        <v>19.8313</v>
      </c>
      <c r="R202" s="22">
        <v>52.55</v>
      </c>
      <c r="S202" s="32"/>
      <c r="T202" s="32"/>
      <c r="U202" s="32"/>
      <c r="V202" s="32"/>
      <c r="W202" s="32"/>
      <c r="X202" s="32"/>
    </row>
    <row r="203">
      <c r="A203" s="123">
        <v>8.1E8</v>
      </c>
      <c r="B203" s="123">
        <v>1.1E7</v>
      </c>
      <c r="C203" s="123">
        <v>1.7E8</v>
      </c>
      <c r="D203" s="22">
        <v>-0.45075</v>
      </c>
      <c r="E203" s="123">
        <v>8.1E8</v>
      </c>
      <c r="F203" s="123">
        <v>1166.79</v>
      </c>
      <c r="G203" s="123">
        <v>9.5E11</v>
      </c>
      <c r="H203" s="22">
        <v>2021.0</v>
      </c>
      <c r="I203" s="22" t="s">
        <v>1132</v>
      </c>
      <c r="J203" s="22">
        <v>49.1</v>
      </c>
      <c r="K203" s="22">
        <v>48.1</v>
      </c>
      <c r="L203" s="22">
        <v>12.1839</v>
      </c>
      <c r="M203" s="22">
        <v>12.2739</v>
      </c>
      <c r="N203" s="123">
        <v>-3.9E7</v>
      </c>
      <c r="O203" s="123">
        <v>-0.0474897</v>
      </c>
      <c r="P203" s="22">
        <v>0.0129724</v>
      </c>
      <c r="Q203" s="22">
        <v>18.93446</v>
      </c>
      <c r="R203" s="22">
        <v>49.9167</v>
      </c>
      <c r="S203" s="32"/>
      <c r="T203" s="32"/>
      <c r="U203" s="32"/>
      <c r="V203" s="32"/>
      <c r="W203" s="32"/>
      <c r="X203" s="32"/>
    </row>
    <row r="204">
      <c r="A204" s="123">
        <v>8.8E8</v>
      </c>
      <c r="B204" s="123">
        <v>1.4E7</v>
      </c>
      <c r="C204" s="123">
        <v>3.0E8</v>
      </c>
      <c r="D204" s="22">
        <v>-0.3269</v>
      </c>
      <c r="E204" s="123">
        <v>8.8E8</v>
      </c>
      <c r="F204" s="123">
        <v>717.54</v>
      </c>
      <c r="G204" s="123">
        <v>6.3E11</v>
      </c>
      <c r="H204" s="22">
        <v>2020.0</v>
      </c>
      <c r="I204" s="22" t="s">
        <v>1132</v>
      </c>
      <c r="J204" s="22">
        <v>48.1</v>
      </c>
      <c r="K204" s="22">
        <v>43.6</v>
      </c>
      <c r="L204" s="22">
        <v>12.2739</v>
      </c>
      <c r="M204" s="22">
        <v>11.3076</v>
      </c>
      <c r="N204" s="123">
        <v>2.3E7</v>
      </c>
      <c r="O204" s="123">
        <v>0.0256607</v>
      </c>
      <c r="P204" s="22">
        <v>0.0155323</v>
      </c>
      <c r="Q204" s="22">
        <v>19.53366</v>
      </c>
      <c r="R204" s="22">
        <v>46.9333</v>
      </c>
      <c r="S204" s="32"/>
      <c r="T204" s="32"/>
      <c r="U204" s="32"/>
      <c r="V204" s="32"/>
      <c r="W204" s="32"/>
      <c r="X204" s="32"/>
    </row>
    <row r="205">
      <c r="A205" s="123">
        <v>9.3E8</v>
      </c>
      <c r="B205" s="123">
        <v>1.8E7</v>
      </c>
      <c r="C205" s="123">
        <v>4.5E8</v>
      </c>
      <c r="D205" s="22">
        <v>0.02187</v>
      </c>
      <c r="E205" s="123">
        <v>9.3E8</v>
      </c>
      <c r="F205" s="123">
        <v>590.279</v>
      </c>
      <c r="G205" s="123">
        <v>5.5E11</v>
      </c>
      <c r="H205" s="22">
        <v>2019.0</v>
      </c>
      <c r="I205" s="22" t="s">
        <v>1132</v>
      </c>
      <c r="J205" s="22">
        <v>43.6</v>
      </c>
      <c r="K205" s="22">
        <v>39.9</v>
      </c>
      <c r="L205" s="22">
        <v>11.3076</v>
      </c>
      <c r="M205" s="22">
        <v>11.3396</v>
      </c>
      <c r="N205" s="123">
        <v>1.0E8</v>
      </c>
      <c r="O205" s="123">
        <v>0.108742</v>
      </c>
      <c r="P205" s="22">
        <v>0.0192461</v>
      </c>
      <c r="Q205" s="22">
        <v>19.92951</v>
      </c>
      <c r="R205" s="22">
        <v>43.8667</v>
      </c>
      <c r="S205" s="32"/>
      <c r="T205" s="32"/>
      <c r="U205" s="32"/>
      <c r="V205" s="32"/>
      <c r="W205" s="32"/>
      <c r="X205" s="32"/>
    </row>
    <row r="206">
      <c r="A206" s="123">
        <v>8.9E8</v>
      </c>
      <c r="B206" s="123">
        <v>2.0E7</v>
      </c>
      <c r="C206" s="123">
        <v>4.4E8</v>
      </c>
      <c r="D206" s="22">
        <v>0.10196</v>
      </c>
      <c r="E206" s="123">
        <v>8.9E8</v>
      </c>
      <c r="F206" s="123">
        <v>598.216</v>
      </c>
      <c r="G206" s="123">
        <v>5.3E11</v>
      </c>
      <c r="H206" s="22">
        <v>2018.0</v>
      </c>
      <c r="I206" s="22" t="s">
        <v>1132</v>
      </c>
      <c r="J206" s="22">
        <v>39.9</v>
      </c>
      <c r="K206" s="22">
        <v>36.0</v>
      </c>
      <c r="L206" s="22">
        <v>11.3396</v>
      </c>
      <c r="M206" s="22">
        <v>12.4741</v>
      </c>
      <c r="N206" s="123">
        <v>1.3E8</v>
      </c>
      <c r="O206" s="123">
        <v>0.1497052</v>
      </c>
      <c r="P206" s="22">
        <v>0.0218933</v>
      </c>
      <c r="Q206" s="22">
        <v>19.90788</v>
      </c>
      <c r="R206" s="22">
        <v>39.8333</v>
      </c>
      <c r="S206" s="32"/>
      <c r="T206" s="32"/>
      <c r="U206" s="32"/>
      <c r="V206" s="32"/>
      <c r="W206" s="32"/>
      <c r="X206" s="32"/>
    </row>
    <row r="207">
      <c r="A207" s="123">
        <v>8.3E8</v>
      </c>
      <c r="B207" s="123">
        <v>2.1E7</v>
      </c>
      <c r="C207" s="123">
        <v>4.0E8</v>
      </c>
      <c r="D207" s="22">
        <v>0.1288</v>
      </c>
      <c r="E207" s="123">
        <v>8.3E8</v>
      </c>
      <c r="F207" s="123">
        <v>656.577</v>
      </c>
      <c r="G207" s="123">
        <v>5.4E11</v>
      </c>
      <c r="H207" s="22">
        <v>2017.0</v>
      </c>
      <c r="I207" s="22" t="s">
        <v>1132</v>
      </c>
      <c r="J207" s="22">
        <v>36.0</v>
      </c>
      <c r="K207" s="22">
        <v>32.4</v>
      </c>
      <c r="L207" s="22">
        <v>12.4741</v>
      </c>
      <c r="M207" s="22">
        <v>14.0523</v>
      </c>
      <c r="N207" s="123">
        <v>1.7E8</v>
      </c>
      <c r="O207" s="123">
        <v>0.2093656</v>
      </c>
      <c r="P207" s="22">
        <v>0.0253954</v>
      </c>
      <c r="Q207" s="22">
        <v>19.81079</v>
      </c>
      <c r="R207" s="22">
        <v>36.1</v>
      </c>
      <c r="S207" s="32"/>
      <c r="T207" s="32"/>
      <c r="U207" s="32"/>
      <c r="V207" s="32"/>
      <c r="W207" s="32"/>
      <c r="X207" s="32"/>
    </row>
    <row r="208">
      <c r="A208" s="123">
        <v>7.1E8</v>
      </c>
      <c r="B208" s="123">
        <v>4.9E7</v>
      </c>
      <c r="C208" s="123">
        <v>3.6E8</v>
      </c>
      <c r="D208" s="22">
        <v>0.16637</v>
      </c>
      <c r="E208" s="123">
        <v>7.1E8</v>
      </c>
      <c r="F208" s="123">
        <v>894.449</v>
      </c>
      <c r="G208" s="123">
        <v>6.4E11</v>
      </c>
      <c r="H208" s="22">
        <v>2016.0</v>
      </c>
      <c r="I208" s="22" t="s">
        <v>1132</v>
      </c>
      <c r="J208" s="22">
        <v>32.4</v>
      </c>
      <c r="K208" s="22">
        <v>29.15</v>
      </c>
      <c r="L208" s="22">
        <v>14.0523</v>
      </c>
      <c r="M208" s="22">
        <v>19.6496</v>
      </c>
      <c r="N208" s="123">
        <v>2.1E8</v>
      </c>
      <c r="O208" s="123">
        <v>0.2978652</v>
      </c>
      <c r="P208" s="22">
        <v>0.0680906</v>
      </c>
      <c r="Q208" s="22">
        <v>19.68964</v>
      </c>
      <c r="R208" s="22">
        <v>32.5167</v>
      </c>
      <c r="S208" s="32"/>
      <c r="T208" s="32"/>
      <c r="U208" s="32"/>
      <c r="V208" s="32"/>
      <c r="W208" s="32"/>
      <c r="X208" s="32"/>
    </row>
    <row r="209">
      <c r="A209" s="123">
        <v>5.3E8</v>
      </c>
      <c r="B209" s="123">
        <v>1.2E7</v>
      </c>
      <c r="C209" s="123">
        <v>3.0E8</v>
      </c>
      <c r="D209" s="22">
        <v>0.36296</v>
      </c>
      <c r="E209" s="123">
        <v>5.3E8</v>
      </c>
      <c r="F209" s="123">
        <v>832.615</v>
      </c>
      <c r="G209" s="123">
        <v>4.4E11</v>
      </c>
      <c r="H209" s="22">
        <v>2015.0</v>
      </c>
      <c r="I209" s="22" t="s">
        <v>1132</v>
      </c>
      <c r="J209" s="22">
        <v>29.15</v>
      </c>
      <c r="K209" s="22">
        <v>28.45</v>
      </c>
      <c r="L209" s="22">
        <v>19.6496</v>
      </c>
      <c r="M209" s="22">
        <v>28.8466</v>
      </c>
      <c r="N209" s="123">
        <v>1.7E8</v>
      </c>
      <c r="O209" s="123">
        <v>0.3318157</v>
      </c>
      <c r="P209" s="22">
        <v>0.022624</v>
      </c>
      <c r="Q209" s="22">
        <v>19.53574</v>
      </c>
      <c r="R209" s="22">
        <v>30.0</v>
      </c>
      <c r="S209" s="32"/>
      <c r="T209" s="32"/>
      <c r="U209" s="32"/>
      <c r="V209" s="32"/>
      <c r="W209" s="32"/>
      <c r="X209" s="32"/>
    </row>
    <row r="210">
      <c r="A210" s="123">
        <v>3.6E8</v>
      </c>
      <c r="B210" s="123">
        <v>1.1E7</v>
      </c>
      <c r="C210" s="123">
        <v>2.2E8</v>
      </c>
      <c r="D210" s="22">
        <v>0.5773</v>
      </c>
      <c r="E210" s="123">
        <v>3.6E8</v>
      </c>
      <c r="F210" s="123">
        <v>506.576</v>
      </c>
      <c r="G210" s="123">
        <v>1.8E11</v>
      </c>
      <c r="H210" s="22">
        <v>2014.0</v>
      </c>
      <c r="I210" s="22" t="s">
        <v>1132</v>
      </c>
      <c r="J210" s="22">
        <v>28.45</v>
      </c>
      <c r="K210" s="32"/>
      <c r="L210" s="22">
        <v>28.8466</v>
      </c>
      <c r="M210" s="32"/>
      <c r="N210" s="123">
        <v>1.0E8</v>
      </c>
      <c r="O210" s="123">
        <v>0.2906141</v>
      </c>
      <c r="P210" s="22">
        <v>0.0311744</v>
      </c>
      <c r="Q210" s="22">
        <v>19.22608</v>
      </c>
      <c r="R210" s="32"/>
      <c r="S210" s="32"/>
      <c r="T210" s="32"/>
      <c r="U210" s="32"/>
      <c r="V210" s="32"/>
      <c r="W210" s="32"/>
      <c r="X210" s="32"/>
    </row>
    <row r="211">
      <c r="A211" s="123">
        <v>6.3E8</v>
      </c>
      <c r="B211" s="123">
        <v>4.3E8</v>
      </c>
      <c r="C211" s="123">
        <v>1.4E8</v>
      </c>
      <c r="D211" s="22">
        <v>0.41952</v>
      </c>
      <c r="E211" s="123">
        <v>6.3E8</v>
      </c>
      <c r="F211" s="22">
        <v>1183.36</v>
      </c>
      <c r="G211" s="123">
        <v>7.2E14</v>
      </c>
      <c r="H211" s="22">
        <v>2024.0</v>
      </c>
      <c r="I211" s="22" t="s">
        <v>1188</v>
      </c>
      <c r="J211" s="22">
        <v>65.0</v>
      </c>
      <c r="K211" s="22">
        <v>61.3</v>
      </c>
      <c r="L211" s="22">
        <v>23.6602</v>
      </c>
      <c r="M211" s="22">
        <v>21.6149</v>
      </c>
      <c r="N211" s="123">
        <v>1500000.0</v>
      </c>
      <c r="O211" s="22">
        <v>0.0023606</v>
      </c>
      <c r="P211" s="22">
        <v>0.6778672</v>
      </c>
      <c r="Q211" s="22">
        <v>18.77036</v>
      </c>
      <c r="R211" s="32"/>
      <c r="S211" s="32"/>
      <c r="T211" s="32"/>
      <c r="U211" s="32"/>
      <c r="V211" s="32"/>
      <c r="W211" s="32"/>
      <c r="X211" s="32"/>
    </row>
    <row r="212">
      <c r="A212" s="123">
        <v>7.1E8</v>
      </c>
      <c r="B212" s="123">
        <v>5.1E8</v>
      </c>
      <c r="C212" s="123">
        <v>1.0E8</v>
      </c>
      <c r="D212" s="22">
        <v>-0.22777</v>
      </c>
      <c r="E212" s="123">
        <v>7.1E8</v>
      </c>
      <c r="F212" s="22">
        <v>1688.97</v>
      </c>
      <c r="G212" s="123">
        <v>9.8E14</v>
      </c>
      <c r="H212" s="22">
        <v>2023.0</v>
      </c>
      <c r="I212" s="22" t="s">
        <v>1188</v>
      </c>
      <c r="J212" s="22">
        <v>61.3</v>
      </c>
      <c r="K212" s="22">
        <v>58.0</v>
      </c>
      <c r="L212" s="22">
        <v>21.6149</v>
      </c>
      <c r="M212" s="22">
        <v>18.1757</v>
      </c>
      <c r="N212" s="123">
        <v>1300000.0</v>
      </c>
      <c r="O212" s="22">
        <v>0.00188</v>
      </c>
      <c r="P212" s="22">
        <v>0.7137989</v>
      </c>
      <c r="Q212" s="22">
        <v>18.42004</v>
      </c>
      <c r="R212" s="22">
        <v>61.4333</v>
      </c>
      <c r="S212" s="32"/>
      <c r="T212" s="32"/>
      <c r="U212" s="32"/>
      <c r="V212" s="32"/>
      <c r="W212" s="32"/>
      <c r="X212" s="32"/>
    </row>
    <row r="213">
      <c r="A213" s="123">
        <v>7.5E8</v>
      </c>
      <c r="B213" s="123">
        <v>5.5E8</v>
      </c>
      <c r="C213" s="123">
        <v>1.3E8</v>
      </c>
      <c r="D213" s="22">
        <v>0.18903</v>
      </c>
      <c r="E213" s="123">
        <v>7.5E8</v>
      </c>
      <c r="F213" s="22">
        <v>1612.75</v>
      </c>
      <c r="G213" s="123">
        <v>9.0E14</v>
      </c>
      <c r="H213" s="22">
        <v>2022.0</v>
      </c>
      <c r="I213" s="22" t="s">
        <v>1188</v>
      </c>
      <c r="J213" s="22">
        <v>58.0</v>
      </c>
      <c r="K213" s="22">
        <v>55.0</v>
      </c>
      <c r="L213" s="22">
        <v>18.1757</v>
      </c>
      <c r="M213" s="22">
        <v>12.1839</v>
      </c>
      <c r="N213" s="123">
        <v>8100000.0</v>
      </c>
      <c r="O213" s="22">
        <v>0.0107672</v>
      </c>
      <c r="P213" s="22">
        <v>0.7306381</v>
      </c>
      <c r="Q213" s="22">
        <v>18.67851</v>
      </c>
      <c r="R213" s="22">
        <v>58.1</v>
      </c>
      <c r="S213" s="32"/>
      <c r="T213" s="32"/>
      <c r="U213" s="32"/>
      <c r="V213" s="32"/>
      <c r="W213" s="32"/>
      <c r="X213" s="32"/>
    </row>
    <row r="214">
      <c r="A214" s="123">
        <v>6.7E8</v>
      </c>
      <c r="B214" s="123">
        <v>4.7E8</v>
      </c>
      <c r="C214" s="123">
        <v>1.1E8</v>
      </c>
      <c r="D214" s="22">
        <v>1.5225</v>
      </c>
      <c r="E214" s="123">
        <v>6.7E8</v>
      </c>
      <c r="F214" s="22">
        <v>7707.88</v>
      </c>
      <c r="G214" s="123">
        <v>4.2E15</v>
      </c>
      <c r="H214" s="22">
        <v>2021.0</v>
      </c>
      <c r="I214" s="22" t="s">
        <v>1188</v>
      </c>
      <c r="J214" s="22">
        <v>55.0</v>
      </c>
      <c r="K214" s="22">
        <v>51.3</v>
      </c>
      <c r="L214" s="22">
        <v>12.1839</v>
      </c>
      <c r="M214" s="22">
        <v>12.2739</v>
      </c>
      <c r="N214" s="123">
        <v>1.0E7</v>
      </c>
      <c r="O214" s="22">
        <v>0.0149037</v>
      </c>
      <c r="P214" s="22">
        <v>0.7100371</v>
      </c>
      <c r="Q214" s="22">
        <v>18.50538</v>
      </c>
      <c r="R214" s="22">
        <v>54.7667</v>
      </c>
      <c r="S214" s="32"/>
      <c r="T214" s="32"/>
      <c r="U214" s="32"/>
      <c r="V214" s="32"/>
      <c r="W214" s="32"/>
      <c r="X214" s="32"/>
    </row>
    <row r="215">
      <c r="A215" s="123">
        <v>5.4E8</v>
      </c>
      <c r="B215" s="123">
        <v>3.5E8</v>
      </c>
      <c r="C215" s="123">
        <v>4.3E7</v>
      </c>
      <c r="D215" s="22">
        <v>-0.18687</v>
      </c>
      <c r="E215" s="123">
        <v>5.4E8</v>
      </c>
      <c r="F215" s="22">
        <v>1568.89</v>
      </c>
      <c r="G215" s="123">
        <v>8.0E14</v>
      </c>
      <c r="H215" s="22">
        <v>2020.0</v>
      </c>
      <c r="I215" s="22" t="s">
        <v>1188</v>
      </c>
      <c r="J215" s="22">
        <v>51.3</v>
      </c>
      <c r="K215" s="22">
        <v>46.7</v>
      </c>
      <c r="L215" s="22">
        <v>12.2739</v>
      </c>
      <c r="M215" s="22">
        <v>11.3076</v>
      </c>
      <c r="N215" s="123">
        <v>-3800000.0</v>
      </c>
      <c r="O215" s="22">
        <v>-0.0071277</v>
      </c>
      <c r="P215" s="22">
        <v>0.6561419</v>
      </c>
      <c r="Q215" s="22">
        <v>17.58013</v>
      </c>
      <c r="R215" s="22">
        <v>51.0</v>
      </c>
      <c r="S215" s="32"/>
      <c r="T215" s="32"/>
      <c r="U215" s="32"/>
      <c r="V215" s="32"/>
      <c r="W215" s="32"/>
      <c r="X215" s="32"/>
    </row>
    <row r="216">
      <c r="A216" s="123">
        <v>4.6E8</v>
      </c>
      <c r="B216" s="123">
        <v>2.8E8</v>
      </c>
      <c r="C216" s="123">
        <v>5.3E7</v>
      </c>
      <c r="D216" s="22">
        <v>0.71643</v>
      </c>
      <c r="E216" s="123">
        <v>4.6E8</v>
      </c>
      <c r="F216" s="22">
        <v>2760.82</v>
      </c>
      <c r="G216" s="123">
        <v>9.6E14</v>
      </c>
      <c r="H216" s="22">
        <v>2019.0</v>
      </c>
      <c r="I216" s="22" t="s">
        <v>1188</v>
      </c>
      <c r="J216" s="22">
        <v>46.7</v>
      </c>
      <c r="K216" s="22">
        <v>44.3</v>
      </c>
      <c r="L216" s="22">
        <v>11.3076</v>
      </c>
      <c r="M216" s="22">
        <v>11.3396</v>
      </c>
      <c r="N216" s="123">
        <v>6300000.0</v>
      </c>
      <c r="O216" s="22">
        <v>0.0135522</v>
      </c>
      <c r="P216" s="22">
        <v>0.5948588</v>
      </c>
      <c r="Q216" s="22">
        <v>17.78699</v>
      </c>
      <c r="R216" s="22">
        <v>47.4333</v>
      </c>
      <c r="S216" s="32"/>
      <c r="T216" s="32"/>
      <c r="U216" s="32"/>
      <c r="V216" s="32"/>
      <c r="W216" s="32"/>
      <c r="X216" s="32"/>
    </row>
    <row r="217">
      <c r="A217" s="123">
        <v>3.9E8</v>
      </c>
      <c r="B217" s="123">
        <v>2.1E8</v>
      </c>
      <c r="C217" s="123">
        <v>3.1E7</v>
      </c>
      <c r="D217" s="22">
        <v>0.74633</v>
      </c>
      <c r="E217" s="123">
        <v>3.9E8</v>
      </c>
      <c r="F217" s="22">
        <v>3059.66</v>
      </c>
      <c r="G217" s="123">
        <v>1.0E15</v>
      </c>
      <c r="H217" s="22">
        <v>2018.0</v>
      </c>
      <c r="I217" s="22" t="s">
        <v>1188</v>
      </c>
      <c r="J217" s="22">
        <v>44.3</v>
      </c>
      <c r="K217" s="22">
        <v>42.7</v>
      </c>
      <c r="L217" s="22">
        <v>11.3396</v>
      </c>
      <c r="M217" s="22">
        <v>12.4741</v>
      </c>
      <c r="N217" s="123">
        <v>4100000.0</v>
      </c>
      <c r="O217" s="22">
        <v>0.0104282</v>
      </c>
      <c r="P217" s="22">
        <v>0.539752</v>
      </c>
      <c r="Q217" s="22">
        <v>17.24674</v>
      </c>
      <c r="R217" s="22">
        <v>44.5667</v>
      </c>
      <c r="S217" s="32"/>
      <c r="T217" s="32"/>
      <c r="U217" s="32"/>
      <c r="V217" s="32"/>
      <c r="W217" s="32"/>
      <c r="X217" s="32"/>
    </row>
    <row r="218">
      <c r="A218" s="123">
        <v>3.2E8</v>
      </c>
      <c r="B218" s="123">
        <v>1.6E8</v>
      </c>
      <c r="C218" s="123">
        <v>1.8E7</v>
      </c>
      <c r="D218" s="22">
        <v>-0.23476</v>
      </c>
      <c r="E218" s="123">
        <v>3.2E8</v>
      </c>
      <c r="F218" s="22">
        <v>4778.19</v>
      </c>
      <c r="G218" s="123">
        <v>1.4E15</v>
      </c>
      <c r="H218" s="22">
        <v>2017.0</v>
      </c>
      <c r="I218" s="22" t="s">
        <v>1188</v>
      </c>
      <c r="J218" s="22">
        <v>42.7</v>
      </c>
      <c r="K218" s="22">
        <v>42.0</v>
      </c>
      <c r="L218" s="22">
        <v>12.4741</v>
      </c>
      <c r="M218" s="22">
        <v>14.0523</v>
      </c>
      <c r="N218" s="123">
        <v>3700000.0</v>
      </c>
      <c r="O218" s="22">
        <v>0.0117903</v>
      </c>
      <c r="P218" s="22">
        <v>0.5101866</v>
      </c>
      <c r="Q218" s="22">
        <v>16.68923</v>
      </c>
      <c r="R218" s="22">
        <v>43.0</v>
      </c>
      <c r="S218" s="32"/>
      <c r="T218" s="32"/>
      <c r="U218" s="32"/>
      <c r="V218" s="32"/>
      <c r="W218" s="32"/>
      <c r="X218" s="32"/>
    </row>
    <row r="219">
      <c r="A219" s="123">
        <v>2.9E8</v>
      </c>
      <c r="B219" s="123">
        <v>1.4E8</v>
      </c>
      <c r="C219" s="123">
        <v>2.3E7</v>
      </c>
      <c r="D219" s="22">
        <v>-0.35549</v>
      </c>
      <c r="E219" s="123">
        <v>2.9E8</v>
      </c>
      <c r="F219" s="22">
        <v>876.817</v>
      </c>
      <c r="G219" s="123">
        <v>2.5E14</v>
      </c>
      <c r="H219" s="22">
        <v>2016.0</v>
      </c>
      <c r="I219" s="22" t="s">
        <v>1188</v>
      </c>
      <c r="J219" s="22">
        <v>42.0</v>
      </c>
      <c r="K219" s="22">
        <v>39.0</v>
      </c>
      <c r="L219" s="22">
        <v>14.0523</v>
      </c>
      <c r="M219" s="22">
        <v>19.6496</v>
      </c>
      <c r="N219" s="22">
        <v>196405.0</v>
      </c>
      <c r="O219" s="22">
        <v>6.787E-4</v>
      </c>
      <c r="P219" s="22">
        <v>0.475126</v>
      </c>
      <c r="Q219" s="22">
        <v>16.9568</v>
      </c>
      <c r="R219" s="22">
        <v>41.2333</v>
      </c>
      <c r="S219" s="32"/>
      <c r="T219" s="32"/>
      <c r="U219" s="32"/>
      <c r="V219" s="32"/>
      <c r="W219" s="32"/>
      <c r="X219" s="32"/>
    </row>
    <row r="220">
      <c r="A220" s="123">
        <v>2.3E8</v>
      </c>
      <c r="B220" s="123">
        <v>1.3E8</v>
      </c>
      <c r="C220" s="123">
        <v>3.6E7</v>
      </c>
      <c r="D220" s="22">
        <v>0.2791</v>
      </c>
      <c r="E220" s="123">
        <v>2.3E8</v>
      </c>
      <c r="F220" s="22">
        <v>1661.07</v>
      </c>
      <c r="G220" s="123">
        <v>3.8E14</v>
      </c>
      <c r="H220" s="22">
        <v>2015.0</v>
      </c>
      <c r="I220" s="22" t="s">
        <v>1188</v>
      </c>
      <c r="J220" s="22">
        <v>39.0</v>
      </c>
      <c r="K220" s="22">
        <v>36.7</v>
      </c>
      <c r="L220" s="22">
        <v>19.6496</v>
      </c>
      <c r="M220" s="22">
        <v>28.8466</v>
      </c>
      <c r="N220" s="22">
        <v>76197.0</v>
      </c>
      <c r="O220" s="22">
        <v>3.282E-4</v>
      </c>
      <c r="P220" s="22">
        <v>0.5619848</v>
      </c>
      <c r="Q220" s="22">
        <v>17.39606</v>
      </c>
      <c r="R220" s="22">
        <v>39.2333</v>
      </c>
      <c r="S220" s="32"/>
      <c r="T220" s="32"/>
      <c r="U220" s="32"/>
      <c r="V220" s="32"/>
      <c r="W220" s="32"/>
      <c r="X220" s="32"/>
    </row>
    <row r="221">
      <c r="A221" s="123">
        <v>2.3E8</v>
      </c>
      <c r="B221" s="123">
        <v>1.3E8</v>
      </c>
      <c r="C221" s="123">
        <v>2.8E7</v>
      </c>
      <c r="D221" s="22">
        <v>-0.99144</v>
      </c>
      <c r="E221" s="123">
        <v>2.3E8</v>
      </c>
      <c r="F221" s="22">
        <v>2473.29</v>
      </c>
      <c r="G221" s="123">
        <v>5.6E14</v>
      </c>
      <c r="H221" s="22">
        <v>2014.0</v>
      </c>
      <c r="I221" s="22" t="s">
        <v>1188</v>
      </c>
      <c r="J221" s="22">
        <v>36.7</v>
      </c>
      <c r="K221" s="32"/>
      <c r="L221" s="22">
        <v>28.8466</v>
      </c>
      <c r="M221" s="32"/>
      <c r="N221" s="22">
        <v>604046.0</v>
      </c>
      <c r="O221" s="22">
        <v>0.0026582</v>
      </c>
      <c r="P221" s="22">
        <v>0.5528017</v>
      </c>
      <c r="Q221" s="22">
        <v>17.1499</v>
      </c>
      <c r="R221" s="32"/>
      <c r="S221" s="32"/>
      <c r="T221" s="32"/>
      <c r="U221" s="32"/>
      <c r="V221" s="32"/>
      <c r="W221" s="32"/>
      <c r="X221" s="32"/>
    </row>
    <row r="222">
      <c r="A222" s="123">
        <v>3.1E10</v>
      </c>
      <c r="B222" s="123">
        <v>1.1E10</v>
      </c>
      <c r="C222" s="123">
        <v>3.3E9</v>
      </c>
      <c r="D222" s="22">
        <v>0.57038</v>
      </c>
      <c r="E222" s="123">
        <v>3.1E10</v>
      </c>
      <c r="F222" s="22">
        <v>6441.78</v>
      </c>
      <c r="G222" s="123">
        <v>2.1E17</v>
      </c>
      <c r="H222" s="22">
        <v>2024.0</v>
      </c>
      <c r="I222" s="22" t="s">
        <v>1219</v>
      </c>
      <c r="J222" s="22">
        <v>85.3</v>
      </c>
      <c r="K222" s="22">
        <v>82.7</v>
      </c>
      <c r="L222" s="22">
        <v>23.6602</v>
      </c>
      <c r="M222" s="22">
        <v>21.6149</v>
      </c>
      <c r="N222" s="123">
        <v>8.0E8</v>
      </c>
      <c r="O222" s="22">
        <v>0.026128</v>
      </c>
      <c r="P222" s="22">
        <v>0.3675268</v>
      </c>
      <c r="Q222" s="22">
        <v>21.91068</v>
      </c>
      <c r="R222" s="32"/>
      <c r="S222" s="32"/>
      <c r="T222" s="32"/>
      <c r="U222" s="32"/>
      <c r="V222" s="32"/>
      <c r="W222" s="32"/>
      <c r="X222" s="32"/>
    </row>
    <row r="223">
      <c r="A223" s="123">
        <v>2.6E10</v>
      </c>
      <c r="B223" s="123">
        <v>1.1E10</v>
      </c>
      <c r="C223" s="123">
        <v>2.1E9</v>
      </c>
      <c r="D223" s="22">
        <v>-0.28304</v>
      </c>
      <c r="E223" s="123">
        <v>2.6E10</v>
      </c>
      <c r="F223" s="22">
        <v>5497.5</v>
      </c>
      <c r="G223" s="123">
        <v>1.5E17</v>
      </c>
      <c r="H223" s="22">
        <v>2023.0</v>
      </c>
      <c r="I223" s="22" t="s">
        <v>1219</v>
      </c>
      <c r="J223" s="22">
        <v>82.7</v>
      </c>
      <c r="K223" s="22">
        <v>80.3</v>
      </c>
      <c r="L223" s="22">
        <v>21.6149</v>
      </c>
      <c r="M223" s="22">
        <v>18.1757</v>
      </c>
      <c r="N223" s="123">
        <v>7.3E8</v>
      </c>
      <c r="O223" s="22">
        <v>0.0275483</v>
      </c>
      <c r="P223" s="22">
        <v>0.4138035</v>
      </c>
      <c r="Q223" s="22">
        <v>21.45936</v>
      </c>
      <c r="R223" s="22">
        <v>82.7667</v>
      </c>
      <c r="S223" s="32"/>
      <c r="T223" s="32"/>
      <c r="U223" s="32"/>
      <c r="V223" s="32"/>
      <c r="W223" s="32"/>
      <c r="X223" s="32"/>
    </row>
    <row r="224">
      <c r="A224" s="123">
        <v>2.2E10</v>
      </c>
      <c r="B224" s="123">
        <v>9.7E9</v>
      </c>
      <c r="C224" s="123">
        <v>2.9E9</v>
      </c>
      <c r="D224" s="22">
        <v>-0.22106</v>
      </c>
      <c r="E224" s="123">
        <v>2.2E10</v>
      </c>
      <c r="F224" s="22">
        <v>5843.7</v>
      </c>
      <c r="G224" s="123">
        <v>1.3E17</v>
      </c>
      <c r="H224" s="22">
        <v>2022.0</v>
      </c>
      <c r="I224" s="22" t="s">
        <v>1219</v>
      </c>
      <c r="J224" s="22">
        <v>80.3</v>
      </c>
      <c r="K224" s="22">
        <v>76.7</v>
      </c>
      <c r="L224" s="22">
        <v>18.1757</v>
      </c>
      <c r="M224" s="22">
        <v>12.1839</v>
      </c>
      <c r="N224" s="123">
        <v>1.1E9</v>
      </c>
      <c r="O224" s="22">
        <v>0.0502453</v>
      </c>
      <c r="P224" s="22">
        <v>0.4524167</v>
      </c>
      <c r="Q224" s="22">
        <v>21.79209</v>
      </c>
      <c r="R224" s="22">
        <v>79.9</v>
      </c>
      <c r="S224" s="32"/>
      <c r="T224" s="32"/>
      <c r="U224" s="32"/>
      <c r="V224" s="32"/>
      <c r="W224" s="32"/>
      <c r="X224" s="32"/>
    </row>
    <row r="225">
      <c r="A225" s="123">
        <v>1.4E10</v>
      </c>
      <c r="B225" s="123">
        <v>4.2E9</v>
      </c>
      <c r="C225" s="123">
        <v>3.7E9</v>
      </c>
      <c r="D225" s="22">
        <v>-0.17513</v>
      </c>
      <c r="E225" s="123">
        <v>1.4E10</v>
      </c>
      <c r="F225" s="22">
        <v>6535.72</v>
      </c>
      <c r="G225" s="123">
        <v>9.4E16</v>
      </c>
      <c r="H225" s="22">
        <v>2021.0</v>
      </c>
      <c r="I225" s="22" t="s">
        <v>1219</v>
      </c>
      <c r="J225" s="22">
        <v>76.7</v>
      </c>
      <c r="K225" s="22">
        <v>73.7</v>
      </c>
      <c r="L225" s="22">
        <v>12.1839</v>
      </c>
      <c r="M225" s="22">
        <v>12.2739</v>
      </c>
      <c r="N225" s="123">
        <v>1.2E9</v>
      </c>
      <c r="O225" s="22">
        <v>0.0838081</v>
      </c>
      <c r="P225" s="22">
        <v>0.2888458</v>
      </c>
      <c r="Q225" s="22">
        <v>22.04191</v>
      </c>
      <c r="R225" s="22">
        <v>76.9</v>
      </c>
      <c r="S225" s="32"/>
      <c r="T225" s="32"/>
      <c r="U225" s="32"/>
      <c r="V225" s="32"/>
      <c r="W225" s="32"/>
      <c r="X225" s="32"/>
    </row>
    <row r="226">
      <c r="A226" s="123">
        <v>1.4E10</v>
      </c>
      <c r="B226" s="123">
        <v>5.8E9</v>
      </c>
      <c r="C226" s="123">
        <v>4.5E9</v>
      </c>
      <c r="D226" s="22">
        <v>0.61091</v>
      </c>
      <c r="E226" s="123">
        <v>1.4E10</v>
      </c>
      <c r="F226" s="22">
        <v>7705.92</v>
      </c>
      <c r="G226" s="123">
        <v>1.1E17</v>
      </c>
      <c r="H226" s="22">
        <v>2020.0</v>
      </c>
      <c r="I226" s="22" t="s">
        <v>1219</v>
      </c>
      <c r="J226" s="22">
        <v>73.7</v>
      </c>
      <c r="K226" s="22">
        <v>68.3</v>
      </c>
      <c r="L226" s="22">
        <v>12.2739</v>
      </c>
      <c r="M226" s="22">
        <v>11.3076</v>
      </c>
      <c r="N226" s="123">
        <v>1.2E9</v>
      </c>
      <c r="O226" s="22">
        <v>0.0828497</v>
      </c>
      <c r="P226" s="22">
        <v>0.4145383</v>
      </c>
      <c r="Q226" s="22">
        <v>22.23444</v>
      </c>
      <c r="R226" s="22">
        <v>72.9</v>
      </c>
      <c r="S226" s="32"/>
      <c r="T226" s="32"/>
      <c r="U226" s="32"/>
      <c r="V226" s="32"/>
      <c r="W226" s="32"/>
      <c r="X226" s="32"/>
    </row>
    <row r="227">
      <c r="A227" s="123">
        <v>1.3E10</v>
      </c>
      <c r="B227" s="123">
        <v>5.6E9</v>
      </c>
      <c r="C227" s="123">
        <v>2.8E9</v>
      </c>
      <c r="D227" s="22">
        <v>-0.0354</v>
      </c>
      <c r="E227" s="123">
        <v>1.3E10</v>
      </c>
      <c r="F227" s="22">
        <v>6401.86</v>
      </c>
      <c r="G227" s="123">
        <v>8.5E16</v>
      </c>
      <c r="H227" s="22">
        <v>2019.0</v>
      </c>
      <c r="I227" s="22" t="s">
        <v>1219</v>
      </c>
      <c r="J227" s="22">
        <v>68.3</v>
      </c>
      <c r="K227" s="22">
        <v>63.3</v>
      </c>
      <c r="L227" s="22">
        <v>11.3076</v>
      </c>
      <c r="M227" s="22">
        <v>11.3396</v>
      </c>
      <c r="N227" s="123">
        <v>9.2E8</v>
      </c>
      <c r="O227" s="22">
        <v>0.0692645</v>
      </c>
      <c r="P227" s="22">
        <v>0.4210038</v>
      </c>
      <c r="Q227" s="22">
        <v>21.75764</v>
      </c>
      <c r="R227" s="22">
        <v>68.4333</v>
      </c>
      <c r="S227" s="32"/>
      <c r="T227" s="32"/>
      <c r="U227" s="32"/>
      <c r="V227" s="32"/>
      <c r="W227" s="32"/>
      <c r="X227" s="32"/>
    </row>
    <row r="228">
      <c r="A228" s="123">
        <v>1.0E10</v>
      </c>
      <c r="B228" s="123">
        <v>3.3E9</v>
      </c>
      <c r="C228" s="123">
        <v>2.9E9</v>
      </c>
      <c r="D228" s="22">
        <v>-0.04525</v>
      </c>
      <c r="E228" s="123">
        <v>1.0E10</v>
      </c>
      <c r="F228" s="22">
        <v>3935.76</v>
      </c>
      <c r="G228" s="123">
        <v>4.0E16</v>
      </c>
      <c r="H228" s="22">
        <v>2018.0</v>
      </c>
      <c r="I228" s="22" t="s">
        <v>1219</v>
      </c>
      <c r="J228" s="22">
        <v>63.3</v>
      </c>
      <c r="K228" s="22">
        <v>61.0</v>
      </c>
      <c r="L228" s="22">
        <v>11.3396</v>
      </c>
      <c r="M228" s="22">
        <v>12.4741</v>
      </c>
      <c r="N228" s="123">
        <v>8.1E8</v>
      </c>
      <c r="O228" s="22">
        <v>0.0791554</v>
      </c>
      <c r="P228" s="22">
        <v>0.3254233</v>
      </c>
      <c r="Q228" s="22">
        <v>21.79368</v>
      </c>
      <c r="R228" s="22">
        <v>64.2</v>
      </c>
      <c r="S228" s="32"/>
      <c r="T228" s="32"/>
      <c r="U228" s="32"/>
      <c r="V228" s="32"/>
      <c r="W228" s="32"/>
      <c r="X228" s="32"/>
    </row>
    <row r="229">
      <c r="A229" s="123">
        <v>9.7E9</v>
      </c>
      <c r="B229" s="123">
        <v>3.5E9</v>
      </c>
      <c r="C229" s="123">
        <v>3.1E9</v>
      </c>
      <c r="D229" s="22">
        <v>-0.22302</v>
      </c>
      <c r="E229" s="123">
        <v>9.7E9</v>
      </c>
      <c r="F229" s="22">
        <v>2288.24</v>
      </c>
      <c r="G229" s="123">
        <v>2.2E16</v>
      </c>
      <c r="H229" s="22">
        <v>2017.0</v>
      </c>
      <c r="I229" s="22" t="s">
        <v>1219</v>
      </c>
      <c r="J229" s="22">
        <v>61.0</v>
      </c>
      <c r="K229" s="22">
        <v>55.7</v>
      </c>
      <c r="L229" s="22">
        <v>12.4741</v>
      </c>
      <c r="M229" s="22">
        <v>14.0523</v>
      </c>
      <c r="N229" s="123">
        <v>5.6E8</v>
      </c>
      <c r="O229" s="22">
        <v>0.057519</v>
      </c>
      <c r="P229" s="22">
        <v>0.362855</v>
      </c>
      <c r="Q229" s="22">
        <v>21.83998</v>
      </c>
      <c r="R229" s="22">
        <v>60.0</v>
      </c>
      <c r="S229" s="32"/>
      <c r="T229" s="32"/>
      <c r="U229" s="32"/>
      <c r="V229" s="32"/>
      <c r="W229" s="32"/>
      <c r="X229" s="32"/>
    </row>
    <row r="230">
      <c r="A230" s="123">
        <v>7.9E9</v>
      </c>
      <c r="B230" s="123">
        <v>3.5E9</v>
      </c>
      <c r="C230" s="123">
        <v>3.9E9</v>
      </c>
      <c r="D230" s="22">
        <v>2.74463</v>
      </c>
      <c r="E230" s="123">
        <v>7.9E9</v>
      </c>
      <c r="F230" s="22">
        <v>5863.69</v>
      </c>
      <c r="G230" s="123">
        <v>4.7E16</v>
      </c>
      <c r="H230" s="22">
        <v>2016.0</v>
      </c>
      <c r="I230" s="22" t="s">
        <v>1219</v>
      </c>
      <c r="J230" s="22">
        <v>55.7</v>
      </c>
      <c r="K230" s="22">
        <v>48.3</v>
      </c>
      <c r="L230" s="22">
        <v>14.0523</v>
      </c>
      <c r="M230" s="22">
        <v>19.6496</v>
      </c>
      <c r="N230" s="123">
        <v>4.1E8</v>
      </c>
      <c r="O230" s="22">
        <v>0.0510723</v>
      </c>
      <c r="P230" s="22">
        <v>0.4459038</v>
      </c>
      <c r="Q230" s="22">
        <v>22.09232</v>
      </c>
      <c r="R230" s="22">
        <v>55.0</v>
      </c>
      <c r="S230" s="32"/>
      <c r="T230" s="32"/>
      <c r="U230" s="32"/>
      <c r="V230" s="32"/>
      <c r="W230" s="32"/>
      <c r="X230" s="32"/>
    </row>
    <row r="231">
      <c r="A231" s="123">
        <v>8.5E9</v>
      </c>
      <c r="B231" s="123">
        <v>4.4E9</v>
      </c>
      <c r="C231" s="123">
        <v>1.0E9</v>
      </c>
      <c r="D231" s="22">
        <v>0.69051</v>
      </c>
      <c r="E231" s="123">
        <v>8.5E9</v>
      </c>
      <c r="F231" s="22">
        <v>2127.26</v>
      </c>
      <c r="G231" s="123">
        <v>1.4E16</v>
      </c>
      <c r="H231" s="22">
        <v>2015.0</v>
      </c>
      <c r="I231" s="22" t="s">
        <v>1219</v>
      </c>
      <c r="J231" s="22">
        <v>48.3</v>
      </c>
      <c r="K231" s="22">
        <v>43.3</v>
      </c>
      <c r="L231" s="22">
        <v>19.6496</v>
      </c>
      <c r="M231" s="22">
        <v>28.8466</v>
      </c>
      <c r="N231" s="123">
        <v>2.7E8</v>
      </c>
      <c r="O231" s="22">
        <v>0.0314228</v>
      </c>
      <c r="P231" s="22">
        <v>0.5115235</v>
      </c>
      <c r="Q231" s="22">
        <v>20.772</v>
      </c>
      <c r="R231" s="22">
        <v>49.1</v>
      </c>
      <c r="S231" s="32"/>
      <c r="T231" s="32"/>
      <c r="U231" s="32"/>
      <c r="V231" s="32"/>
      <c r="W231" s="32"/>
      <c r="X231" s="32"/>
    </row>
    <row r="232">
      <c r="A232" s="123">
        <v>3.1E9</v>
      </c>
      <c r="B232" s="123">
        <v>1.6E9</v>
      </c>
      <c r="C232" s="123">
        <v>6.2E8</v>
      </c>
      <c r="D232" s="22">
        <v>2.87318</v>
      </c>
      <c r="E232" s="123">
        <v>3.1E9</v>
      </c>
      <c r="F232" s="22">
        <v>3468.11</v>
      </c>
      <c r="G232" s="123">
        <v>1.2E16</v>
      </c>
      <c r="H232" s="22">
        <v>2014.0</v>
      </c>
      <c r="I232" s="22" t="s">
        <v>1219</v>
      </c>
      <c r="J232" s="22">
        <v>43.3</v>
      </c>
      <c r="K232" s="32"/>
      <c r="L232" s="22">
        <v>28.8466</v>
      </c>
      <c r="M232" s="32"/>
      <c r="N232" s="123">
        <v>6.3E7</v>
      </c>
      <c r="O232" s="22">
        <v>0.0201281</v>
      </c>
      <c r="P232" s="22">
        <v>0.5077071</v>
      </c>
      <c r="Q232" s="22">
        <v>20.24697</v>
      </c>
      <c r="R232" s="32"/>
      <c r="S232" s="32"/>
      <c r="T232" s="32"/>
      <c r="U232" s="32"/>
      <c r="V232" s="32"/>
      <c r="W232" s="32"/>
      <c r="X232" s="32"/>
    </row>
    <row r="233">
      <c r="A233" s="123">
        <v>8.0E8</v>
      </c>
      <c r="B233" s="123">
        <v>2.8E8</v>
      </c>
      <c r="C233" s="123">
        <v>1.6E8</v>
      </c>
      <c r="D233" s="22">
        <v>1.19261</v>
      </c>
      <c r="E233" s="123">
        <v>8.0E8</v>
      </c>
      <c r="F233" s="22">
        <v>13264.7</v>
      </c>
      <c r="G233" s="123">
        <v>1.1E16</v>
      </c>
      <c r="H233" s="22">
        <v>2024.0</v>
      </c>
      <c r="I233" s="22" t="s">
        <v>1220</v>
      </c>
      <c r="J233" s="22">
        <v>59.3</v>
      </c>
      <c r="K233" s="22">
        <v>56.3</v>
      </c>
      <c r="L233" s="22">
        <v>23.6602</v>
      </c>
      <c r="M233" s="22">
        <v>21.6149</v>
      </c>
      <c r="N233" s="123">
        <v>6.3E7</v>
      </c>
      <c r="O233" s="22">
        <v>0.0786886</v>
      </c>
      <c r="P233" s="22">
        <v>0.3555242</v>
      </c>
      <c r="Q233" s="22">
        <v>18.89289</v>
      </c>
      <c r="R233" s="32"/>
      <c r="S233" s="32"/>
      <c r="T233" s="32"/>
      <c r="U233" s="32"/>
      <c r="V233" s="32"/>
      <c r="W233" s="32"/>
      <c r="X233" s="32"/>
    </row>
    <row r="234">
      <c r="A234" s="123">
        <v>6.8E8</v>
      </c>
      <c r="B234" s="123">
        <v>2.5E8</v>
      </c>
      <c r="C234" s="123">
        <v>7.3E7</v>
      </c>
      <c r="D234" s="22">
        <v>-0.32456</v>
      </c>
      <c r="E234" s="123">
        <v>6.8E8</v>
      </c>
      <c r="F234" s="22">
        <v>9191.49</v>
      </c>
      <c r="G234" s="123">
        <v>6.5E15</v>
      </c>
      <c r="H234" s="22">
        <v>2023.0</v>
      </c>
      <c r="I234" s="22" t="s">
        <v>1220</v>
      </c>
      <c r="J234" s="22">
        <v>56.3</v>
      </c>
      <c r="K234" s="22">
        <v>54.0</v>
      </c>
      <c r="L234" s="22">
        <v>21.6149</v>
      </c>
      <c r="M234" s="22">
        <v>18.1757</v>
      </c>
      <c r="N234" s="123">
        <v>5900000.0</v>
      </c>
      <c r="O234" s="22">
        <v>0.008607</v>
      </c>
      <c r="P234" s="22">
        <v>0.3675779</v>
      </c>
      <c r="Q234" s="22">
        <v>18.1078</v>
      </c>
      <c r="R234" s="22">
        <v>56.5333</v>
      </c>
      <c r="S234" s="32"/>
      <c r="T234" s="32"/>
      <c r="U234" s="32"/>
      <c r="V234" s="32"/>
      <c r="W234" s="32"/>
      <c r="X234" s="32"/>
    </row>
    <row r="235">
      <c r="A235" s="123">
        <v>7.0E8</v>
      </c>
      <c r="B235" s="123">
        <v>2.7E8</v>
      </c>
      <c r="C235" s="123">
        <v>1.1E8</v>
      </c>
      <c r="D235" s="22">
        <v>-0.11595</v>
      </c>
      <c r="E235" s="123">
        <v>7.0E8</v>
      </c>
      <c r="F235" s="22">
        <v>4233.24</v>
      </c>
      <c r="G235" s="123">
        <v>2.9E15</v>
      </c>
      <c r="H235" s="22">
        <v>2022.0</v>
      </c>
      <c r="I235" s="22" t="s">
        <v>1220</v>
      </c>
      <c r="J235" s="22">
        <v>54.0</v>
      </c>
      <c r="K235" s="22">
        <v>50.3</v>
      </c>
      <c r="L235" s="22">
        <v>18.1757</v>
      </c>
      <c r="M235" s="22">
        <v>12.1839</v>
      </c>
      <c r="N235" s="123">
        <v>1900000.0</v>
      </c>
      <c r="O235" s="22">
        <v>0.002686</v>
      </c>
      <c r="P235" s="22">
        <v>0.3872822</v>
      </c>
      <c r="Q235" s="22">
        <v>18.50019</v>
      </c>
      <c r="R235" s="22">
        <v>53.5333</v>
      </c>
      <c r="S235" s="32"/>
      <c r="T235" s="32"/>
      <c r="U235" s="32"/>
      <c r="V235" s="32"/>
      <c r="W235" s="32"/>
      <c r="X235" s="32"/>
    </row>
    <row r="236">
      <c r="A236" s="123">
        <v>5.1E8</v>
      </c>
      <c r="B236" s="123">
        <v>2.2E8</v>
      </c>
      <c r="C236" s="123">
        <v>1.2E8</v>
      </c>
      <c r="D236" s="22">
        <v>-0.24194</v>
      </c>
      <c r="E236" s="123">
        <v>5.1E8</v>
      </c>
      <c r="F236" s="22">
        <v>18615.0</v>
      </c>
      <c r="G236" s="123">
        <v>1.2E16</v>
      </c>
      <c r="H236" s="22">
        <v>2021.0</v>
      </c>
      <c r="I236" s="22" t="s">
        <v>1220</v>
      </c>
      <c r="J236" s="22">
        <v>50.3</v>
      </c>
      <c r="K236" s="22">
        <v>45.7</v>
      </c>
      <c r="L236" s="22">
        <v>12.1839</v>
      </c>
      <c r="M236" s="22">
        <v>12.2739</v>
      </c>
      <c r="N236" s="123">
        <v>2400000.0</v>
      </c>
      <c r="O236" s="22">
        <v>0.0047109</v>
      </c>
      <c r="P236" s="22">
        <v>0.438036</v>
      </c>
      <c r="Q236" s="22">
        <v>18.62344</v>
      </c>
      <c r="R236" s="22">
        <v>50.0</v>
      </c>
      <c r="S236" s="32"/>
      <c r="T236" s="32"/>
      <c r="U236" s="32"/>
      <c r="V236" s="32"/>
      <c r="W236" s="32"/>
      <c r="X236" s="32"/>
    </row>
    <row r="237">
      <c r="A237" s="123">
        <v>3.2E8</v>
      </c>
      <c r="B237" s="123">
        <v>3.5E7</v>
      </c>
      <c r="C237" s="123">
        <v>1.6E8</v>
      </c>
      <c r="D237" s="22">
        <v>-0.04967</v>
      </c>
      <c r="E237" s="123">
        <v>3.2E8</v>
      </c>
      <c r="F237" s="22">
        <v>3734.48</v>
      </c>
      <c r="G237" s="123">
        <v>2.1E15</v>
      </c>
      <c r="H237" s="22">
        <v>2020.0</v>
      </c>
      <c r="I237" s="22" t="s">
        <v>1220</v>
      </c>
      <c r="J237" s="22">
        <v>45.7</v>
      </c>
      <c r="K237" s="22">
        <v>43.3</v>
      </c>
      <c r="L237" s="22">
        <v>12.2739</v>
      </c>
      <c r="M237" s="22">
        <v>11.3076</v>
      </c>
      <c r="N237" s="123">
        <v>3.6E7</v>
      </c>
      <c r="O237" s="22">
        <v>0.1134426</v>
      </c>
      <c r="P237" s="22">
        <v>0.1111233</v>
      </c>
      <c r="Q237" s="22">
        <v>18.90043</v>
      </c>
      <c r="R237" s="22">
        <v>46.4333</v>
      </c>
      <c r="S237" s="32"/>
      <c r="T237" s="32"/>
      <c r="U237" s="32"/>
      <c r="V237" s="32"/>
      <c r="W237" s="32"/>
      <c r="X237" s="32"/>
    </row>
    <row r="238">
      <c r="A238" s="123">
        <v>2.7E8</v>
      </c>
      <c r="B238" s="123">
        <v>2.3E7</v>
      </c>
      <c r="C238" s="123">
        <v>1.7E8</v>
      </c>
      <c r="D238" s="22">
        <v>0.62419</v>
      </c>
      <c r="E238" s="123">
        <v>2.7E8</v>
      </c>
      <c r="F238" s="22">
        <v>801.993</v>
      </c>
      <c r="G238" s="123">
        <v>4.3E14</v>
      </c>
      <c r="H238" s="22">
        <v>2019.0</v>
      </c>
      <c r="I238" s="22" t="s">
        <v>1220</v>
      </c>
      <c r="J238" s="22">
        <v>43.3</v>
      </c>
      <c r="K238" s="22">
        <v>40.7</v>
      </c>
      <c r="L238" s="22">
        <v>11.3076</v>
      </c>
      <c r="M238" s="22">
        <v>11.3396</v>
      </c>
      <c r="N238" s="123">
        <v>6.8E7</v>
      </c>
      <c r="O238" s="22">
        <v>0.2538481</v>
      </c>
      <c r="P238" s="22">
        <v>0.0838525</v>
      </c>
      <c r="Q238" s="22">
        <v>18.95138</v>
      </c>
      <c r="R238" s="22">
        <v>43.2333</v>
      </c>
      <c r="S238" s="32"/>
      <c r="T238" s="32"/>
      <c r="U238" s="32"/>
      <c r="V238" s="32"/>
      <c r="W238" s="32"/>
      <c r="X238" s="32"/>
    </row>
    <row r="239">
      <c r="A239" s="123">
        <v>1.9E8</v>
      </c>
      <c r="B239" s="123">
        <v>9400000.0</v>
      </c>
      <c r="C239" s="123">
        <v>1.0E8</v>
      </c>
      <c r="D239" s="22">
        <v>0.13296</v>
      </c>
      <c r="E239" s="123">
        <v>1.9E8</v>
      </c>
      <c r="F239" s="22">
        <v>787.91</v>
      </c>
      <c r="G239" s="123">
        <v>3.1E14</v>
      </c>
      <c r="H239" s="22">
        <v>2018.0</v>
      </c>
      <c r="I239" s="22" t="s">
        <v>1220</v>
      </c>
      <c r="J239" s="22">
        <v>40.7</v>
      </c>
      <c r="K239" s="22">
        <v>39.0</v>
      </c>
      <c r="L239" s="22">
        <v>11.3396</v>
      </c>
      <c r="M239" s="22">
        <v>12.4741</v>
      </c>
      <c r="N239" s="123">
        <v>2.7E7</v>
      </c>
      <c r="O239" s="22">
        <v>0.1458979</v>
      </c>
      <c r="P239" s="22">
        <v>0.0501109</v>
      </c>
      <c r="Q239" s="22">
        <v>18.46637</v>
      </c>
      <c r="R239" s="22">
        <v>41.0</v>
      </c>
      <c r="S239" s="32"/>
      <c r="T239" s="32"/>
      <c r="U239" s="32"/>
      <c r="V239" s="32"/>
      <c r="W239" s="32"/>
      <c r="X239" s="32"/>
    </row>
    <row r="240">
      <c r="A240" s="123">
        <v>1.6E8</v>
      </c>
      <c r="B240" s="123">
        <v>7200000.0</v>
      </c>
      <c r="C240" s="123">
        <v>9.2E7</v>
      </c>
      <c r="D240" s="22">
        <v>-0.38277</v>
      </c>
      <c r="E240" s="123">
        <v>1.6E8</v>
      </c>
      <c r="F240" s="22">
        <v>1044.13</v>
      </c>
      <c r="G240" s="123">
        <v>4.1E14</v>
      </c>
      <c r="H240" s="22">
        <v>2017.0</v>
      </c>
      <c r="I240" s="22" t="s">
        <v>1220</v>
      </c>
      <c r="J240" s="22">
        <v>39.0</v>
      </c>
      <c r="K240" s="22">
        <v>37.7</v>
      </c>
      <c r="L240" s="22">
        <v>12.4741</v>
      </c>
      <c r="M240" s="22">
        <v>14.0523</v>
      </c>
      <c r="N240" s="123">
        <v>2.3E7</v>
      </c>
      <c r="O240" s="22">
        <v>0.1469781</v>
      </c>
      <c r="P240" s="22">
        <v>0.0454678</v>
      </c>
      <c r="Q240" s="22">
        <v>18.34154</v>
      </c>
      <c r="R240" s="22">
        <v>39.1333</v>
      </c>
      <c r="S240" s="32"/>
      <c r="T240" s="32"/>
      <c r="U240" s="32"/>
      <c r="V240" s="32"/>
      <c r="W240" s="32"/>
      <c r="X240" s="32"/>
    </row>
    <row r="241">
      <c r="A241" s="123">
        <v>1.4E8</v>
      </c>
      <c r="B241" s="123">
        <v>1.1E7</v>
      </c>
      <c r="C241" s="123">
        <v>1.5E8</v>
      </c>
      <c r="D241" s="22">
        <v>0.00691</v>
      </c>
      <c r="E241" s="123">
        <v>1.4E8</v>
      </c>
      <c r="F241" s="22">
        <v>1347.68</v>
      </c>
      <c r="G241" s="123">
        <v>3.8E14</v>
      </c>
      <c r="H241" s="22">
        <v>2016.0</v>
      </c>
      <c r="I241" s="22" t="s">
        <v>1220</v>
      </c>
      <c r="J241" s="22">
        <v>37.7</v>
      </c>
      <c r="K241" s="22">
        <v>36.6</v>
      </c>
      <c r="L241" s="22">
        <v>14.0523</v>
      </c>
      <c r="M241" s="22">
        <v>19.6496</v>
      </c>
      <c r="N241" s="123">
        <v>1.6E7</v>
      </c>
      <c r="O241" s="22">
        <v>0.1137686</v>
      </c>
      <c r="P241" s="22">
        <v>0.0733761</v>
      </c>
      <c r="Q241" s="22">
        <v>18.82406</v>
      </c>
      <c r="R241" s="22">
        <v>37.7667</v>
      </c>
      <c r="S241" s="32"/>
      <c r="T241" s="32"/>
      <c r="U241" s="32"/>
      <c r="V241" s="32"/>
      <c r="W241" s="32"/>
      <c r="X241" s="32"/>
    </row>
    <row r="242">
      <c r="A242" s="123">
        <v>1.9E8</v>
      </c>
      <c r="B242" s="123">
        <v>6.1E7</v>
      </c>
      <c r="C242" s="123">
        <v>1.5E8</v>
      </c>
      <c r="D242" s="22">
        <v>1.58287</v>
      </c>
      <c r="E242" s="123">
        <v>1.9E8</v>
      </c>
      <c r="F242" s="22">
        <v>933.07</v>
      </c>
      <c r="G242" s="123">
        <v>1.8E14</v>
      </c>
      <c r="H242" s="22">
        <v>2015.0</v>
      </c>
      <c r="I242" s="22" t="s">
        <v>1220</v>
      </c>
      <c r="J242" s="22">
        <v>36.6</v>
      </c>
      <c r="K242" s="22">
        <v>31.7</v>
      </c>
      <c r="L242" s="22">
        <v>19.6496</v>
      </c>
      <c r="M242" s="22">
        <v>28.8466</v>
      </c>
      <c r="N242" s="123">
        <v>1.8E7</v>
      </c>
      <c r="O242" s="22">
        <v>0.0943067</v>
      </c>
      <c r="P242" s="22">
        <v>0.3207643</v>
      </c>
      <c r="Q242" s="22">
        <v>18.81717</v>
      </c>
      <c r="R242" s="22">
        <v>35.3333</v>
      </c>
      <c r="S242" s="32"/>
      <c r="T242" s="32"/>
      <c r="U242" s="32"/>
      <c r="V242" s="32"/>
      <c r="W242" s="32"/>
      <c r="X242" s="32"/>
    </row>
    <row r="243">
      <c r="A243" s="123">
        <v>1.2E8</v>
      </c>
      <c r="B243" s="123">
        <v>2.5E7</v>
      </c>
      <c r="C243" s="123">
        <v>5.8E7</v>
      </c>
      <c r="D243" s="22">
        <v>-0.95395</v>
      </c>
      <c r="E243" s="123">
        <v>1.2E8</v>
      </c>
      <c r="F243" s="22">
        <v>783.065</v>
      </c>
      <c r="G243" s="123">
        <v>1.4E14</v>
      </c>
      <c r="H243" s="22">
        <v>2014.0</v>
      </c>
      <c r="I243" s="22" t="s">
        <v>1220</v>
      </c>
      <c r="J243" s="22">
        <v>31.7</v>
      </c>
      <c r="K243" s="32"/>
      <c r="L243" s="22">
        <v>28.8466</v>
      </c>
      <c r="M243" s="32"/>
      <c r="N243" s="123">
        <v>5500000.0</v>
      </c>
      <c r="O243" s="22">
        <v>0.0450726</v>
      </c>
      <c r="P243" s="22">
        <v>0.2030983</v>
      </c>
      <c r="Q243" s="22">
        <v>17.86827</v>
      </c>
      <c r="R243" s="32"/>
      <c r="S243" s="32"/>
      <c r="T243" s="32"/>
      <c r="U243" s="32"/>
      <c r="V243" s="32"/>
      <c r="W243" s="32"/>
      <c r="X243" s="32"/>
    </row>
    <row r="244">
      <c r="A244" s="123">
        <v>1.2E9</v>
      </c>
      <c r="B244" s="123">
        <v>7.8E8</v>
      </c>
      <c r="C244" s="123">
        <v>1.2E9</v>
      </c>
      <c r="D244" s="22">
        <v>-0.64733</v>
      </c>
      <c r="E244" s="123">
        <v>1.2E9</v>
      </c>
      <c r="F244" s="22">
        <v>213.407</v>
      </c>
      <c r="G244" s="123">
        <v>2.5E11</v>
      </c>
      <c r="H244" s="22">
        <v>2024.0</v>
      </c>
      <c r="I244" s="22" t="s">
        <v>1224</v>
      </c>
      <c r="J244" s="22">
        <v>71.3</v>
      </c>
      <c r="K244" s="22">
        <v>68.6</v>
      </c>
      <c r="L244" s="22">
        <v>23.6602</v>
      </c>
      <c r="M244" s="22">
        <v>21.6149</v>
      </c>
      <c r="N244" s="123">
        <v>2.4E7</v>
      </c>
      <c r="O244" s="22">
        <v>0.0196689</v>
      </c>
      <c r="P244" s="22">
        <v>0.65205</v>
      </c>
      <c r="Q244" s="22">
        <v>20.9463</v>
      </c>
      <c r="R244" s="32"/>
      <c r="S244" s="32"/>
      <c r="T244" s="32"/>
      <c r="U244" s="32"/>
      <c r="V244" s="32"/>
      <c r="W244" s="32"/>
      <c r="X244" s="32"/>
    </row>
    <row r="245">
      <c r="A245" s="123">
        <v>1.9E9</v>
      </c>
      <c r="B245" s="123">
        <v>1.4E9</v>
      </c>
      <c r="C245" s="123">
        <v>3.5E9</v>
      </c>
      <c r="D245" s="22">
        <v>-0.49898</v>
      </c>
      <c r="E245" s="123">
        <v>1.9E9</v>
      </c>
      <c r="F245" s="22">
        <v>127.668</v>
      </c>
      <c r="G245" s="123">
        <v>2.4E11</v>
      </c>
      <c r="H245" s="22">
        <v>2023.0</v>
      </c>
      <c r="I245" s="22" t="s">
        <v>1224</v>
      </c>
      <c r="J245" s="22">
        <v>68.6</v>
      </c>
      <c r="K245" s="22">
        <v>64.3</v>
      </c>
      <c r="L245" s="22">
        <v>21.6149</v>
      </c>
      <c r="M245" s="22">
        <v>18.1757</v>
      </c>
      <c r="N245" s="123">
        <v>3.1E7</v>
      </c>
      <c r="O245" s="22">
        <v>0.0168065</v>
      </c>
      <c r="P245" s="22">
        <v>0.7715374</v>
      </c>
      <c r="Q245" s="22">
        <v>21.98852</v>
      </c>
      <c r="R245" s="22">
        <v>68.0667</v>
      </c>
      <c r="S245" s="32"/>
      <c r="T245" s="32"/>
      <c r="U245" s="32"/>
      <c r="V245" s="32"/>
      <c r="W245" s="32"/>
      <c r="X245" s="32"/>
    </row>
    <row r="246">
      <c r="A246" s="123">
        <v>3.1E9</v>
      </c>
      <c r="B246" s="123">
        <v>2.6E9</v>
      </c>
      <c r="C246" s="123">
        <v>7.1E9</v>
      </c>
      <c r="D246" s="22">
        <v>-0.42547</v>
      </c>
      <c r="E246" s="123">
        <v>3.1E9</v>
      </c>
      <c r="F246" s="22">
        <v>86.979</v>
      </c>
      <c r="G246" s="123">
        <v>2.6E11</v>
      </c>
      <c r="H246" s="22">
        <v>2022.0</v>
      </c>
      <c r="I246" s="22" t="s">
        <v>1224</v>
      </c>
      <c r="J246" s="22">
        <v>64.3</v>
      </c>
      <c r="K246" s="22">
        <v>60.0</v>
      </c>
      <c r="L246" s="22">
        <v>18.1757</v>
      </c>
      <c r="M246" s="22">
        <v>12.1839</v>
      </c>
      <c r="N246" s="123">
        <v>3.5E7</v>
      </c>
      <c r="O246" s="22">
        <v>0.0115127</v>
      </c>
      <c r="P246" s="22">
        <v>0.8628789</v>
      </c>
      <c r="Q246" s="22">
        <v>22.67962</v>
      </c>
      <c r="R246" s="22">
        <v>64.3</v>
      </c>
      <c r="S246" s="32"/>
      <c r="T246" s="32"/>
      <c r="U246" s="32"/>
      <c r="V246" s="32"/>
      <c r="W246" s="32"/>
      <c r="X246" s="32"/>
    </row>
    <row r="247">
      <c r="A247" s="123">
        <v>5.5E9</v>
      </c>
      <c r="B247" s="123">
        <v>5.1E9</v>
      </c>
      <c r="C247" s="123">
        <v>1.2E10</v>
      </c>
      <c r="D247" s="22">
        <v>-0.32138</v>
      </c>
      <c r="E247" s="123">
        <v>5.5E9</v>
      </c>
      <c r="F247" s="22">
        <v>77.2345</v>
      </c>
      <c r="G247" s="123">
        <v>4.2E11</v>
      </c>
      <c r="H247" s="22">
        <v>2021.0</v>
      </c>
      <c r="I247" s="22" t="s">
        <v>1224</v>
      </c>
      <c r="J247" s="22">
        <v>60.0</v>
      </c>
      <c r="K247" s="22">
        <v>60.3</v>
      </c>
      <c r="L247" s="22">
        <v>12.1839</v>
      </c>
      <c r="M247" s="22">
        <v>12.2739</v>
      </c>
      <c r="N247" s="123">
        <v>2.1E7</v>
      </c>
      <c r="O247" s="22">
        <v>0.0037316</v>
      </c>
      <c r="P247" s="22">
        <v>0.9279854</v>
      </c>
      <c r="Q247" s="22">
        <v>23.23383</v>
      </c>
      <c r="R247" s="22">
        <v>61.5333</v>
      </c>
      <c r="S247" s="32"/>
      <c r="T247" s="32"/>
      <c r="U247" s="32"/>
      <c r="V247" s="32"/>
      <c r="W247" s="32"/>
      <c r="X247" s="32"/>
    </row>
    <row r="248">
      <c r="A248" s="123">
        <v>8.3E9</v>
      </c>
      <c r="B248" s="123">
        <v>7.9E9</v>
      </c>
      <c r="C248" s="123">
        <v>1.8E10</v>
      </c>
      <c r="D248" s="22">
        <v>-0.0053</v>
      </c>
      <c r="E248" s="123">
        <v>8.3E9</v>
      </c>
      <c r="F248" s="22">
        <v>29.874</v>
      </c>
      <c r="G248" s="123">
        <v>2.4E11</v>
      </c>
      <c r="H248" s="22">
        <v>2020.0</v>
      </c>
      <c r="I248" s="22" t="s">
        <v>1224</v>
      </c>
      <c r="J248" s="22">
        <v>60.3</v>
      </c>
      <c r="K248" s="22">
        <v>58.0</v>
      </c>
      <c r="L248" s="22">
        <v>12.2739</v>
      </c>
      <c r="M248" s="22">
        <v>11.3076</v>
      </c>
      <c r="N248" s="123">
        <v>3.7E7</v>
      </c>
      <c r="O248" s="22">
        <v>0.0044968</v>
      </c>
      <c r="P248" s="22">
        <v>0.9562017</v>
      </c>
      <c r="Q248" s="22">
        <v>23.62152</v>
      </c>
      <c r="R248" s="22">
        <v>59.4333</v>
      </c>
      <c r="S248" s="32"/>
      <c r="T248" s="32"/>
      <c r="U248" s="32"/>
      <c r="V248" s="32"/>
      <c r="W248" s="32"/>
      <c r="X248" s="32"/>
    </row>
    <row r="249">
      <c r="A249" s="123">
        <v>9.0E9</v>
      </c>
      <c r="B249" s="123">
        <v>8.7E9</v>
      </c>
      <c r="C249" s="123">
        <v>1.8E10</v>
      </c>
      <c r="D249" s="22">
        <v>0.20153</v>
      </c>
      <c r="E249" s="123">
        <v>9.0E9</v>
      </c>
      <c r="F249" s="22">
        <v>29.2292</v>
      </c>
      <c r="G249" s="123">
        <v>2.5E11</v>
      </c>
      <c r="H249" s="22">
        <v>2019.0</v>
      </c>
      <c r="I249" s="22" t="s">
        <v>1224</v>
      </c>
      <c r="J249" s="22">
        <v>58.0</v>
      </c>
      <c r="K249" s="22">
        <v>54.3</v>
      </c>
      <c r="L249" s="22">
        <v>11.3076</v>
      </c>
      <c r="M249" s="22">
        <v>11.3396</v>
      </c>
      <c r="N249" s="123">
        <v>3.2E7</v>
      </c>
      <c r="O249" s="22">
        <v>0.0035535</v>
      </c>
      <c r="P249" s="22">
        <v>0.9622722</v>
      </c>
      <c r="Q249" s="22">
        <v>23.62684</v>
      </c>
      <c r="R249" s="22">
        <v>57.5333</v>
      </c>
      <c r="S249" s="32"/>
      <c r="T249" s="32"/>
      <c r="U249" s="32"/>
      <c r="V249" s="32"/>
      <c r="W249" s="32"/>
      <c r="X249" s="32"/>
    </row>
    <row r="250">
      <c r="A250" s="123">
        <v>9.7E9</v>
      </c>
      <c r="B250" s="123">
        <v>9.4E9</v>
      </c>
      <c r="C250" s="123">
        <v>1.5E10</v>
      </c>
      <c r="D250" s="22">
        <v>0.03915</v>
      </c>
      <c r="E250" s="123">
        <v>9.7E9</v>
      </c>
      <c r="F250" s="22">
        <v>21.8249</v>
      </c>
      <c r="G250" s="123">
        <v>2.0E11</v>
      </c>
      <c r="H250" s="22">
        <v>2018.0</v>
      </c>
      <c r="I250" s="22" t="s">
        <v>1224</v>
      </c>
      <c r="J250" s="22">
        <v>54.3</v>
      </c>
      <c r="K250" s="22">
        <v>52.3</v>
      </c>
      <c r="L250" s="22">
        <v>11.3396</v>
      </c>
      <c r="M250" s="22">
        <v>12.4741</v>
      </c>
      <c r="N250" s="123">
        <v>3.3E7</v>
      </c>
      <c r="O250" s="22">
        <v>0.0033479</v>
      </c>
      <c r="P250" s="22">
        <v>0.9650412</v>
      </c>
      <c r="Q250" s="22">
        <v>23.44324</v>
      </c>
      <c r="R250" s="22">
        <v>54.8667</v>
      </c>
      <c r="S250" s="32"/>
      <c r="T250" s="32"/>
      <c r="U250" s="32"/>
      <c r="V250" s="32"/>
      <c r="W250" s="32"/>
      <c r="X250" s="32"/>
    </row>
    <row r="251">
      <c r="A251" s="123">
        <v>9.5E9</v>
      </c>
      <c r="B251" s="123">
        <v>9.1E9</v>
      </c>
      <c r="C251" s="123">
        <v>1.5E10</v>
      </c>
      <c r="D251" s="22">
        <v>0.12437</v>
      </c>
      <c r="E251" s="123">
        <v>9.5E9</v>
      </c>
      <c r="F251" s="22">
        <v>19.4704</v>
      </c>
      <c r="G251" s="123">
        <v>1.8E11</v>
      </c>
      <c r="H251" s="22">
        <v>2017.0</v>
      </c>
      <c r="I251" s="22" t="s">
        <v>1224</v>
      </c>
      <c r="J251" s="22">
        <v>52.3</v>
      </c>
      <c r="K251" s="22">
        <v>49.7</v>
      </c>
      <c r="L251" s="22">
        <v>12.4741</v>
      </c>
      <c r="M251" s="22">
        <v>14.0523</v>
      </c>
      <c r="N251" s="123">
        <v>3.1E7</v>
      </c>
      <c r="O251" s="22">
        <v>0.0032702</v>
      </c>
      <c r="P251" s="22">
        <v>0.9640096</v>
      </c>
      <c r="Q251" s="22">
        <v>23.40484</v>
      </c>
      <c r="R251" s="22">
        <v>52.1</v>
      </c>
      <c r="S251" s="32"/>
      <c r="T251" s="32"/>
      <c r="U251" s="32"/>
      <c r="V251" s="32"/>
      <c r="W251" s="32"/>
      <c r="X251" s="32"/>
    </row>
    <row r="252">
      <c r="A252" s="123">
        <v>7.7E9</v>
      </c>
      <c r="B252" s="123">
        <v>7.4E9</v>
      </c>
      <c r="C252" s="123">
        <v>1.3E10</v>
      </c>
      <c r="D252" s="22">
        <v>0.10595</v>
      </c>
      <c r="E252" s="123">
        <v>7.7E9</v>
      </c>
      <c r="F252" s="22">
        <v>19.9003</v>
      </c>
      <c r="G252" s="123">
        <v>1.5E11</v>
      </c>
      <c r="H252" s="22">
        <v>2016.0</v>
      </c>
      <c r="I252" s="22" t="s">
        <v>1224</v>
      </c>
      <c r="J252" s="22">
        <v>49.7</v>
      </c>
      <c r="K252" s="22">
        <v>48.3</v>
      </c>
      <c r="L252" s="22">
        <v>14.0523</v>
      </c>
      <c r="M252" s="22">
        <v>19.6496</v>
      </c>
      <c r="N252" s="123">
        <v>2.5E7</v>
      </c>
      <c r="O252" s="22">
        <v>0.0032114</v>
      </c>
      <c r="P252" s="22">
        <v>0.9650876</v>
      </c>
      <c r="Q252" s="22">
        <v>23.28762</v>
      </c>
      <c r="R252" s="22">
        <v>50.1</v>
      </c>
      <c r="S252" s="32"/>
      <c r="T252" s="32"/>
      <c r="U252" s="32"/>
      <c r="V252" s="32"/>
      <c r="W252" s="32"/>
      <c r="X252" s="32"/>
    </row>
    <row r="253">
      <c r="A253" s="123">
        <v>6.4E9</v>
      </c>
      <c r="B253" s="123">
        <v>6.2E9</v>
      </c>
      <c r="C253" s="123">
        <v>1.2E10</v>
      </c>
      <c r="D253" s="22">
        <v>0.03345</v>
      </c>
      <c r="E253" s="123">
        <v>6.4E9</v>
      </c>
      <c r="F253" s="22">
        <v>20.7752</v>
      </c>
      <c r="G253" s="123">
        <v>1.3E11</v>
      </c>
      <c r="H253" s="22">
        <v>2015.0</v>
      </c>
      <c r="I253" s="22" t="s">
        <v>1224</v>
      </c>
      <c r="J253" s="22">
        <v>48.3</v>
      </c>
      <c r="K253" s="22">
        <v>42.3</v>
      </c>
      <c r="L253" s="22">
        <v>19.6496</v>
      </c>
      <c r="M253" s="22">
        <v>28.8466</v>
      </c>
      <c r="N253" s="123">
        <v>2.3E7</v>
      </c>
      <c r="O253" s="22">
        <v>0.0035929</v>
      </c>
      <c r="P253" s="22">
        <v>0.9705893</v>
      </c>
      <c r="Q253" s="22">
        <v>23.18691</v>
      </c>
      <c r="R253" s="22">
        <v>46.7667</v>
      </c>
      <c r="S253" s="32"/>
      <c r="T253" s="32"/>
      <c r="U253" s="32"/>
      <c r="V253" s="32"/>
      <c r="W253" s="32"/>
      <c r="X253" s="32"/>
    </row>
    <row r="254">
      <c r="A254" s="123">
        <v>5.8E9</v>
      </c>
      <c r="B254" s="123">
        <v>5.6E9</v>
      </c>
      <c r="C254" s="123">
        <v>1.1E10</v>
      </c>
      <c r="D254" s="22">
        <v>1.03858</v>
      </c>
      <c r="E254" s="123">
        <v>5.8E9</v>
      </c>
      <c r="F254" s="22">
        <v>13.9546</v>
      </c>
      <c r="G254" s="123">
        <v>7.6E10</v>
      </c>
      <c r="H254" s="22">
        <v>2014.0</v>
      </c>
      <c r="I254" s="22" t="s">
        <v>1224</v>
      </c>
      <c r="J254" s="22">
        <v>42.3</v>
      </c>
      <c r="K254" s="32"/>
      <c r="L254" s="22">
        <v>28.8466</v>
      </c>
      <c r="M254" s="32"/>
      <c r="N254" s="123">
        <v>3.0E7</v>
      </c>
      <c r="O254" s="22">
        <v>0.0052057</v>
      </c>
      <c r="P254" s="22">
        <v>0.9678675</v>
      </c>
      <c r="Q254" s="22">
        <v>23.15401</v>
      </c>
      <c r="R254" s="32"/>
      <c r="S254" s="32"/>
      <c r="T254" s="32"/>
      <c r="U254" s="32"/>
      <c r="V254" s="32"/>
      <c r="W254" s="32"/>
      <c r="X254" s="32"/>
    </row>
    <row r="255">
      <c r="A255" s="123">
        <v>2.9E9</v>
      </c>
      <c r="B255" s="123">
        <v>9.0E8</v>
      </c>
      <c r="C255" s="123">
        <v>5.6E9</v>
      </c>
      <c r="D255" s="22">
        <v>0.74939</v>
      </c>
      <c r="E255" s="123">
        <v>2.9E9</v>
      </c>
      <c r="F255" s="22">
        <v>766.552</v>
      </c>
      <c r="G255" s="123">
        <v>2.2E12</v>
      </c>
      <c r="H255" s="22">
        <v>2024.0</v>
      </c>
      <c r="I255" s="22" t="s">
        <v>1280</v>
      </c>
      <c r="J255" s="22">
        <v>64.1</v>
      </c>
      <c r="K255" s="22">
        <v>60.0</v>
      </c>
      <c r="L255" s="22">
        <v>23.6602</v>
      </c>
      <c r="M255" s="22">
        <v>21.6149</v>
      </c>
      <c r="N255" s="123">
        <v>3.4E8</v>
      </c>
      <c r="O255" s="22">
        <v>0.1159575</v>
      </c>
      <c r="P255" s="22">
        <v>0.3120745</v>
      </c>
      <c r="Q255" s="22">
        <v>22.44176</v>
      </c>
      <c r="R255" s="32"/>
      <c r="S255" s="32"/>
      <c r="T255" s="32"/>
      <c r="U255" s="32"/>
      <c r="V255" s="32"/>
      <c r="W255" s="32"/>
      <c r="X255" s="32"/>
    </row>
    <row r="256">
      <c r="A256" s="123">
        <v>2.7E9</v>
      </c>
      <c r="B256" s="123">
        <v>1.0E9</v>
      </c>
      <c r="C256" s="123">
        <v>3.2E9</v>
      </c>
      <c r="D256" s="22">
        <v>0.31691</v>
      </c>
      <c r="E256" s="123">
        <v>2.7E9</v>
      </c>
      <c r="F256" s="22">
        <v>547.532</v>
      </c>
      <c r="G256" s="123">
        <v>1.5E12</v>
      </c>
      <c r="H256" s="22">
        <v>2023.0</v>
      </c>
      <c r="I256" s="22" t="s">
        <v>1280</v>
      </c>
      <c r="J256" s="22">
        <v>60.0</v>
      </c>
      <c r="K256" s="22">
        <v>55.9</v>
      </c>
      <c r="L256" s="22">
        <v>21.6149</v>
      </c>
      <c r="M256" s="22">
        <v>18.1757</v>
      </c>
      <c r="N256" s="123">
        <v>1.6E8</v>
      </c>
      <c r="O256" s="22">
        <v>0.0572239</v>
      </c>
      <c r="P256" s="22">
        <v>0.3841428</v>
      </c>
      <c r="Q256" s="22">
        <v>21.88249</v>
      </c>
      <c r="R256" s="22">
        <v>60.0067</v>
      </c>
      <c r="S256" s="32"/>
      <c r="T256" s="32"/>
      <c r="U256" s="32"/>
      <c r="V256" s="32"/>
      <c r="W256" s="32"/>
      <c r="X256" s="32"/>
    </row>
    <row r="257">
      <c r="A257" s="123">
        <v>2.7E9</v>
      </c>
      <c r="B257" s="123">
        <v>1.2E9</v>
      </c>
      <c r="C257" s="123">
        <v>2.4E9</v>
      </c>
      <c r="D257" s="22">
        <v>0.69991</v>
      </c>
      <c r="E257" s="123">
        <v>2.7E9</v>
      </c>
      <c r="F257" s="22">
        <v>569.744</v>
      </c>
      <c r="G257" s="123">
        <v>1.5E12</v>
      </c>
      <c r="H257" s="22">
        <v>2022.0</v>
      </c>
      <c r="I257" s="22" t="s">
        <v>1280</v>
      </c>
      <c r="J257" s="22">
        <v>55.9</v>
      </c>
      <c r="K257" s="22">
        <v>52.3</v>
      </c>
      <c r="L257" s="22">
        <v>18.1757</v>
      </c>
      <c r="M257" s="22">
        <v>12.1839</v>
      </c>
      <c r="N257" s="123">
        <v>4.9E8</v>
      </c>
      <c r="O257" s="22">
        <v>0.1821973</v>
      </c>
      <c r="P257" s="22">
        <v>0.4294253</v>
      </c>
      <c r="Q257" s="22">
        <v>21.60721</v>
      </c>
      <c r="R257" s="22">
        <v>56.0667</v>
      </c>
      <c r="S257" s="32"/>
      <c r="T257" s="32"/>
      <c r="U257" s="32"/>
      <c r="V257" s="32"/>
      <c r="W257" s="32"/>
      <c r="X257" s="32"/>
    </row>
    <row r="258">
      <c r="A258" s="123">
        <v>2.7E9</v>
      </c>
      <c r="B258" s="123">
        <v>1.7E9</v>
      </c>
      <c r="C258" s="123">
        <v>1.4E9</v>
      </c>
      <c r="D258" s="22">
        <v>0.11476</v>
      </c>
      <c r="E258" s="123">
        <v>2.7E9</v>
      </c>
      <c r="F258" s="22">
        <v>902.096</v>
      </c>
      <c r="G258" s="123">
        <v>2.5E12</v>
      </c>
      <c r="H258" s="22">
        <v>2021.0</v>
      </c>
      <c r="I258" s="22" t="s">
        <v>1280</v>
      </c>
      <c r="J258" s="22">
        <v>52.3</v>
      </c>
      <c r="K258" s="22">
        <v>46.2</v>
      </c>
      <c r="L258" s="22">
        <v>12.1839</v>
      </c>
      <c r="M258" s="22">
        <v>12.2739</v>
      </c>
      <c r="N258" s="123">
        <v>4.9E8</v>
      </c>
      <c r="O258" s="22">
        <v>0.1785119</v>
      </c>
      <c r="P258" s="22">
        <v>0.632599</v>
      </c>
      <c r="Q258" s="22">
        <v>21.07663</v>
      </c>
      <c r="R258" s="22">
        <v>51.4667</v>
      </c>
      <c r="S258" s="32"/>
      <c r="T258" s="32"/>
      <c r="U258" s="32"/>
      <c r="V258" s="32"/>
      <c r="W258" s="32"/>
      <c r="X258" s="32"/>
    </row>
    <row r="259">
      <c r="A259" s="123">
        <v>2.8E9</v>
      </c>
      <c r="B259" s="123">
        <v>2.3E9</v>
      </c>
      <c r="C259" s="123">
        <v>1.3E9</v>
      </c>
      <c r="D259" s="22">
        <v>-0.16974</v>
      </c>
      <c r="E259" s="123">
        <v>2.8E9</v>
      </c>
      <c r="F259" s="22">
        <v>108.017</v>
      </c>
      <c r="G259" s="123">
        <v>3.0E11</v>
      </c>
      <c r="H259" s="22">
        <v>2020.0</v>
      </c>
      <c r="I259" s="22" t="s">
        <v>1280</v>
      </c>
      <c r="J259" s="22">
        <v>46.2</v>
      </c>
      <c r="K259" s="22">
        <v>43.8</v>
      </c>
      <c r="L259" s="22">
        <v>12.2739</v>
      </c>
      <c r="M259" s="22">
        <v>11.3076</v>
      </c>
      <c r="N259" s="123">
        <v>-1.9E8</v>
      </c>
      <c r="O259" s="22">
        <v>-0.0669746</v>
      </c>
      <c r="P259" s="22">
        <v>0.8181311</v>
      </c>
      <c r="Q259" s="22">
        <v>20.96799</v>
      </c>
      <c r="R259" s="22">
        <v>47.4333</v>
      </c>
      <c r="S259" s="32"/>
      <c r="T259" s="32"/>
      <c r="U259" s="32"/>
      <c r="V259" s="32"/>
      <c r="W259" s="32"/>
      <c r="X259" s="32"/>
    </row>
    <row r="260">
      <c r="A260" s="123">
        <v>3.1E9</v>
      </c>
      <c r="B260" s="123">
        <v>2.4E9</v>
      </c>
      <c r="C260" s="123">
        <v>1.5E9</v>
      </c>
      <c r="D260" s="22">
        <v>-0.08589</v>
      </c>
      <c r="E260" s="123">
        <v>3.1E9</v>
      </c>
      <c r="F260" s="22">
        <v>69.6833</v>
      </c>
      <c r="G260" s="123">
        <v>2.2E11</v>
      </c>
      <c r="H260" s="22">
        <v>2019.0</v>
      </c>
      <c r="I260" s="22" t="s">
        <v>1280</v>
      </c>
      <c r="J260" s="22">
        <v>43.8</v>
      </c>
      <c r="K260" s="22">
        <v>41.2</v>
      </c>
      <c r="L260" s="22">
        <v>11.3076</v>
      </c>
      <c r="M260" s="22">
        <v>11.3396</v>
      </c>
      <c r="N260" s="123">
        <v>4.9E7</v>
      </c>
      <c r="O260" s="22">
        <v>0.0156126</v>
      </c>
      <c r="P260" s="22">
        <v>0.7732289</v>
      </c>
      <c r="Q260" s="22">
        <v>21.154</v>
      </c>
      <c r="R260" s="22">
        <v>43.7333</v>
      </c>
      <c r="S260" s="32"/>
      <c r="T260" s="32"/>
      <c r="U260" s="32"/>
      <c r="V260" s="32"/>
      <c r="W260" s="32"/>
      <c r="X260" s="32"/>
    </row>
    <row r="261">
      <c r="A261" s="123">
        <v>3.6E9</v>
      </c>
      <c r="B261" s="123">
        <v>3.0E9</v>
      </c>
      <c r="C261" s="123">
        <v>1.7E9</v>
      </c>
      <c r="D261" s="22">
        <v>0.04404</v>
      </c>
      <c r="E261" s="123">
        <v>3.6E9</v>
      </c>
      <c r="F261" s="22">
        <v>59.0911</v>
      </c>
      <c r="G261" s="123">
        <v>2.1E11</v>
      </c>
      <c r="H261" s="22">
        <v>2018.0</v>
      </c>
      <c r="I261" s="22" t="s">
        <v>1280</v>
      </c>
      <c r="J261" s="22">
        <v>41.2</v>
      </c>
      <c r="K261" s="22">
        <v>38.5</v>
      </c>
      <c r="L261" s="22">
        <v>11.3396</v>
      </c>
      <c r="M261" s="22">
        <v>12.4741</v>
      </c>
      <c r="N261" s="123">
        <v>1.7E7</v>
      </c>
      <c r="O261" s="22">
        <v>0.0047014</v>
      </c>
      <c r="P261" s="22">
        <v>0.8204628</v>
      </c>
      <c r="Q261" s="22">
        <v>21.2438</v>
      </c>
      <c r="R261" s="22">
        <v>41.1667</v>
      </c>
      <c r="S261" s="32"/>
      <c r="T261" s="32"/>
      <c r="U261" s="32"/>
      <c r="V261" s="32"/>
      <c r="W261" s="32"/>
      <c r="X261" s="32"/>
    </row>
    <row r="262">
      <c r="A262" s="123">
        <v>3.9E9</v>
      </c>
      <c r="B262" s="123">
        <v>3.2E9</v>
      </c>
      <c r="C262" s="123">
        <v>1.6E9</v>
      </c>
      <c r="D262" s="22">
        <v>0.28123</v>
      </c>
      <c r="E262" s="123">
        <v>3.9E9</v>
      </c>
      <c r="F262" s="22">
        <v>114.148</v>
      </c>
      <c r="G262" s="123">
        <v>4.4E11</v>
      </c>
      <c r="H262" s="22">
        <v>2017.0</v>
      </c>
      <c r="I262" s="22" t="s">
        <v>1280</v>
      </c>
      <c r="J262" s="22">
        <v>38.5</v>
      </c>
      <c r="K262" s="22">
        <v>35.7</v>
      </c>
      <c r="L262" s="22">
        <v>12.4741</v>
      </c>
      <c r="M262" s="22">
        <v>14.0523</v>
      </c>
      <c r="N262" s="123">
        <v>1.1E7</v>
      </c>
      <c r="O262" s="22">
        <v>0.0027785</v>
      </c>
      <c r="P262" s="22">
        <v>0.8347911</v>
      </c>
      <c r="Q262" s="22">
        <v>21.20071</v>
      </c>
      <c r="R262" s="22">
        <v>38.4667</v>
      </c>
      <c r="S262" s="32"/>
      <c r="T262" s="32"/>
      <c r="U262" s="32"/>
      <c r="V262" s="32"/>
      <c r="W262" s="32"/>
      <c r="X262" s="32"/>
    </row>
    <row r="263">
      <c r="A263" s="123">
        <v>4.2E9</v>
      </c>
      <c r="B263" s="123">
        <v>3.6E9</v>
      </c>
      <c r="C263" s="123">
        <v>1.3E9</v>
      </c>
      <c r="D263" s="22">
        <v>-0.24884</v>
      </c>
      <c r="E263" s="123">
        <v>4.2E9</v>
      </c>
      <c r="F263" s="22">
        <v>32.2104</v>
      </c>
      <c r="G263" s="123">
        <v>1.3E11</v>
      </c>
      <c r="H263" s="22">
        <v>2016.0</v>
      </c>
      <c r="I263" s="22" t="s">
        <v>1280</v>
      </c>
      <c r="J263" s="22">
        <v>35.7</v>
      </c>
      <c r="K263" s="22">
        <v>33.4</v>
      </c>
      <c r="L263" s="22">
        <v>14.0523</v>
      </c>
      <c r="M263" s="22">
        <v>19.6496</v>
      </c>
      <c r="N263" s="123">
        <v>-3.6E8</v>
      </c>
      <c r="O263" s="22">
        <v>-0.0847381</v>
      </c>
      <c r="P263" s="22">
        <v>0.8516532</v>
      </c>
      <c r="Q263" s="22">
        <v>20.95288</v>
      </c>
      <c r="R263" s="22">
        <v>35.8667</v>
      </c>
      <c r="S263" s="32"/>
      <c r="T263" s="32"/>
      <c r="U263" s="32"/>
      <c r="V263" s="32"/>
      <c r="W263" s="32"/>
      <c r="X263" s="32"/>
    </row>
    <row r="264">
      <c r="A264" s="123">
        <v>4.6E9</v>
      </c>
      <c r="B264" s="123">
        <v>3.6E9</v>
      </c>
      <c r="C264" s="123">
        <v>1.7E9</v>
      </c>
      <c r="D264" s="22">
        <v>-0.17777</v>
      </c>
      <c r="E264" s="123">
        <v>4.6E9</v>
      </c>
      <c r="F264" s="22">
        <v>76.6328</v>
      </c>
      <c r="G264" s="123">
        <v>3.5E11</v>
      </c>
      <c r="H264" s="22">
        <v>2015.0</v>
      </c>
      <c r="I264" s="22" t="s">
        <v>1280</v>
      </c>
      <c r="J264" s="22">
        <v>33.4</v>
      </c>
      <c r="K264" s="22">
        <v>32.3</v>
      </c>
      <c r="L264" s="22">
        <v>19.6496</v>
      </c>
      <c r="M264" s="22">
        <v>28.8466</v>
      </c>
      <c r="N264" s="123">
        <v>-3.0E8</v>
      </c>
      <c r="O264" s="22">
        <v>-0.063818</v>
      </c>
      <c r="P264" s="22">
        <v>0.7825128</v>
      </c>
      <c r="Q264" s="22">
        <v>21.23902</v>
      </c>
      <c r="R264" s="22">
        <v>33.8</v>
      </c>
      <c r="S264" s="32"/>
      <c r="T264" s="32"/>
      <c r="U264" s="32"/>
      <c r="V264" s="32"/>
      <c r="W264" s="32"/>
      <c r="X264" s="32"/>
    </row>
    <row r="265">
      <c r="A265" s="123">
        <v>5.2E9</v>
      </c>
      <c r="B265" s="123">
        <v>3.9E9</v>
      </c>
      <c r="C265" s="123">
        <v>2.0E9</v>
      </c>
      <c r="D265" s="22">
        <v>133.842</v>
      </c>
      <c r="E265" s="123">
        <v>5.2E9</v>
      </c>
      <c r="F265" s="22">
        <v>157.057</v>
      </c>
      <c r="G265" s="123">
        <v>8.1E11</v>
      </c>
      <c r="H265" s="22">
        <v>2014.0</v>
      </c>
      <c r="I265" s="22" t="s">
        <v>1280</v>
      </c>
      <c r="J265" s="22">
        <v>32.3</v>
      </c>
      <c r="K265" s="32"/>
      <c r="L265" s="22">
        <v>28.8466</v>
      </c>
      <c r="M265" s="32"/>
      <c r="N265" s="123">
        <v>7.4E7</v>
      </c>
      <c r="O265" s="22">
        <v>0.0142921</v>
      </c>
      <c r="P265" s="22">
        <v>0.747196</v>
      </c>
      <c r="Q265" s="22">
        <v>21.43476</v>
      </c>
      <c r="R265" s="32"/>
      <c r="S265" s="32"/>
      <c r="T265" s="32"/>
      <c r="U265" s="32"/>
      <c r="V265" s="32"/>
      <c r="W265" s="32"/>
      <c r="X265" s="32"/>
    </row>
    <row r="266">
      <c r="A266" s="123">
        <v>1.7E9</v>
      </c>
      <c r="B266" s="123">
        <v>4.8E8</v>
      </c>
      <c r="C266" s="123">
        <v>1.5E7</v>
      </c>
      <c r="D266" s="22">
        <v>2.8619</v>
      </c>
      <c r="E266" s="123">
        <v>1.7E9</v>
      </c>
      <c r="F266" s="22">
        <v>333.701</v>
      </c>
      <c r="G266" s="123">
        <v>5.8E11</v>
      </c>
      <c r="H266" s="22">
        <v>2024.0</v>
      </c>
      <c r="I266" s="22" t="s">
        <v>1336</v>
      </c>
      <c r="J266" s="22">
        <v>54.9</v>
      </c>
      <c r="K266" s="22">
        <v>51.6</v>
      </c>
      <c r="L266" s="22">
        <v>23.6602</v>
      </c>
      <c r="M266" s="22">
        <v>21.6149</v>
      </c>
      <c r="N266" s="123">
        <v>1800000.0</v>
      </c>
      <c r="O266" s="22">
        <v>0.0010159</v>
      </c>
      <c r="P266" s="22">
        <v>0.2747569</v>
      </c>
      <c r="Q266" s="22">
        <v>16.53065</v>
      </c>
      <c r="R266" s="32"/>
      <c r="S266" s="32"/>
      <c r="T266" s="32"/>
      <c r="U266" s="32"/>
      <c r="V266" s="32"/>
      <c r="W266" s="32"/>
      <c r="X266" s="32"/>
    </row>
    <row r="267">
      <c r="A267" s="123">
        <v>1.7E9</v>
      </c>
      <c r="B267" s="123">
        <v>4.6E8</v>
      </c>
      <c r="C267" s="123">
        <v>3900000.0</v>
      </c>
      <c r="D267" s="22">
        <v>0.07217</v>
      </c>
      <c r="E267" s="123">
        <v>1.7E9</v>
      </c>
      <c r="F267" s="22">
        <v>234.393</v>
      </c>
      <c r="G267" s="123">
        <v>4.0E11</v>
      </c>
      <c r="H267" s="22">
        <v>2023.0</v>
      </c>
      <c r="I267" s="22" t="s">
        <v>1336</v>
      </c>
      <c r="J267" s="22">
        <v>51.6</v>
      </c>
      <c r="K267" s="22">
        <v>48.9</v>
      </c>
      <c r="L267" s="22">
        <v>21.6149</v>
      </c>
      <c r="M267" s="22">
        <v>18.1757</v>
      </c>
      <c r="N267" s="22">
        <v>402544.0</v>
      </c>
      <c r="O267" s="22">
        <v>2.342E-4</v>
      </c>
      <c r="P267" s="22">
        <v>0.2671966</v>
      </c>
      <c r="Q267" s="22">
        <v>15.1795</v>
      </c>
      <c r="R267" s="22">
        <v>51.7867</v>
      </c>
      <c r="S267" s="32"/>
      <c r="T267" s="32"/>
      <c r="U267" s="32"/>
      <c r="V267" s="32"/>
      <c r="W267" s="32"/>
      <c r="X267" s="32"/>
    </row>
    <row r="268">
      <c r="A268" s="123">
        <v>1.6E9</v>
      </c>
      <c r="B268" s="123">
        <v>3.4E8</v>
      </c>
      <c r="C268" s="123">
        <v>3600000.0</v>
      </c>
      <c r="D268" s="22">
        <v>0.05017</v>
      </c>
      <c r="E268" s="123">
        <v>1.6E9</v>
      </c>
      <c r="F268" s="22">
        <v>259.202</v>
      </c>
      <c r="G268" s="123">
        <v>4.2E11</v>
      </c>
      <c r="H268" s="22">
        <v>2022.0</v>
      </c>
      <c r="I268" s="22" t="s">
        <v>1336</v>
      </c>
      <c r="J268" s="22">
        <v>48.9</v>
      </c>
      <c r="K268" s="22">
        <v>47.1</v>
      </c>
      <c r="L268" s="22">
        <v>18.1757</v>
      </c>
      <c r="M268" s="22">
        <v>12.1839</v>
      </c>
      <c r="N268" s="123">
        <v>1.7E7</v>
      </c>
      <c r="O268" s="22">
        <v>0.0104304</v>
      </c>
      <c r="P268" s="22">
        <v>0.2140471</v>
      </c>
      <c r="Q268" s="22">
        <v>15.10981</v>
      </c>
      <c r="R268" s="22">
        <v>49.2033</v>
      </c>
      <c r="S268" s="32"/>
      <c r="T268" s="32"/>
      <c r="U268" s="32"/>
      <c r="V268" s="32"/>
      <c r="W268" s="32"/>
      <c r="X268" s="32"/>
    </row>
    <row r="269">
      <c r="A269" s="123">
        <v>1.9E9</v>
      </c>
      <c r="B269" s="123">
        <v>6.0E8</v>
      </c>
      <c r="C269" s="123">
        <v>3500000.0</v>
      </c>
      <c r="D269" s="22">
        <v>-0.63241</v>
      </c>
      <c r="E269" s="123">
        <v>1.9E9</v>
      </c>
      <c r="F269" s="22">
        <v>834.521</v>
      </c>
      <c r="G269" s="123">
        <v>1.6E12</v>
      </c>
      <c r="H269" s="22">
        <v>2021.0</v>
      </c>
      <c r="I269" s="22" t="s">
        <v>1336</v>
      </c>
      <c r="J269" s="22">
        <v>47.1</v>
      </c>
      <c r="K269" s="22">
        <v>45.6</v>
      </c>
      <c r="L269" s="22">
        <v>12.1839</v>
      </c>
      <c r="M269" s="22">
        <v>12.2739</v>
      </c>
      <c r="N269" s="22">
        <v>491282.0</v>
      </c>
      <c r="O269" s="22">
        <v>2.644E-4</v>
      </c>
      <c r="P269" s="22">
        <v>0.3207759</v>
      </c>
      <c r="Q269" s="22">
        <v>15.06085</v>
      </c>
      <c r="R269" s="22">
        <v>47.2033</v>
      </c>
      <c r="S269" s="32"/>
      <c r="T269" s="32"/>
      <c r="U269" s="32"/>
      <c r="V269" s="32"/>
      <c r="W269" s="32"/>
      <c r="X269" s="32"/>
    </row>
    <row r="270">
      <c r="A270" s="123">
        <v>1.7E9</v>
      </c>
      <c r="B270" s="123">
        <v>4.2E8</v>
      </c>
      <c r="C270" s="123">
        <v>9500000.0</v>
      </c>
      <c r="D270" s="22">
        <v>-0.1109</v>
      </c>
      <c r="E270" s="123">
        <v>1.7E9</v>
      </c>
      <c r="F270" s="22">
        <v>283.991</v>
      </c>
      <c r="G270" s="123">
        <v>4.8E11</v>
      </c>
      <c r="H270" s="22">
        <v>2020.0</v>
      </c>
      <c r="I270" s="22" t="s">
        <v>1336</v>
      </c>
      <c r="J270" s="22">
        <v>45.6</v>
      </c>
      <c r="K270" s="22">
        <v>43.1</v>
      </c>
      <c r="L270" s="22">
        <v>12.2739</v>
      </c>
      <c r="M270" s="22">
        <v>11.3076</v>
      </c>
      <c r="N270" s="22">
        <v>439196.0</v>
      </c>
      <c r="O270" s="22">
        <v>2.607E-4</v>
      </c>
      <c r="P270" s="22">
        <v>0.2511453</v>
      </c>
      <c r="Q270" s="22">
        <v>16.06164</v>
      </c>
      <c r="R270" s="22">
        <v>45.2867</v>
      </c>
      <c r="S270" s="32"/>
      <c r="T270" s="32"/>
      <c r="U270" s="32"/>
      <c r="V270" s="32"/>
      <c r="W270" s="32"/>
      <c r="X270" s="32"/>
    </row>
    <row r="271">
      <c r="A271" s="123">
        <v>1.7E9</v>
      </c>
      <c r="B271" s="123">
        <v>4.1E8</v>
      </c>
      <c r="C271" s="123">
        <v>1.1E7</v>
      </c>
      <c r="D271" s="22">
        <v>-0.71242</v>
      </c>
      <c r="E271" s="123">
        <v>1.7E9</v>
      </c>
      <c r="F271" s="22">
        <v>500.205</v>
      </c>
      <c r="G271" s="123">
        <v>8.4E11</v>
      </c>
      <c r="H271" s="22">
        <v>2019.0</v>
      </c>
      <c r="I271" s="22" t="s">
        <v>1336</v>
      </c>
      <c r="J271" s="22">
        <v>43.1</v>
      </c>
      <c r="K271" s="22">
        <v>41.0</v>
      </c>
      <c r="L271" s="22">
        <v>11.3076</v>
      </c>
      <c r="M271" s="22">
        <v>11.3396</v>
      </c>
      <c r="N271" s="123">
        <v>2.5E7</v>
      </c>
      <c r="O271" s="22">
        <v>0.0148995</v>
      </c>
      <c r="P271" s="22">
        <v>0.2471591</v>
      </c>
      <c r="Q271" s="22">
        <v>16.17919</v>
      </c>
      <c r="R271" s="22">
        <v>43.2467</v>
      </c>
      <c r="S271" s="32"/>
      <c r="T271" s="32"/>
      <c r="U271" s="32"/>
      <c r="V271" s="32"/>
      <c r="W271" s="32"/>
      <c r="X271" s="32"/>
    </row>
    <row r="272">
      <c r="A272" s="123">
        <v>1.4E9</v>
      </c>
      <c r="B272" s="123">
        <v>4.0E8</v>
      </c>
      <c r="C272" s="123">
        <v>3.7E7</v>
      </c>
      <c r="D272" s="22">
        <v>-0.54369</v>
      </c>
      <c r="E272" s="123">
        <v>1.4E9</v>
      </c>
      <c r="F272" s="22">
        <v>641.544</v>
      </c>
      <c r="G272" s="123">
        <v>9.1E11</v>
      </c>
      <c r="H272" s="22">
        <v>2018.0</v>
      </c>
      <c r="I272" s="22" t="s">
        <v>1336</v>
      </c>
      <c r="J272" s="22">
        <v>41.0</v>
      </c>
      <c r="K272" s="22">
        <v>37.9</v>
      </c>
      <c r="L272" s="22">
        <v>11.3396</v>
      </c>
      <c r="M272" s="22">
        <v>12.4741</v>
      </c>
      <c r="N272" s="123">
        <v>2.8E8</v>
      </c>
      <c r="O272" s="22">
        <v>0.1976183</v>
      </c>
      <c r="P272" s="22">
        <v>0.2851674</v>
      </c>
      <c r="Q272" s="22">
        <v>17.42546</v>
      </c>
      <c r="R272" s="22">
        <v>40.6633</v>
      </c>
      <c r="S272" s="32"/>
      <c r="T272" s="32"/>
      <c r="U272" s="32"/>
      <c r="V272" s="32"/>
      <c r="W272" s="32"/>
      <c r="X272" s="32"/>
    </row>
    <row r="273">
      <c r="A273" s="123">
        <v>1.0E9</v>
      </c>
      <c r="B273" s="123">
        <v>2.8E8</v>
      </c>
      <c r="C273" s="123">
        <v>8.1E7</v>
      </c>
      <c r="D273" s="22">
        <v>0.7009</v>
      </c>
      <c r="E273" s="123">
        <v>1.0E9</v>
      </c>
      <c r="F273" s="22">
        <v>241.202</v>
      </c>
      <c r="G273" s="123">
        <v>2.5E11</v>
      </c>
      <c r="H273" s="22">
        <v>2017.0</v>
      </c>
      <c r="I273" s="22" t="s">
        <v>1336</v>
      </c>
      <c r="J273" s="22">
        <v>37.9</v>
      </c>
      <c r="K273" s="22">
        <v>34.4</v>
      </c>
      <c r="L273" s="22">
        <v>12.4741</v>
      </c>
      <c r="M273" s="22">
        <v>14.0523</v>
      </c>
      <c r="N273" s="123">
        <v>7.7E7</v>
      </c>
      <c r="O273" s="22">
        <v>0.0757945</v>
      </c>
      <c r="P273" s="22">
        <v>0.2769388</v>
      </c>
      <c r="Q273" s="22">
        <v>18.21005</v>
      </c>
      <c r="R273" s="22">
        <v>37.7467</v>
      </c>
      <c r="S273" s="32"/>
      <c r="T273" s="32"/>
      <c r="U273" s="32"/>
      <c r="V273" s="32"/>
      <c r="W273" s="32"/>
      <c r="X273" s="32"/>
    </row>
    <row r="274">
      <c r="A274" s="123">
        <v>2.6E8</v>
      </c>
      <c r="B274" s="123">
        <v>7.8E7</v>
      </c>
      <c r="C274" s="123">
        <v>4.8E7</v>
      </c>
      <c r="D274" s="22">
        <v>-0.64264</v>
      </c>
      <c r="E274" s="123">
        <v>2.6E8</v>
      </c>
      <c r="F274" s="22">
        <v>773.491</v>
      </c>
      <c r="G274" s="123">
        <v>2.0E11</v>
      </c>
      <c r="H274" s="22">
        <v>2016.0</v>
      </c>
      <c r="I274" s="22" t="s">
        <v>1336</v>
      </c>
      <c r="J274" s="22">
        <v>34.4</v>
      </c>
      <c r="K274" s="22">
        <v>32.0</v>
      </c>
      <c r="L274" s="22">
        <v>14.0523</v>
      </c>
      <c r="M274" s="22">
        <v>19.6496</v>
      </c>
      <c r="N274" s="123">
        <v>2300000.0</v>
      </c>
      <c r="O274" s="22">
        <v>0.0088343</v>
      </c>
      <c r="P274" s="22">
        <v>0.3062523</v>
      </c>
      <c r="Q274" s="22">
        <v>17.67889</v>
      </c>
      <c r="R274" s="22">
        <v>34.7467</v>
      </c>
      <c r="S274" s="32"/>
      <c r="T274" s="32"/>
      <c r="U274" s="32"/>
      <c r="V274" s="32"/>
      <c r="W274" s="32"/>
      <c r="X274" s="32"/>
    </row>
    <row r="275">
      <c r="A275" s="123">
        <v>2.3E8</v>
      </c>
      <c r="B275" s="123">
        <v>5.8E7</v>
      </c>
      <c r="C275" s="123">
        <v>1.3E8</v>
      </c>
      <c r="D275" s="22">
        <v>1.99581</v>
      </c>
      <c r="E275" s="123">
        <v>2.3E8</v>
      </c>
      <c r="F275" s="22">
        <v>315.386</v>
      </c>
      <c r="G275" s="123">
        <v>7.2E10</v>
      </c>
      <c r="H275" s="22">
        <v>2015.0</v>
      </c>
      <c r="I275" s="22" t="s">
        <v>1336</v>
      </c>
      <c r="J275" s="22">
        <v>32.0</v>
      </c>
      <c r="K275" s="22">
        <v>27.3</v>
      </c>
      <c r="L275" s="22">
        <v>19.6496</v>
      </c>
      <c r="M275" s="22">
        <v>28.8466</v>
      </c>
      <c r="N275" s="123">
        <v>-6100000.0</v>
      </c>
      <c r="O275" s="22">
        <v>-0.0266903</v>
      </c>
      <c r="P275" s="22">
        <v>0.2524464</v>
      </c>
      <c r="Q275" s="22">
        <v>18.70791</v>
      </c>
      <c r="R275" s="22">
        <v>31.2067</v>
      </c>
      <c r="S275" s="32"/>
      <c r="T275" s="32"/>
      <c r="U275" s="32"/>
      <c r="V275" s="32"/>
      <c r="W275" s="32"/>
      <c r="X275" s="32"/>
    </row>
    <row r="276">
      <c r="A276" s="123">
        <v>3.4E8</v>
      </c>
      <c r="B276" s="123">
        <v>1.6E8</v>
      </c>
      <c r="C276" s="123">
        <v>4.4E7</v>
      </c>
      <c r="D276" s="22">
        <v>-0.98776</v>
      </c>
      <c r="E276" s="123">
        <v>3.4E8</v>
      </c>
      <c r="F276" s="22">
        <v>215.025</v>
      </c>
      <c r="G276" s="123">
        <v>7.4E10</v>
      </c>
      <c r="H276" s="22">
        <v>2014.0</v>
      </c>
      <c r="I276" s="22" t="s">
        <v>1336</v>
      </c>
      <c r="J276" s="22">
        <v>27.3</v>
      </c>
      <c r="K276" s="32"/>
      <c r="L276" s="22">
        <v>28.8466</v>
      </c>
      <c r="M276" s="32"/>
      <c r="N276" s="22">
        <v>903609.0</v>
      </c>
      <c r="O276" s="22">
        <v>0.0026344</v>
      </c>
      <c r="P276" s="22">
        <v>0.4746003</v>
      </c>
      <c r="Q276" s="22">
        <v>17.6107</v>
      </c>
      <c r="R276" s="32"/>
      <c r="S276" s="32"/>
      <c r="T276" s="32"/>
      <c r="U276" s="32"/>
      <c r="V276" s="32"/>
      <c r="W276" s="32"/>
      <c r="X276" s="32"/>
    </row>
    <row r="277">
      <c r="A277" s="123">
        <v>4.4E10</v>
      </c>
      <c r="B277" s="123">
        <v>2.5E10</v>
      </c>
      <c r="C277" s="123">
        <v>3.6E9</v>
      </c>
      <c r="D277" s="22">
        <v>-0.12832</v>
      </c>
      <c r="E277" s="123">
        <v>4.4E10</v>
      </c>
      <c r="F277" s="22">
        <v>336.386</v>
      </c>
      <c r="G277" s="123">
        <v>1.5E13</v>
      </c>
      <c r="H277" s="22">
        <v>2024.0</v>
      </c>
      <c r="I277" s="22" t="s">
        <v>1392</v>
      </c>
      <c r="J277" s="22">
        <v>82.3</v>
      </c>
      <c r="K277" s="22">
        <v>79.0</v>
      </c>
      <c r="L277" s="22">
        <v>23.6602</v>
      </c>
      <c r="M277" s="22">
        <v>21.6149</v>
      </c>
      <c r="N277" s="123">
        <v>1.7E9</v>
      </c>
      <c r="O277" s="22">
        <v>0.0387952</v>
      </c>
      <c r="P277" s="22">
        <v>0.5549121</v>
      </c>
      <c r="Q277" s="22">
        <v>22.01388</v>
      </c>
      <c r="R277" s="32"/>
      <c r="S277" s="32"/>
      <c r="T277" s="32"/>
      <c r="U277" s="32"/>
      <c r="V277" s="32"/>
      <c r="W277" s="32"/>
      <c r="X277" s="32"/>
    </row>
    <row r="278">
      <c r="A278" s="123">
        <v>4.2E10</v>
      </c>
      <c r="B278" s="123">
        <v>2.5E10</v>
      </c>
      <c r="C278" s="123">
        <v>4.2E9</v>
      </c>
      <c r="D278" s="22">
        <v>0.02417</v>
      </c>
      <c r="E278" s="123">
        <v>4.2E10</v>
      </c>
      <c r="F278" s="22">
        <v>509.761</v>
      </c>
      <c r="G278" s="123">
        <v>2.1E13</v>
      </c>
      <c r="H278" s="22">
        <v>2023.0</v>
      </c>
      <c r="I278" s="22" t="s">
        <v>1392</v>
      </c>
      <c r="J278" s="22">
        <v>79.0</v>
      </c>
      <c r="K278" s="22">
        <v>77.3</v>
      </c>
      <c r="L278" s="22">
        <v>21.6149</v>
      </c>
      <c r="M278" s="22">
        <v>18.1757</v>
      </c>
      <c r="N278" s="123">
        <v>2.0E9</v>
      </c>
      <c r="O278" s="22">
        <v>0.0484463</v>
      </c>
      <c r="P278" s="22">
        <v>0.6045282</v>
      </c>
      <c r="Q278" s="22">
        <v>22.15122</v>
      </c>
      <c r="R278" s="22">
        <v>79.5333</v>
      </c>
      <c r="S278" s="32"/>
      <c r="T278" s="32"/>
      <c r="U278" s="32"/>
      <c r="V278" s="32"/>
      <c r="W278" s="32"/>
      <c r="X278" s="32"/>
    </row>
    <row r="279">
      <c r="A279" s="123">
        <v>3.9E10</v>
      </c>
      <c r="B279" s="123">
        <v>2.4E10</v>
      </c>
      <c r="C279" s="123">
        <v>4.1E9</v>
      </c>
      <c r="D279" s="22">
        <v>0.25472</v>
      </c>
      <c r="E279" s="123">
        <v>3.9E10</v>
      </c>
      <c r="F279" s="22">
        <v>119.108</v>
      </c>
      <c r="G279" s="123">
        <v>4.6E12</v>
      </c>
      <c r="H279" s="22">
        <v>2022.0</v>
      </c>
      <c r="I279" s="22" t="s">
        <v>1392</v>
      </c>
      <c r="J279" s="22">
        <v>77.3</v>
      </c>
      <c r="K279" s="22">
        <v>73.5</v>
      </c>
      <c r="L279" s="22">
        <v>18.1757</v>
      </c>
      <c r="M279" s="22">
        <v>12.1839</v>
      </c>
      <c r="N279" s="123">
        <v>1.2E9</v>
      </c>
      <c r="O279" s="22">
        <v>0.0313934</v>
      </c>
      <c r="P279" s="22">
        <v>0.6265901</v>
      </c>
      <c r="Q279" s="22">
        <v>22.12733</v>
      </c>
      <c r="R279" s="22">
        <v>76.6</v>
      </c>
      <c r="S279" s="32"/>
      <c r="T279" s="32"/>
      <c r="U279" s="32"/>
      <c r="V279" s="32"/>
      <c r="W279" s="32"/>
      <c r="X279" s="32"/>
    </row>
    <row r="280">
      <c r="A280" s="123">
        <v>3.7E10</v>
      </c>
      <c r="B280" s="123">
        <v>2.7E10</v>
      </c>
      <c r="C280" s="123">
        <v>3.2E9</v>
      </c>
      <c r="D280" s="22">
        <v>1.25471</v>
      </c>
      <c r="E280" s="123">
        <v>3.7E10</v>
      </c>
      <c r="F280" s="22">
        <v>152.675</v>
      </c>
      <c r="G280" s="123">
        <v>5.6E12</v>
      </c>
      <c r="H280" s="22">
        <v>2021.0</v>
      </c>
      <c r="I280" s="22" t="s">
        <v>1392</v>
      </c>
      <c r="J280" s="22">
        <v>73.5</v>
      </c>
      <c r="K280" s="22">
        <v>69.8</v>
      </c>
      <c r="L280" s="22">
        <v>12.1839</v>
      </c>
      <c r="M280" s="22">
        <v>12.2739</v>
      </c>
      <c r="N280" s="123">
        <v>2.4E9</v>
      </c>
      <c r="O280" s="22">
        <v>0.0642388</v>
      </c>
      <c r="P280" s="22">
        <v>0.7352058</v>
      </c>
      <c r="Q280" s="22">
        <v>21.90042</v>
      </c>
      <c r="R280" s="22">
        <v>73.5333</v>
      </c>
      <c r="S280" s="32"/>
      <c r="T280" s="32"/>
      <c r="U280" s="32"/>
      <c r="V280" s="32"/>
      <c r="W280" s="32"/>
      <c r="X280" s="32"/>
    </row>
    <row r="281">
      <c r="A281" s="123">
        <v>1.5E10</v>
      </c>
      <c r="B281" s="123">
        <v>1.1E10</v>
      </c>
      <c r="C281" s="123">
        <v>1.4E9</v>
      </c>
      <c r="D281" s="22">
        <v>0.15261</v>
      </c>
      <c r="E281" s="123">
        <v>1.5E10</v>
      </c>
      <c r="F281" s="22">
        <v>85.7121</v>
      </c>
      <c r="G281" s="123">
        <v>1.3E12</v>
      </c>
      <c r="H281" s="22">
        <v>2020.0</v>
      </c>
      <c r="I281" s="22" t="s">
        <v>1392</v>
      </c>
      <c r="J281" s="22">
        <v>69.8</v>
      </c>
      <c r="K281" s="22">
        <v>66.2</v>
      </c>
      <c r="L281" s="22">
        <v>12.2739</v>
      </c>
      <c r="M281" s="22">
        <v>11.3076</v>
      </c>
      <c r="N281" s="123">
        <v>6.9E8</v>
      </c>
      <c r="O281" s="22">
        <v>0.0462582</v>
      </c>
      <c r="P281" s="22">
        <v>0.7449771</v>
      </c>
      <c r="Q281" s="22">
        <v>21.08741</v>
      </c>
      <c r="R281" s="22">
        <v>69.8333</v>
      </c>
      <c r="S281" s="32"/>
      <c r="T281" s="32"/>
      <c r="U281" s="32"/>
      <c r="V281" s="32"/>
      <c r="W281" s="32"/>
      <c r="X281" s="32"/>
    </row>
    <row r="282">
      <c r="A282" s="123">
        <v>1.2E10</v>
      </c>
      <c r="B282" s="123">
        <v>8.4E9</v>
      </c>
      <c r="C282" s="123">
        <v>1.2E9</v>
      </c>
      <c r="D282" s="22">
        <v>0.02949</v>
      </c>
      <c r="E282" s="123">
        <v>1.2E10</v>
      </c>
      <c r="F282" s="22">
        <v>51.0346</v>
      </c>
      <c r="G282" s="123">
        <v>5.9E11</v>
      </c>
      <c r="H282" s="22">
        <v>2019.0</v>
      </c>
      <c r="I282" s="22" t="s">
        <v>1392</v>
      </c>
      <c r="J282" s="22">
        <v>66.2</v>
      </c>
      <c r="K282" s="22">
        <v>61.1</v>
      </c>
      <c r="L282" s="22">
        <v>11.3076</v>
      </c>
      <c r="M282" s="22">
        <v>11.3396</v>
      </c>
      <c r="N282" s="123">
        <v>3.8E8</v>
      </c>
      <c r="O282" s="22">
        <v>0.0327134</v>
      </c>
      <c r="P282" s="22">
        <v>0.7219589</v>
      </c>
      <c r="Q282" s="22">
        <v>20.94538</v>
      </c>
      <c r="R282" s="22">
        <v>65.7</v>
      </c>
      <c r="S282" s="32"/>
      <c r="T282" s="32"/>
      <c r="U282" s="32"/>
      <c r="V282" s="32"/>
      <c r="W282" s="32"/>
      <c r="X282" s="32"/>
    </row>
    <row r="283">
      <c r="A283" s="123">
        <v>1.1E10</v>
      </c>
      <c r="B283" s="123">
        <v>7.6E9</v>
      </c>
      <c r="C283" s="123">
        <v>1.2E9</v>
      </c>
      <c r="D283" s="22">
        <v>0.29498</v>
      </c>
      <c r="E283" s="123">
        <v>1.1E10</v>
      </c>
      <c r="F283" s="22">
        <v>43.9995</v>
      </c>
      <c r="G283" s="123">
        <v>4.6E11</v>
      </c>
      <c r="H283" s="22">
        <v>2018.0</v>
      </c>
      <c r="I283" s="22" t="s">
        <v>1392</v>
      </c>
      <c r="J283" s="22">
        <v>61.1</v>
      </c>
      <c r="K283" s="22">
        <v>56.8</v>
      </c>
      <c r="L283" s="22">
        <v>11.3396</v>
      </c>
      <c r="M283" s="22">
        <v>12.4741</v>
      </c>
      <c r="N283" s="123">
        <v>3.7E8</v>
      </c>
      <c r="O283" s="22">
        <v>0.0354199</v>
      </c>
      <c r="P283" s="22">
        <v>0.7168456</v>
      </c>
      <c r="Q283" s="22">
        <v>20.91632</v>
      </c>
      <c r="R283" s="22">
        <v>61.3667</v>
      </c>
      <c r="S283" s="32"/>
      <c r="T283" s="32"/>
      <c r="U283" s="32"/>
      <c r="V283" s="32"/>
      <c r="W283" s="32"/>
      <c r="X283" s="32"/>
    </row>
    <row r="284">
      <c r="A284" s="123">
        <v>8.1E9</v>
      </c>
      <c r="B284" s="123">
        <v>5.6E9</v>
      </c>
      <c r="C284" s="123">
        <v>9.4E8</v>
      </c>
      <c r="D284" s="22">
        <v>0.92234</v>
      </c>
      <c r="E284" s="123">
        <v>8.1E9</v>
      </c>
      <c r="F284" s="22">
        <v>68.3906</v>
      </c>
      <c r="G284" s="123">
        <v>5.5E11</v>
      </c>
      <c r="H284" s="22">
        <v>2017.0</v>
      </c>
      <c r="I284" s="22" t="s">
        <v>1392</v>
      </c>
      <c r="J284" s="22">
        <v>56.8</v>
      </c>
      <c r="K284" s="22">
        <v>54.2</v>
      </c>
      <c r="L284" s="22">
        <v>12.4741</v>
      </c>
      <c r="M284" s="22">
        <v>14.0523</v>
      </c>
      <c r="N284" s="123">
        <v>4.8E8</v>
      </c>
      <c r="O284" s="22">
        <v>0.0596142</v>
      </c>
      <c r="P284" s="22">
        <v>0.688213</v>
      </c>
      <c r="Q284" s="22">
        <v>20.65782</v>
      </c>
      <c r="R284" s="22">
        <v>57.3667</v>
      </c>
      <c r="S284" s="32"/>
      <c r="T284" s="32"/>
      <c r="U284" s="32"/>
      <c r="V284" s="32"/>
      <c r="W284" s="32"/>
      <c r="X284" s="32"/>
    </row>
    <row r="285">
      <c r="A285" s="123">
        <v>5.2E9</v>
      </c>
      <c r="B285" s="123">
        <v>3.2E9</v>
      </c>
      <c r="C285" s="123">
        <v>4.9E8</v>
      </c>
      <c r="D285" s="22">
        <v>-0.00199</v>
      </c>
      <c r="E285" s="123">
        <v>5.2E9</v>
      </c>
      <c r="F285" s="22">
        <v>53.0125</v>
      </c>
      <c r="G285" s="123">
        <v>2.7E11</v>
      </c>
      <c r="H285" s="22">
        <v>2016.0</v>
      </c>
      <c r="I285" s="22" t="s">
        <v>1392</v>
      </c>
      <c r="J285" s="22">
        <v>54.2</v>
      </c>
      <c r="K285" s="22">
        <v>51.0</v>
      </c>
      <c r="L285" s="22">
        <v>14.0523</v>
      </c>
      <c r="M285" s="22">
        <v>19.6496</v>
      </c>
      <c r="N285" s="123">
        <v>1.9E8</v>
      </c>
      <c r="O285" s="22">
        <v>0.0360039</v>
      </c>
      <c r="P285" s="22">
        <v>0.623458</v>
      </c>
      <c r="Q285" s="22">
        <v>20.00428</v>
      </c>
      <c r="R285" s="22">
        <v>54.0</v>
      </c>
      <c r="S285" s="32"/>
      <c r="T285" s="32"/>
      <c r="U285" s="32"/>
      <c r="V285" s="32"/>
      <c r="W285" s="32"/>
      <c r="X285" s="32"/>
    </row>
    <row r="286">
      <c r="A286" s="123">
        <v>4.7E9</v>
      </c>
      <c r="B286" s="123">
        <v>2.7E9</v>
      </c>
      <c r="C286" s="123">
        <v>4.9E8</v>
      </c>
      <c r="D286" s="22">
        <v>0.2525</v>
      </c>
      <c r="E286" s="123">
        <v>4.7E9</v>
      </c>
      <c r="F286" s="22">
        <v>52.1888</v>
      </c>
      <c r="G286" s="123">
        <v>2.4E11</v>
      </c>
      <c r="H286" s="22">
        <v>2015.0</v>
      </c>
      <c r="I286" s="22" t="s">
        <v>1392</v>
      </c>
      <c r="J286" s="22">
        <v>51.0</v>
      </c>
      <c r="K286" s="22">
        <v>46.0</v>
      </c>
      <c r="L286" s="22">
        <v>19.6496</v>
      </c>
      <c r="M286" s="22">
        <v>28.8466</v>
      </c>
      <c r="N286" s="123">
        <v>1.8E8</v>
      </c>
      <c r="O286" s="22">
        <v>0.0389762</v>
      </c>
      <c r="P286" s="22">
        <v>0.5850089</v>
      </c>
      <c r="Q286" s="22">
        <v>20.00628</v>
      </c>
      <c r="R286" s="22">
        <v>50.4</v>
      </c>
      <c r="S286" s="32"/>
      <c r="T286" s="32"/>
      <c r="U286" s="32"/>
      <c r="V286" s="32"/>
      <c r="W286" s="32"/>
      <c r="X286" s="32"/>
    </row>
    <row r="287">
      <c r="A287" s="123">
        <v>2.9E9</v>
      </c>
      <c r="B287" s="123">
        <v>1.1E9</v>
      </c>
      <c r="C287" s="123">
        <v>3.9E8</v>
      </c>
      <c r="D287" s="124">
        <v>0.0</v>
      </c>
      <c r="E287" s="123">
        <v>2.9E9</v>
      </c>
      <c r="F287" s="22">
        <v>53.0685</v>
      </c>
      <c r="G287" s="123">
        <v>1.6E11</v>
      </c>
      <c r="H287" s="22">
        <v>2014.0</v>
      </c>
      <c r="I287" s="22" t="s">
        <v>1392</v>
      </c>
      <c r="J287" s="22">
        <v>46.0</v>
      </c>
      <c r="K287" s="32"/>
      <c r="L287" s="22">
        <v>28.8466</v>
      </c>
      <c r="M287" s="32"/>
      <c r="N287" s="123">
        <v>1.6E8</v>
      </c>
      <c r="O287" s="22">
        <v>0.0534884</v>
      </c>
      <c r="P287" s="22">
        <v>0.3761145</v>
      </c>
      <c r="Q287" s="22">
        <v>19.78113</v>
      </c>
      <c r="R287" s="32"/>
      <c r="S287" s="32"/>
      <c r="T287" s="32"/>
      <c r="U287" s="32"/>
      <c r="V287" s="32"/>
      <c r="W287" s="32"/>
      <c r="X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7.75"/>
    <col customWidth="1" min="3" max="3" width="14.75"/>
    <col customWidth="1" min="4" max="4" width="9.38"/>
    <col customWidth="1" min="5" max="5" width="8.75"/>
    <col customWidth="1" min="6" max="6" width="7.88"/>
    <col customWidth="1" min="7" max="7" width="7.63"/>
    <col customWidth="1" min="10" max="10" width="9.5"/>
    <col customWidth="1" min="11" max="11" width="10.88"/>
    <col customWidth="1" min="12" max="12" width="7.75"/>
    <col customWidth="1" min="13" max="13" width="9.13"/>
  </cols>
  <sheetData>
    <row r="1">
      <c r="A1" s="22" t="s">
        <v>1508</v>
      </c>
      <c r="B1" s="22" t="s">
        <v>1509</v>
      </c>
      <c r="C1" s="22" t="s">
        <v>1506</v>
      </c>
      <c r="D1" s="22" t="s">
        <v>1513</v>
      </c>
      <c r="E1" s="22" t="s">
        <v>1514</v>
      </c>
      <c r="F1" s="22" t="s">
        <v>1515</v>
      </c>
      <c r="G1" s="22" t="s">
        <v>1504</v>
      </c>
      <c r="H1" s="22" t="s">
        <v>1517</v>
      </c>
      <c r="I1" s="22" t="s">
        <v>1518</v>
      </c>
      <c r="J1" s="22" t="s">
        <v>1519</v>
      </c>
      <c r="K1" s="22" t="s">
        <v>1520</v>
      </c>
      <c r="L1" s="22" t="s">
        <v>1521</v>
      </c>
      <c r="M1" s="22" t="s">
        <v>1522</v>
      </c>
      <c r="N1" s="22" t="s">
        <v>1523</v>
      </c>
      <c r="O1" s="22" t="s">
        <v>1524</v>
      </c>
      <c r="P1" s="125" t="s">
        <v>1525</v>
      </c>
      <c r="Q1" s="125" t="s">
        <v>1526</v>
      </c>
    </row>
    <row r="2">
      <c r="A2" s="22">
        <v>2024.0</v>
      </c>
      <c r="B2" s="22" t="s">
        <v>37</v>
      </c>
      <c r="C2" s="123">
        <v>98.3242</v>
      </c>
      <c r="D2" s="123">
        <v>0.0194325</v>
      </c>
      <c r="E2" s="22">
        <v>0.9034015</v>
      </c>
      <c r="F2" s="22">
        <v>24.21537</v>
      </c>
      <c r="G2" s="22">
        <v>0.03293</v>
      </c>
      <c r="H2" s="22">
        <v>57.56</v>
      </c>
      <c r="I2" s="22">
        <v>56.57</v>
      </c>
      <c r="J2" s="22">
        <v>23.6602</v>
      </c>
      <c r="K2" s="22">
        <v>21.6149</v>
      </c>
      <c r="L2" s="22">
        <v>91.0</v>
      </c>
      <c r="M2" s="22">
        <v>89.2</v>
      </c>
      <c r="N2" s="32"/>
      <c r="O2" s="22">
        <v>7.04367</v>
      </c>
      <c r="P2" s="126">
        <v>3.621092738858435</v>
      </c>
      <c r="Q2" s="126">
        <v>7.091187466339747</v>
      </c>
    </row>
    <row r="3">
      <c r="A3" s="22">
        <v>2023.0</v>
      </c>
      <c r="B3" s="22" t="s">
        <v>37</v>
      </c>
      <c r="C3" s="123">
        <v>82.9262</v>
      </c>
      <c r="D3" s="123">
        <v>0.0223217</v>
      </c>
      <c r="E3" s="22">
        <v>0.9012848</v>
      </c>
      <c r="F3" s="22">
        <v>24.18297</v>
      </c>
      <c r="G3" s="22">
        <v>0.14659</v>
      </c>
      <c r="H3" s="22">
        <v>56.57</v>
      </c>
      <c r="I3" s="22">
        <v>55.52</v>
      </c>
      <c r="J3" s="22">
        <v>21.6149</v>
      </c>
      <c r="K3" s="22">
        <v>18.1757</v>
      </c>
      <c r="L3" s="22">
        <v>89.2</v>
      </c>
      <c r="M3" s="22">
        <v>78.0</v>
      </c>
      <c r="N3" s="22">
        <v>7.04367</v>
      </c>
      <c r="O3" s="22">
        <v>9.18041</v>
      </c>
      <c r="P3" s="126">
        <v>3.252892826676616</v>
      </c>
      <c r="Q3" s="126">
        <v>5.06502391455075</v>
      </c>
    </row>
    <row r="4">
      <c r="A4" s="22">
        <v>2022.0</v>
      </c>
      <c r="B4" s="22" t="s">
        <v>37</v>
      </c>
      <c r="C4" s="123">
        <v>60.2963</v>
      </c>
      <c r="D4" s="123">
        <v>0.0225181</v>
      </c>
      <c r="E4" s="22">
        <v>0.903864</v>
      </c>
      <c r="F4" s="22">
        <v>24.04618</v>
      </c>
      <c r="G4" s="22">
        <v>0.18529</v>
      </c>
      <c r="H4" s="22">
        <v>55.52</v>
      </c>
      <c r="I4" s="22">
        <v>53.94</v>
      </c>
      <c r="J4" s="22">
        <v>18.1757</v>
      </c>
      <c r="K4" s="22">
        <v>12.1839</v>
      </c>
      <c r="L4" s="22">
        <v>78.0</v>
      </c>
      <c r="M4" s="22">
        <v>71.0</v>
      </c>
      <c r="N4" s="22">
        <v>9.18041</v>
      </c>
      <c r="O4" s="22">
        <v>6.50641</v>
      </c>
      <c r="P4" s="126">
        <v>3.156507499631293</v>
      </c>
      <c r="Q4" s="126">
        <v>8.537500467557877</v>
      </c>
    </row>
    <row r="5">
      <c r="A5" s="22">
        <v>2021.0</v>
      </c>
      <c r="B5" s="22" t="s">
        <v>37</v>
      </c>
      <c r="C5" s="123">
        <v>69.8842</v>
      </c>
      <c r="D5" s="123">
        <v>0.0181949</v>
      </c>
      <c r="E5" s="22">
        <v>0.9149233</v>
      </c>
      <c r="F5" s="22">
        <v>23.87619</v>
      </c>
      <c r="G5" s="22">
        <v>0.31024</v>
      </c>
      <c r="H5" s="22">
        <v>53.94</v>
      </c>
      <c r="I5" s="22">
        <v>54.56</v>
      </c>
      <c r="J5" s="22">
        <v>12.1839</v>
      </c>
      <c r="K5" s="22">
        <v>12.2739</v>
      </c>
      <c r="L5" s="22">
        <v>71.0</v>
      </c>
      <c r="M5" s="22">
        <v>65.0</v>
      </c>
      <c r="N5" s="22">
        <v>6.50641</v>
      </c>
      <c r="O5" s="22">
        <v>4.16333</v>
      </c>
      <c r="P5" s="126">
        <v>1.834715548104437</v>
      </c>
      <c r="Q5" s="126">
        <v>2.553728526481308</v>
      </c>
    </row>
    <row r="6">
      <c r="A6" s="22">
        <v>2020.0</v>
      </c>
      <c r="B6" s="22" t="s">
        <v>37</v>
      </c>
      <c r="C6" s="123">
        <v>41.9627</v>
      </c>
      <c r="D6" s="123">
        <v>0.017283</v>
      </c>
      <c r="E6" s="22">
        <v>0.920257</v>
      </c>
      <c r="F6" s="22">
        <v>23.60597</v>
      </c>
      <c r="G6" s="22">
        <v>0.22611</v>
      </c>
      <c r="H6" s="22">
        <v>54.56</v>
      </c>
      <c r="I6" s="22">
        <v>52.92</v>
      </c>
      <c r="J6" s="22">
        <v>12.2739</v>
      </c>
      <c r="K6" s="22">
        <v>11.3076</v>
      </c>
      <c r="L6" s="22">
        <v>65.0</v>
      </c>
      <c r="M6" s="22">
        <v>63.0</v>
      </c>
      <c r="N6" s="22">
        <v>4.16333</v>
      </c>
      <c r="O6" s="22">
        <v>3.82797</v>
      </c>
      <c r="P6" s="126">
        <v>3.220934366525141</v>
      </c>
      <c r="Q6" s="126">
        <v>2.865413209122721</v>
      </c>
    </row>
    <row r="7">
      <c r="A7" s="22">
        <v>2019.0</v>
      </c>
      <c r="B7" s="22" t="s">
        <v>37</v>
      </c>
      <c r="C7" s="123">
        <v>23.9382</v>
      </c>
      <c r="D7" s="123">
        <v>0.0156707</v>
      </c>
      <c r="E7" s="22">
        <v>0.9276028</v>
      </c>
      <c r="F7" s="22">
        <v>23.40213</v>
      </c>
      <c r="G7" s="22">
        <v>0.1953</v>
      </c>
      <c r="H7" s="22">
        <v>52.92</v>
      </c>
      <c r="I7" s="22">
        <v>51.32</v>
      </c>
      <c r="J7" s="22">
        <v>11.3076</v>
      </c>
      <c r="K7" s="22">
        <v>11.3396</v>
      </c>
      <c r="L7" s="22">
        <v>63.0</v>
      </c>
      <c r="M7" s="22">
        <v>57.6</v>
      </c>
      <c r="N7" s="22">
        <v>3.82797</v>
      </c>
      <c r="O7" s="22">
        <v>4.08085</v>
      </c>
      <c r="P7" s="126">
        <v>2.795823674522497</v>
      </c>
      <c r="Q7" s="126">
        <v>7.359262701050056</v>
      </c>
    </row>
    <row r="8">
      <c r="A8" s="22">
        <v>2018.0</v>
      </c>
      <c r="B8" s="22" t="s">
        <v>37</v>
      </c>
      <c r="C8" s="123">
        <v>22.2706</v>
      </c>
      <c r="D8" s="123">
        <v>0.0155983</v>
      </c>
      <c r="E8" s="22">
        <v>0.9361805</v>
      </c>
      <c r="F8" s="22">
        <v>23.22373</v>
      </c>
      <c r="G8" s="22">
        <v>0.15954</v>
      </c>
      <c r="H8" s="22">
        <v>51.32</v>
      </c>
      <c r="I8" s="22">
        <v>50.65</v>
      </c>
      <c r="J8" s="22">
        <v>11.3396</v>
      </c>
      <c r="K8" s="22">
        <v>12.4741</v>
      </c>
      <c r="L8" s="22">
        <v>57.6</v>
      </c>
      <c r="M8" s="22">
        <v>55.0</v>
      </c>
      <c r="N8" s="22">
        <v>4.08085</v>
      </c>
      <c r="O8" s="22">
        <v>7.21942</v>
      </c>
      <c r="P8" s="126">
        <v>3.539628059426409</v>
      </c>
      <c r="Q8" s="126">
        <v>7.465006855727509</v>
      </c>
    </row>
    <row r="9">
      <c r="A9" s="22">
        <v>2017.0</v>
      </c>
      <c r="B9" s="22" t="s">
        <v>37</v>
      </c>
      <c r="C9" s="123">
        <v>23.1723</v>
      </c>
      <c r="D9" s="123">
        <v>0.0074499</v>
      </c>
      <c r="E9" s="22">
        <v>0.9436161</v>
      </c>
      <c r="F9" s="22">
        <v>23.07571</v>
      </c>
      <c r="G9" s="22">
        <v>0.44932</v>
      </c>
      <c r="H9" s="22">
        <v>50.65</v>
      </c>
      <c r="I9" s="22">
        <v>49.34</v>
      </c>
      <c r="J9" s="22">
        <v>12.4741</v>
      </c>
      <c r="K9" s="22">
        <v>14.0523</v>
      </c>
      <c r="L9" s="22">
        <v>55.0</v>
      </c>
      <c r="M9" s="22">
        <v>44.0</v>
      </c>
      <c r="N9" s="22">
        <v>7.21942</v>
      </c>
      <c r="O9" s="22">
        <v>7.37111</v>
      </c>
      <c r="P9" s="126">
        <v>3.520256888116174</v>
      </c>
      <c r="Q9" s="126">
        <v>6.94019037359206</v>
      </c>
    </row>
    <row r="10">
      <c r="A10" s="22">
        <v>2016.0</v>
      </c>
      <c r="B10" s="22" t="s">
        <v>37</v>
      </c>
      <c r="C10" s="123">
        <v>13.8395</v>
      </c>
      <c r="D10" s="123">
        <v>0.0056709</v>
      </c>
      <c r="E10" s="22">
        <v>0.9398208</v>
      </c>
      <c r="F10" s="22">
        <v>22.70461</v>
      </c>
      <c r="G10" s="22">
        <v>0.21761</v>
      </c>
      <c r="H10" s="22">
        <v>49.34</v>
      </c>
      <c r="I10" s="22">
        <v>48.04</v>
      </c>
      <c r="J10" s="22">
        <v>14.0523</v>
      </c>
      <c r="K10" s="22">
        <v>19.6496</v>
      </c>
      <c r="L10" s="22">
        <v>44.0</v>
      </c>
      <c r="M10" s="22">
        <v>41.0</v>
      </c>
      <c r="N10" s="22">
        <v>7.37111</v>
      </c>
      <c r="O10" s="22">
        <v>2.51661</v>
      </c>
      <c r="P10" s="126">
        <v>2.668248169690822</v>
      </c>
      <c r="Q10" s="126">
        <v>6.690008926604236</v>
      </c>
    </row>
    <row r="11">
      <c r="A11" s="22">
        <v>2015.0</v>
      </c>
      <c r="B11" s="22" t="s">
        <v>37</v>
      </c>
      <c r="C11" s="123">
        <v>16.2396</v>
      </c>
      <c r="D11" s="123">
        <v>0.005104</v>
      </c>
      <c r="E11" s="22">
        <v>0.9365247</v>
      </c>
      <c r="F11" s="22">
        <v>22.50772</v>
      </c>
      <c r="G11" s="22">
        <v>0.01182</v>
      </c>
      <c r="H11" s="22">
        <v>48.04</v>
      </c>
      <c r="I11" s="22">
        <v>46.98</v>
      </c>
      <c r="J11" s="22">
        <v>19.6496</v>
      </c>
      <c r="K11" s="22">
        <v>28.8466</v>
      </c>
      <c r="L11" s="22">
        <v>41.0</v>
      </c>
      <c r="M11" s="22">
        <v>39.0</v>
      </c>
      <c r="N11" s="22">
        <v>2.51661</v>
      </c>
      <c r="O11" s="32"/>
      <c r="P11" s="126">
        <v>0.6312009051757544</v>
      </c>
      <c r="Q11" s="126">
        <v>6.98715430598611</v>
      </c>
    </row>
    <row r="12">
      <c r="A12" s="22">
        <v>2014.0</v>
      </c>
      <c r="B12" s="22" t="s">
        <v>37</v>
      </c>
      <c r="C12" s="123">
        <v>13.7216</v>
      </c>
      <c r="D12" s="123">
        <v>0.0052993</v>
      </c>
      <c r="E12" s="22">
        <v>0.9309765</v>
      </c>
      <c r="F12" s="22">
        <v>22.49597</v>
      </c>
      <c r="G12" s="22">
        <v>-0.96886</v>
      </c>
      <c r="H12" s="22">
        <v>46.98</v>
      </c>
      <c r="I12" s="32"/>
      <c r="J12" s="22">
        <v>28.8466</v>
      </c>
      <c r="K12" s="32"/>
      <c r="L12" s="22">
        <v>39.0</v>
      </c>
      <c r="M12" s="32"/>
      <c r="N12" s="32"/>
      <c r="O12" s="32"/>
      <c r="P12" s="126">
        <v>4.084554466376173</v>
      </c>
      <c r="Q12" s="126">
        <v>6.422243121185673</v>
      </c>
    </row>
    <row r="13">
      <c r="A13" s="22">
        <v>2024.0</v>
      </c>
      <c r="B13" s="22" t="s">
        <v>95</v>
      </c>
      <c r="C13" s="123">
        <v>186.148</v>
      </c>
      <c r="D13" s="123">
        <v>0.0063065</v>
      </c>
      <c r="E13" s="22">
        <v>0.8161203</v>
      </c>
      <c r="F13" s="22">
        <v>25.96537</v>
      </c>
      <c r="G13" s="22">
        <v>0.17123</v>
      </c>
      <c r="H13" s="22">
        <v>57.56</v>
      </c>
      <c r="I13" s="22">
        <v>56.57</v>
      </c>
      <c r="J13" s="22">
        <v>23.6602</v>
      </c>
      <c r="K13" s="22">
        <v>21.6149</v>
      </c>
      <c r="L13" s="22">
        <v>88.2</v>
      </c>
      <c r="M13" s="22">
        <v>86.8</v>
      </c>
      <c r="N13" s="32"/>
      <c r="O13" s="22">
        <v>1.06927</v>
      </c>
      <c r="P13" s="126">
        <v>3.621092738858435</v>
      </c>
      <c r="Q13" s="126">
        <v>7.091187466339747</v>
      </c>
    </row>
    <row r="14">
      <c r="A14" s="22">
        <v>2023.0</v>
      </c>
      <c r="B14" s="22" t="s">
        <v>95</v>
      </c>
      <c r="C14" s="123">
        <v>255.552</v>
      </c>
      <c r="D14" s="123">
        <v>0.0030795</v>
      </c>
      <c r="E14" s="22">
        <v>0.7779968</v>
      </c>
      <c r="F14" s="22">
        <v>25.80732</v>
      </c>
      <c r="G14" s="22">
        <v>0.58583</v>
      </c>
      <c r="H14" s="22">
        <v>56.57</v>
      </c>
      <c r="I14" s="22">
        <v>55.52</v>
      </c>
      <c r="J14" s="22">
        <v>21.6149</v>
      </c>
      <c r="K14" s="22">
        <v>18.1757</v>
      </c>
      <c r="L14" s="22">
        <v>86.8</v>
      </c>
      <c r="M14" s="22">
        <v>86.1</v>
      </c>
      <c r="N14" s="22">
        <v>1.06927</v>
      </c>
      <c r="O14" s="22">
        <v>1.45717</v>
      </c>
      <c r="P14" s="126">
        <v>3.252892826676616</v>
      </c>
      <c r="Q14" s="126">
        <v>5.06502391455075</v>
      </c>
    </row>
    <row r="15">
      <c r="A15" s="22">
        <v>2022.0</v>
      </c>
      <c r="B15" s="22" t="s">
        <v>95</v>
      </c>
      <c r="C15" s="123">
        <v>355.316</v>
      </c>
      <c r="D15" s="123">
        <v>0.0035406</v>
      </c>
      <c r="E15" s="22">
        <v>0.7650611</v>
      </c>
      <c r="F15" s="22">
        <v>25.34621</v>
      </c>
      <c r="G15" s="22">
        <v>-0.19011</v>
      </c>
      <c r="H15" s="22">
        <v>55.52</v>
      </c>
      <c r="I15" s="22">
        <v>53.94</v>
      </c>
      <c r="J15" s="22">
        <v>18.1757</v>
      </c>
      <c r="K15" s="22">
        <v>12.1839</v>
      </c>
      <c r="L15" s="22">
        <v>86.1</v>
      </c>
      <c r="M15" s="22">
        <v>84.0</v>
      </c>
      <c r="N15" s="22">
        <v>1.45717</v>
      </c>
      <c r="O15" s="22">
        <v>2.1</v>
      </c>
      <c r="P15" s="126">
        <v>3.156507499631293</v>
      </c>
      <c r="Q15" s="126">
        <v>8.537500467557877</v>
      </c>
    </row>
    <row r="16">
      <c r="A16" s="22">
        <v>2021.0</v>
      </c>
      <c r="B16" s="22" t="s">
        <v>95</v>
      </c>
      <c r="C16" s="123">
        <v>751.516</v>
      </c>
      <c r="D16" s="123">
        <v>-0.0176434</v>
      </c>
      <c r="E16" s="22">
        <v>0.6275032</v>
      </c>
      <c r="F16" s="22">
        <v>25.55707</v>
      </c>
      <c r="G16" s="22">
        <v>0.13755</v>
      </c>
      <c r="H16" s="22">
        <v>53.94</v>
      </c>
      <c r="I16" s="22">
        <v>54.56</v>
      </c>
      <c r="J16" s="22">
        <v>12.1839</v>
      </c>
      <c r="K16" s="22">
        <v>12.2739</v>
      </c>
      <c r="L16" s="22">
        <v>84.0</v>
      </c>
      <c r="M16" s="22">
        <v>81.9</v>
      </c>
      <c r="N16" s="22">
        <v>2.1</v>
      </c>
      <c r="O16" s="22">
        <v>5.78302</v>
      </c>
      <c r="P16" s="126">
        <v>1.834715548104437</v>
      </c>
      <c r="Q16" s="126">
        <v>2.553728526481308</v>
      </c>
    </row>
    <row r="17">
      <c r="A17" s="22">
        <v>2020.0</v>
      </c>
      <c r="B17" s="22" t="s">
        <v>95</v>
      </c>
      <c r="C17" s="123">
        <v>765.976</v>
      </c>
      <c r="D17" s="123">
        <v>0.0107374</v>
      </c>
      <c r="E17" s="22">
        <v>0.677883</v>
      </c>
      <c r="F17" s="22">
        <v>25.42819</v>
      </c>
      <c r="G17" s="22">
        <v>-0.15031</v>
      </c>
      <c r="H17" s="22">
        <v>54.56</v>
      </c>
      <c r="I17" s="22">
        <v>52.92</v>
      </c>
      <c r="J17" s="22">
        <v>12.2739</v>
      </c>
      <c r="K17" s="22">
        <v>11.3076</v>
      </c>
      <c r="L17" s="22">
        <v>81.9</v>
      </c>
      <c r="M17" s="22">
        <v>73.1</v>
      </c>
      <c r="N17" s="22">
        <v>5.78302</v>
      </c>
      <c r="O17" s="22">
        <v>6.09289</v>
      </c>
      <c r="P17" s="126">
        <v>3.220934366525141</v>
      </c>
      <c r="Q17" s="126">
        <v>2.865413209122721</v>
      </c>
    </row>
    <row r="18">
      <c r="A18" s="22">
        <v>2019.0</v>
      </c>
      <c r="B18" s="22" t="s">
        <v>95</v>
      </c>
      <c r="C18" s="123">
        <v>808.781</v>
      </c>
      <c r="D18" s="123">
        <v>0.0191128</v>
      </c>
      <c r="E18" s="22">
        <v>0.7013217</v>
      </c>
      <c r="F18" s="22">
        <v>25.59108</v>
      </c>
      <c r="G18" s="22">
        <v>0.06679</v>
      </c>
      <c r="H18" s="22">
        <v>52.92</v>
      </c>
      <c r="I18" s="22">
        <v>51.32</v>
      </c>
      <c r="J18" s="22">
        <v>11.3076</v>
      </c>
      <c r="K18" s="22">
        <v>11.3396</v>
      </c>
      <c r="L18" s="22">
        <v>73.1</v>
      </c>
      <c r="M18" s="22">
        <v>70.2</v>
      </c>
      <c r="N18" s="22">
        <v>6.09289</v>
      </c>
      <c r="O18" s="22">
        <v>3.78197</v>
      </c>
      <c r="P18" s="126">
        <v>2.795823674522497</v>
      </c>
      <c r="Q18" s="126">
        <v>7.359262701050056</v>
      </c>
    </row>
    <row r="19">
      <c r="A19" s="22">
        <v>2018.0</v>
      </c>
      <c r="B19" s="22" t="s">
        <v>95</v>
      </c>
      <c r="C19" s="123">
        <v>776.158</v>
      </c>
      <c r="D19" s="123">
        <v>0.0216498</v>
      </c>
      <c r="E19" s="22">
        <v>0.6558231</v>
      </c>
      <c r="F19" s="22">
        <v>25.52642</v>
      </c>
      <c r="G19" s="22">
        <v>0.36423</v>
      </c>
      <c r="H19" s="22">
        <v>51.32</v>
      </c>
      <c r="I19" s="22">
        <v>50.65</v>
      </c>
      <c r="J19" s="22">
        <v>11.3396</v>
      </c>
      <c r="K19" s="22">
        <v>12.4741</v>
      </c>
      <c r="L19" s="22">
        <v>70.2</v>
      </c>
      <c r="M19" s="22">
        <v>65.6</v>
      </c>
      <c r="N19" s="22">
        <v>3.78197</v>
      </c>
      <c r="O19" s="22">
        <v>4.30349</v>
      </c>
      <c r="P19" s="126">
        <v>3.539628059426409</v>
      </c>
      <c r="Q19" s="126">
        <v>7.465006855727509</v>
      </c>
    </row>
    <row r="20">
      <c r="A20" s="22">
        <v>2017.0</v>
      </c>
      <c r="B20" s="22" t="s">
        <v>95</v>
      </c>
      <c r="C20" s="123">
        <v>701.365</v>
      </c>
      <c r="D20" s="123">
        <v>0.0264507</v>
      </c>
      <c r="E20" s="22">
        <v>0.7541676</v>
      </c>
      <c r="F20" s="22">
        <v>25.21583</v>
      </c>
      <c r="G20" s="22">
        <v>0.55083</v>
      </c>
      <c r="H20" s="22">
        <v>50.65</v>
      </c>
      <c r="I20" s="22">
        <v>49.34</v>
      </c>
      <c r="J20" s="22">
        <v>12.4741</v>
      </c>
      <c r="K20" s="22">
        <v>14.0523</v>
      </c>
      <c r="L20" s="22">
        <v>65.6</v>
      </c>
      <c r="M20" s="22">
        <v>61.6</v>
      </c>
      <c r="N20" s="22">
        <v>4.30349</v>
      </c>
      <c r="O20" s="22">
        <v>3.90043</v>
      </c>
      <c r="P20" s="126">
        <v>3.520256888116174</v>
      </c>
      <c r="Q20" s="126">
        <v>6.94019037359206</v>
      </c>
    </row>
    <row r="21">
      <c r="A21" s="22">
        <v>2016.0</v>
      </c>
      <c r="B21" s="22" t="s">
        <v>95</v>
      </c>
      <c r="C21" s="123">
        <v>314.899</v>
      </c>
      <c r="D21" s="123">
        <v>0.0242983</v>
      </c>
      <c r="E21" s="22">
        <v>0.7367979</v>
      </c>
      <c r="F21" s="22">
        <v>24.77704</v>
      </c>
      <c r="G21" s="22">
        <v>0.69215</v>
      </c>
      <c r="H21" s="22">
        <v>49.34</v>
      </c>
      <c r="I21" s="22">
        <v>48.04</v>
      </c>
      <c r="J21" s="22">
        <v>14.0523</v>
      </c>
      <c r="K21" s="22">
        <v>19.6496</v>
      </c>
      <c r="L21" s="22">
        <v>61.6</v>
      </c>
      <c r="M21" s="22">
        <v>57.8</v>
      </c>
      <c r="N21" s="22">
        <v>3.90043</v>
      </c>
      <c r="O21" s="22">
        <v>3.8</v>
      </c>
      <c r="P21" s="126">
        <v>2.668248169690822</v>
      </c>
      <c r="Q21" s="126">
        <v>6.690008926604236</v>
      </c>
    </row>
    <row r="22">
      <c r="A22" s="22">
        <v>2015.0</v>
      </c>
      <c r="B22" s="22" t="s">
        <v>95</v>
      </c>
      <c r="C22" s="123">
        <v>247.473</v>
      </c>
      <c r="D22" s="123">
        <v>0.0103156</v>
      </c>
      <c r="E22" s="22">
        <v>0.7417808</v>
      </c>
      <c r="F22" s="22">
        <v>24.25104</v>
      </c>
      <c r="G22" s="22">
        <v>0.22812</v>
      </c>
      <c r="H22" s="22">
        <v>48.04</v>
      </c>
      <c r="I22" s="22">
        <v>46.98</v>
      </c>
      <c r="J22" s="22">
        <v>19.6496</v>
      </c>
      <c r="K22" s="22">
        <v>28.8466</v>
      </c>
      <c r="L22" s="22">
        <v>57.8</v>
      </c>
      <c r="M22" s="22">
        <v>54.0</v>
      </c>
      <c r="N22" s="22">
        <v>3.8</v>
      </c>
      <c r="O22" s="32"/>
      <c r="P22" s="126">
        <v>0.6312009051757544</v>
      </c>
      <c r="Q22" s="126">
        <v>6.98715430598611</v>
      </c>
    </row>
    <row r="23">
      <c r="A23" s="22">
        <v>2014.0</v>
      </c>
      <c r="B23" s="22" t="s">
        <v>95</v>
      </c>
      <c r="C23" s="123">
        <v>212.122</v>
      </c>
      <c r="D23" s="123">
        <v>0.0419236</v>
      </c>
      <c r="E23" s="22">
        <v>0.6950954</v>
      </c>
      <c r="F23" s="22">
        <v>24.04555</v>
      </c>
      <c r="G23" s="22">
        <v>-0.66669</v>
      </c>
      <c r="H23" s="22">
        <v>46.98</v>
      </c>
      <c r="I23" s="32"/>
      <c r="J23" s="22">
        <v>28.8466</v>
      </c>
      <c r="K23" s="32"/>
      <c r="L23" s="22">
        <v>54.0</v>
      </c>
      <c r="M23" s="32"/>
      <c r="N23" s="32"/>
      <c r="O23" s="32"/>
      <c r="P23" s="126">
        <v>4.084554466376173</v>
      </c>
      <c r="Q23" s="126">
        <v>6.422243121185673</v>
      </c>
    </row>
    <row r="24">
      <c r="A24" s="22">
        <v>2024.0</v>
      </c>
      <c r="B24" s="22" t="s">
        <v>160</v>
      </c>
      <c r="C24" s="123">
        <v>393.859</v>
      </c>
      <c r="D24" s="123">
        <v>0.0289487</v>
      </c>
      <c r="E24" s="22">
        <v>0.7238713</v>
      </c>
      <c r="F24" s="22">
        <v>25.14425</v>
      </c>
      <c r="G24" s="22">
        <v>0.06295</v>
      </c>
      <c r="H24" s="22">
        <v>57.56</v>
      </c>
      <c r="I24" s="22">
        <v>56.57</v>
      </c>
      <c r="J24" s="22">
        <v>23.6602</v>
      </c>
      <c r="K24" s="22">
        <v>21.6149</v>
      </c>
      <c r="L24" s="22">
        <v>89.9</v>
      </c>
      <c r="M24" s="22">
        <v>85.6</v>
      </c>
      <c r="N24" s="32"/>
      <c r="O24" s="22">
        <v>6.6752</v>
      </c>
      <c r="P24" s="126">
        <v>3.621092738858435</v>
      </c>
      <c r="Q24" s="126">
        <v>7.091187466339747</v>
      </c>
    </row>
    <row r="25">
      <c r="A25" s="22">
        <v>2023.0</v>
      </c>
      <c r="B25" s="22" t="s">
        <v>160</v>
      </c>
      <c r="C25" s="123">
        <v>431.577</v>
      </c>
      <c r="D25" s="123">
        <v>0.0126875</v>
      </c>
      <c r="E25" s="22">
        <v>0.7405595</v>
      </c>
      <c r="F25" s="22">
        <v>25.08319</v>
      </c>
      <c r="G25" s="22">
        <v>0.02707</v>
      </c>
      <c r="H25" s="22">
        <v>56.57</v>
      </c>
      <c r="I25" s="22">
        <v>55.52</v>
      </c>
      <c r="J25" s="22">
        <v>21.6149</v>
      </c>
      <c r="K25" s="22">
        <v>18.1757</v>
      </c>
      <c r="L25" s="22">
        <v>85.6</v>
      </c>
      <c r="M25" s="22">
        <v>81.7</v>
      </c>
      <c r="N25" s="22">
        <v>6.6752</v>
      </c>
      <c r="O25" s="22">
        <v>8.13296</v>
      </c>
      <c r="P25" s="126">
        <v>3.252892826676616</v>
      </c>
      <c r="Q25" s="126">
        <v>5.06502391455075</v>
      </c>
    </row>
    <row r="26">
      <c r="A26" s="22">
        <v>2022.0</v>
      </c>
      <c r="B26" s="22" t="s">
        <v>160</v>
      </c>
      <c r="C26" s="123">
        <v>450.093</v>
      </c>
      <c r="D26" s="123">
        <v>0.0336373</v>
      </c>
      <c r="E26" s="22">
        <v>0.7407952</v>
      </c>
      <c r="F26" s="22">
        <v>25.05649</v>
      </c>
      <c r="G26" s="22">
        <v>-0.14036</v>
      </c>
      <c r="H26" s="22">
        <v>55.52</v>
      </c>
      <c r="I26" s="22">
        <v>53.94</v>
      </c>
      <c r="J26" s="22">
        <v>18.1757</v>
      </c>
      <c r="K26" s="22">
        <v>12.1839</v>
      </c>
      <c r="L26" s="22">
        <v>81.7</v>
      </c>
      <c r="M26" s="22">
        <v>77.0</v>
      </c>
      <c r="N26" s="22">
        <v>8.13296</v>
      </c>
      <c r="O26" s="22">
        <v>10.9714</v>
      </c>
      <c r="P26" s="126">
        <v>3.156507499631293</v>
      </c>
      <c r="Q26" s="126">
        <v>8.537500467557877</v>
      </c>
    </row>
    <row r="27">
      <c r="A27" s="22">
        <v>2021.0</v>
      </c>
      <c r="B27" s="22" t="s">
        <v>160</v>
      </c>
      <c r="C27" s="123">
        <v>886.613</v>
      </c>
      <c r="D27" s="123">
        <v>0.0801103</v>
      </c>
      <c r="E27" s="22">
        <v>0.6642439</v>
      </c>
      <c r="F27" s="22">
        <v>25.20772</v>
      </c>
      <c r="G27" s="22">
        <v>0.14778</v>
      </c>
      <c r="H27" s="22">
        <v>53.94</v>
      </c>
      <c r="I27" s="22">
        <v>54.56</v>
      </c>
      <c r="J27" s="22">
        <v>12.1839</v>
      </c>
      <c r="K27" s="22">
        <v>12.2739</v>
      </c>
      <c r="L27" s="22">
        <v>77.0</v>
      </c>
      <c r="M27" s="22">
        <v>68.7</v>
      </c>
      <c r="N27" s="22">
        <v>10.9714</v>
      </c>
      <c r="O27" s="22">
        <v>10.7675</v>
      </c>
      <c r="P27" s="126">
        <v>1.834715548104437</v>
      </c>
      <c r="Q27" s="126">
        <v>2.553728526481308</v>
      </c>
    </row>
    <row r="28">
      <c r="A28" s="22">
        <v>2020.0</v>
      </c>
      <c r="B28" s="22" t="s">
        <v>160</v>
      </c>
      <c r="C28" s="123">
        <v>972.185</v>
      </c>
      <c r="D28" s="123">
        <v>0.0120533</v>
      </c>
      <c r="E28" s="22">
        <v>0.7837306</v>
      </c>
      <c r="F28" s="22">
        <v>25.0699</v>
      </c>
      <c r="G28" s="22">
        <v>1.06718</v>
      </c>
      <c r="H28" s="22">
        <v>54.56</v>
      </c>
      <c r="I28" s="22">
        <v>52.92</v>
      </c>
      <c r="J28" s="22">
        <v>12.2739</v>
      </c>
      <c r="K28" s="22">
        <v>11.3076</v>
      </c>
      <c r="L28" s="22">
        <v>68.7</v>
      </c>
      <c r="M28" s="22">
        <v>60.2</v>
      </c>
      <c r="N28" s="22">
        <v>10.7675</v>
      </c>
      <c r="O28" s="22">
        <v>7.2321</v>
      </c>
      <c r="P28" s="126">
        <v>3.220934366525141</v>
      </c>
      <c r="Q28" s="126">
        <v>2.865413209122721</v>
      </c>
    </row>
    <row r="29">
      <c r="A29" s="22">
        <v>2019.0</v>
      </c>
      <c r="B29" s="22" t="s">
        <v>160</v>
      </c>
      <c r="C29" s="123">
        <v>1222.49</v>
      </c>
      <c r="D29" s="123">
        <v>0.0654141</v>
      </c>
      <c r="E29" s="22">
        <v>0.4667022</v>
      </c>
      <c r="F29" s="22">
        <v>24.34371</v>
      </c>
      <c r="G29" s="22">
        <v>-0.02183</v>
      </c>
      <c r="H29" s="22">
        <v>52.92</v>
      </c>
      <c r="I29" s="22">
        <v>51.32</v>
      </c>
      <c r="J29" s="22">
        <v>11.3076</v>
      </c>
      <c r="K29" s="22">
        <v>11.3396</v>
      </c>
      <c r="L29" s="22">
        <v>60.2</v>
      </c>
      <c r="M29" s="22">
        <v>60.5</v>
      </c>
      <c r="N29" s="22">
        <v>7.2321</v>
      </c>
      <c r="O29" s="22">
        <v>5.46855</v>
      </c>
      <c r="P29" s="126">
        <v>2.795823674522497</v>
      </c>
      <c r="Q29" s="126">
        <v>7.359262701050056</v>
      </c>
    </row>
    <row r="30">
      <c r="A30" s="22">
        <v>2018.0</v>
      </c>
      <c r="B30" s="22" t="s">
        <v>160</v>
      </c>
      <c r="C30" s="123">
        <v>1518.66</v>
      </c>
      <c r="D30" s="123">
        <v>0.087049</v>
      </c>
      <c r="E30" s="22">
        <v>0.4722761</v>
      </c>
      <c r="F30" s="22">
        <v>24.36578</v>
      </c>
      <c r="G30" s="22">
        <v>0.01507</v>
      </c>
      <c r="H30" s="22">
        <v>51.32</v>
      </c>
      <c r="I30" s="22">
        <v>50.65</v>
      </c>
      <c r="J30" s="22">
        <v>11.3396</v>
      </c>
      <c r="K30" s="22">
        <v>12.4741</v>
      </c>
      <c r="L30" s="22">
        <v>60.5</v>
      </c>
      <c r="M30" s="22">
        <v>55.5</v>
      </c>
      <c r="N30" s="22">
        <v>5.46855</v>
      </c>
      <c r="O30" s="22">
        <v>9.53389</v>
      </c>
      <c r="P30" s="126">
        <v>3.539628059426409</v>
      </c>
      <c r="Q30" s="126">
        <v>7.465006855727509</v>
      </c>
    </row>
    <row r="31">
      <c r="A31" s="22">
        <v>2017.0</v>
      </c>
      <c r="B31" s="22" t="s">
        <v>160</v>
      </c>
      <c r="C31" s="123">
        <v>687.239</v>
      </c>
      <c r="D31" s="123">
        <v>0.0567885</v>
      </c>
      <c r="E31" s="22">
        <v>0.681636</v>
      </c>
      <c r="F31" s="22">
        <v>24.35082</v>
      </c>
      <c r="G31" s="22">
        <v>-0.1311</v>
      </c>
      <c r="H31" s="22">
        <v>50.65</v>
      </c>
      <c r="I31" s="22">
        <v>49.34</v>
      </c>
      <c r="J31" s="22">
        <v>12.4741</v>
      </c>
      <c r="K31" s="22">
        <v>14.0523</v>
      </c>
      <c r="L31" s="22">
        <v>55.5</v>
      </c>
      <c r="M31" s="22">
        <v>48.7</v>
      </c>
      <c r="N31" s="22">
        <v>9.53389</v>
      </c>
      <c r="O31" s="22">
        <v>10.0022</v>
      </c>
      <c r="P31" s="126">
        <v>3.520256888116174</v>
      </c>
      <c r="Q31" s="126">
        <v>6.94019037359206</v>
      </c>
    </row>
    <row r="32">
      <c r="A32" s="22">
        <v>2016.0</v>
      </c>
      <c r="B32" s="22" t="s">
        <v>160</v>
      </c>
      <c r="C32" s="123">
        <v>316.159</v>
      </c>
      <c r="D32" s="123">
        <v>0.0516504</v>
      </c>
      <c r="E32" s="22">
        <v>0.7218936</v>
      </c>
      <c r="F32" s="22">
        <v>24.49135</v>
      </c>
      <c r="G32" s="22">
        <v>0.41362</v>
      </c>
      <c r="H32" s="22">
        <v>49.34</v>
      </c>
      <c r="I32" s="22">
        <v>48.04</v>
      </c>
      <c r="J32" s="22">
        <v>14.0523</v>
      </c>
      <c r="K32" s="22">
        <v>19.6496</v>
      </c>
      <c r="L32" s="22">
        <v>48.7</v>
      </c>
      <c r="M32" s="22">
        <v>42.2</v>
      </c>
      <c r="N32" s="22">
        <v>10.0022</v>
      </c>
      <c r="O32" s="22">
        <v>13.537</v>
      </c>
      <c r="P32" s="126">
        <v>2.668248169690822</v>
      </c>
      <c r="Q32" s="126">
        <v>6.690008926604236</v>
      </c>
    </row>
    <row r="33">
      <c r="A33" s="22">
        <v>2015.0</v>
      </c>
      <c r="B33" s="22" t="s">
        <v>160</v>
      </c>
      <c r="C33" s="123">
        <v>253.47</v>
      </c>
      <c r="D33" s="123">
        <v>0.0351741</v>
      </c>
      <c r="E33" s="22">
        <v>0.6226978</v>
      </c>
      <c r="F33" s="22">
        <v>24.14519</v>
      </c>
      <c r="G33" s="22">
        <v>0.90004</v>
      </c>
      <c r="H33" s="22">
        <v>48.04</v>
      </c>
      <c r="I33" s="22">
        <v>46.98</v>
      </c>
      <c r="J33" s="22">
        <v>19.6496</v>
      </c>
      <c r="K33" s="22">
        <v>28.8466</v>
      </c>
      <c r="L33" s="22">
        <v>42.2</v>
      </c>
      <c r="M33" s="22">
        <v>37.2</v>
      </c>
      <c r="N33" s="22">
        <v>13.537</v>
      </c>
      <c r="O33" s="32"/>
      <c r="P33" s="126">
        <v>0.6312009051757544</v>
      </c>
      <c r="Q33" s="126">
        <v>6.98715430598611</v>
      </c>
    </row>
    <row r="34">
      <c r="A34" s="22">
        <v>2014.0</v>
      </c>
      <c r="B34" s="22" t="s">
        <v>160</v>
      </c>
      <c r="C34" s="123">
        <v>284.827</v>
      </c>
      <c r="D34" s="123">
        <v>0.0384601</v>
      </c>
      <c r="E34" s="22">
        <v>0.5860456</v>
      </c>
      <c r="F34" s="22">
        <v>23.50332</v>
      </c>
      <c r="G34" s="22">
        <v>-0.88391</v>
      </c>
      <c r="H34" s="22">
        <v>46.98</v>
      </c>
      <c r="I34" s="32"/>
      <c r="J34" s="22">
        <v>28.8466</v>
      </c>
      <c r="K34" s="32"/>
      <c r="L34" s="22">
        <v>37.2</v>
      </c>
      <c r="M34" s="32"/>
      <c r="N34" s="32"/>
      <c r="O34" s="32"/>
      <c r="P34" s="126">
        <v>4.084554466376173</v>
      </c>
      <c r="Q34" s="126">
        <v>6.422243121185673</v>
      </c>
    </row>
    <row r="35">
      <c r="A35" s="22">
        <v>2024.0</v>
      </c>
      <c r="B35" s="22" t="s">
        <v>226</v>
      </c>
      <c r="C35" s="123">
        <v>575.735</v>
      </c>
      <c r="D35" s="123">
        <v>0.0535438</v>
      </c>
      <c r="E35" s="22">
        <v>0.4892975</v>
      </c>
      <c r="F35" s="22">
        <v>25.6567</v>
      </c>
      <c r="G35" s="22">
        <v>0.16731</v>
      </c>
      <c r="H35" s="22">
        <v>57.56</v>
      </c>
      <c r="I35" s="22">
        <v>56.57</v>
      </c>
      <c r="J35" s="22">
        <v>23.6602</v>
      </c>
      <c r="K35" s="22">
        <v>21.6149</v>
      </c>
      <c r="L35" s="22">
        <v>78.7</v>
      </c>
      <c r="M35" s="22">
        <v>74.1</v>
      </c>
      <c r="N35" s="32"/>
      <c r="O35" s="22">
        <v>3.73631</v>
      </c>
      <c r="P35" s="126">
        <v>3.621092738858435</v>
      </c>
      <c r="Q35" s="126">
        <v>7.091187466339747</v>
      </c>
    </row>
    <row r="36">
      <c r="A36" s="22">
        <v>2023.0</v>
      </c>
      <c r="B36" s="22" t="s">
        <v>226</v>
      </c>
      <c r="C36" s="123">
        <v>656.124</v>
      </c>
      <c r="D36" s="123">
        <v>0.0362142</v>
      </c>
      <c r="E36" s="22">
        <v>0.4523644</v>
      </c>
      <c r="F36" s="22">
        <v>25.502</v>
      </c>
      <c r="G36" s="22">
        <v>-0.1588</v>
      </c>
      <c r="H36" s="22">
        <v>56.57</v>
      </c>
      <c r="I36" s="22">
        <v>55.52</v>
      </c>
      <c r="J36" s="22">
        <v>21.6149</v>
      </c>
      <c r="K36" s="22">
        <v>18.1757</v>
      </c>
      <c r="L36" s="22">
        <v>74.1</v>
      </c>
      <c r="M36" s="22">
        <v>71.3</v>
      </c>
      <c r="N36" s="22">
        <v>3.73631</v>
      </c>
      <c r="O36" s="22">
        <v>1.92959</v>
      </c>
      <c r="P36" s="126">
        <v>3.252892826676616</v>
      </c>
      <c r="Q36" s="126">
        <v>5.06502391455075</v>
      </c>
    </row>
    <row r="37">
      <c r="A37" s="22">
        <v>2022.0</v>
      </c>
      <c r="B37" s="22" t="s">
        <v>226</v>
      </c>
      <c r="C37" s="123">
        <v>358.52</v>
      </c>
      <c r="D37" s="123">
        <v>0.0495753</v>
      </c>
      <c r="E37" s="22">
        <v>0.4357434</v>
      </c>
      <c r="F37" s="22">
        <v>25.67492</v>
      </c>
      <c r="G37" s="22">
        <v>-0.05525</v>
      </c>
      <c r="H37" s="22">
        <v>55.52</v>
      </c>
      <c r="I37" s="22">
        <v>53.94</v>
      </c>
      <c r="J37" s="22">
        <v>18.1757</v>
      </c>
      <c r="K37" s="22">
        <v>12.1839</v>
      </c>
      <c r="L37" s="22">
        <v>71.3</v>
      </c>
      <c r="M37" s="22">
        <v>70.4</v>
      </c>
      <c r="N37" s="22">
        <v>1.92959</v>
      </c>
      <c r="O37" s="22">
        <v>3.29292</v>
      </c>
      <c r="P37" s="126">
        <v>3.156507499631293</v>
      </c>
      <c r="Q37" s="126">
        <v>8.537500467557877</v>
      </c>
    </row>
    <row r="38">
      <c r="A38" s="22">
        <v>2021.0</v>
      </c>
      <c r="B38" s="22" t="s">
        <v>226</v>
      </c>
      <c r="C38" s="123">
        <v>495.03</v>
      </c>
      <c r="D38" s="123">
        <v>0.1936807</v>
      </c>
      <c r="E38" s="22">
        <v>0.490673</v>
      </c>
      <c r="F38" s="22">
        <v>25.73176</v>
      </c>
      <c r="G38" s="22">
        <v>0.66092</v>
      </c>
      <c r="H38" s="22">
        <v>53.94</v>
      </c>
      <c r="I38" s="22">
        <v>54.56</v>
      </c>
      <c r="J38" s="22">
        <v>12.1839</v>
      </c>
      <c r="K38" s="22">
        <v>12.2739</v>
      </c>
      <c r="L38" s="22">
        <v>70.4</v>
      </c>
      <c r="M38" s="22">
        <v>65.2</v>
      </c>
      <c r="N38" s="22">
        <v>3.29292</v>
      </c>
      <c r="O38" s="22">
        <v>5.25008</v>
      </c>
      <c r="P38" s="126">
        <v>1.834715548104437</v>
      </c>
      <c r="Q38" s="126">
        <v>2.553728526481308</v>
      </c>
    </row>
    <row r="39">
      <c r="A39" s="22">
        <v>2020.0</v>
      </c>
      <c r="B39" s="22" t="s">
        <v>226</v>
      </c>
      <c r="C39" s="123">
        <v>368.105</v>
      </c>
      <c r="D39" s="123">
        <v>0.1026995</v>
      </c>
      <c r="E39" s="22">
        <v>0.5496986</v>
      </c>
      <c r="F39" s="22">
        <v>25.22439</v>
      </c>
      <c r="G39" s="22">
        <v>0.41566</v>
      </c>
      <c r="H39" s="22">
        <v>54.56</v>
      </c>
      <c r="I39" s="22">
        <v>52.92</v>
      </c>
      <c r="J39" s="22">
        <v>12.2739</v>
      </c>
      <c r="K39" s="22">
        <v>11.3076</v>
      </c>
      <c r="L39" s="22">
        <v>65.2</v>
      </c>
      <c r="M39" s="22">
        <v>59.9</v>
      </c>
      <c r="N39" s="22">
        <v>5.25008</v>
      </c>
      <c r="O39" s="22">
        <v>4.85695</v>
      </c>
      <c r="P39" s="126">
        <v>3.220934366525141</v>
      </c>
      <c r="Q39" s="126">
        <v>2.865413209122721</v>
      </c>
    </row>
    <row r="40">
      <c r="A40" s="22">
        <v>2019.0</v>
      </c>
      <c r="B40" s="22" t="s">
        <v>226</v>
      </c>
      <c r="C40" s="123">
        <v>170.508</v>
      </c>
      <c r="D40" s="123">
        <v>0.0744601</v>
      </c>
      <c r="E40" s="22">
        <v>0.5304726</v>
      </c>
      <c r="F40" s="22">
        <v>24.87679</v>
      </c>
      <c r="G40" s="22">
        <v>0.14008</v>
      </c>
      <c r="H40" s="22">
        <v>52.92</v>
      </c>
      <c r="I40" s="22">
        <v>51.32</v>
      </c>
      <c r="J40" s="22">
        <v>11.3076</v>
      </c>
      <c r="K40" s="22">
        <v>11.3396</v>
      </c>
      <c r="L40" s="22">
        <v>59.9</v>
      </c>
      <c r="M40" s="22">
        <v>55.5</v>
      </c>
      <c r="N40" s="22">
        <v>4.85695</v>
      </c>
      <c r="O40" s="22">
        <v>5.37804</v>
      </c>
      <c r="P40" s="126">
        <v>2.795823674522497</v>
      </c>
      <c r="Q40" s="126">
        <v>7.359262701050056</v>
      </c>
    </row>
    <row r="41">
      <c r="A41" s="22">
        <v>2018.0</v>
      </c>
      <c r="B41" s="22" t="s">
        <v>226</v>
      </c>
      <c r="C41" s="123">
        <v>160.52</v>
      </c>
      <c r="D41" s="123">
        <v>0.1099491</v>
      </c>
      <c r="E41" s="22">
        <v>0.4806777</v>
      </c>
      <c r="F41" s="22">
        <v>24.74569</v>
      </c>
      <c r="G41" s="22">
        <v>0.20958</v>
      </c>
      <c r="H41" s="22">
        <v>51.32</v>
      </c>
      <c r="I41" s="22">
        <v>50.65</v>
      </c>
      <c r="J41" s="22">
        <v>11.3396</v>
      </c>
      <c r="K41" s="22">
        <v>12.4741</v>
      </c>
      <c r="L41" s="22">
        <v>55.5</v>
      </c>
      <c r="M41" s="22">
        <v>49.2</v>
      </c>
      <c r="N41" s="22">
        <v>5.37804</v>
      </c>
      <c r="O41" s="22">
        <v>5.61456</v>
      </c>
      <c r="P41" s="126">
        <v>3.539628059426409</v>
      </c>
      <c r="Q41" s="126">
        <v>7.465006855727509</v>
      </c>
    </row>
    <row r="42">
      <c r="A42" s="22">
        <v>2017.0</v>
      </c>
      <c r="B42" s="22" t="s">
        <v>226</v>
      </c>
      <c r="C42" s="123">
        <v>142.222</v>
      </c>
      <c r="D42" s="123">
        <v>0.1511586</v>
      </c>
      <c r="E42" s="22">
        <v>0.3889807</v>
      </c>
      <c r="F42" s="22">
        <v>24.55542</v>
      </c>
      <c r="G42" s="22">
        <v>0.38694</v>
      </c>
      <c r="H42" s="22">
        <v>50.65</v>
      </c>
      <c r="I42" s="22">
        <v>49.34</v>
      </c>
      <c r="J42" s="22">
        <v>12.4741</v>
      </c>
      <c r="K42" s="22">
        <v>14.0523</v>
      </c>
      <c r="L42" s="22">
        <v>49.2</v>
      </c>
      <c r="M42" s="22">
        <v>44.3</v>
      </c>
      <c r="N42" s="22">
        <v>5.61456</v>
      </c>
      <c r="O42" s="22">
        <v>3.46747</v>
      </c>
      <c r="P42" s="126">
        <v>3.520256888116174</v>
      </c>
      <c r="Q42" s="126">
        <v>6.94019037359206</v>
      </c>
    </row>
    <row r="43">
      <c r="A43" s="22">
        <v>2016.0</v>
      </c>
      <c r="B43" s="22" t="s">
        <v>226</v>
      </c>
      <c r="C43" s="123">
        <v>113.543</v>
      </c>
      <c r="D43" s="123">
        <v>0.198823</v>
      </c>
      <c r="E43" s="22">
        <v>0.4025784</v>
      </c>
      <c r="F43" s="22">
        <v>24.22832</v>
      </c>
      <c r="G43" s="22">
        <v>0.21237</v>
      </c>
      <c r="H43" s="22">
        <v>49.34</v>
      </c>
      <c r="I43" s="22">
        <v>48.04</v>
      </c>
      <c r="J43" s="22">
        <v>14.0523</v>
      </c>
      <c r="K43" s="22">
        <v>19.6496</v>
      </c>
      <c r="L43" s="22">
        <v>44.3</v>
      </c>
      <c r="M43" s="22">
        <v>42.5</v>
      </c>
      <c r="N43" s="22">
        <v>3.46747</v>
      </c>
      <c r="O43" s="22">
        <v>2.26495</v>
      </c>
      <c r="P43" s="126">
        <v>2.668248169690822</v>
      </c>
      <c r="Q43" s="126">
        <v>6.690008926604236</v>
      </c>
    </row>
    <row r="44">
      <c r="A44" s="22">
        <v>2015.0</v>
      </c>
      <c r="B44" s="22" t="s">
        <v>226</v>
      </c>
      <c r="C44" s="123">
        <v>55.7091</v>
      </c>
      <c r="D44" s="123">
        <v>0.1373903</v>
      </c>
      <c r="E44" s="22">
        <v>0.4328286</v>
      </c>
      <c r="F44" s="22">
        <v>24.03574</v>
      </c>
      <c r="G44" s="22">
        <v>0.07552</v>
      </c>
      <c r="H44" s="22">
        <v>48.04</v>
      </c>
      <c r="I44" s="22">
        <v>46.98</v>
      </c>
      <c r="J44" s="22">
        <v>19.6496</v>
      </c>
      <c r="K44" s="22">
        <v>28.8466</v>
      </c>
      <c r="L44" s="22">
        <v>42.5</v>
      </c>
      <c r="M44" s="22">
        <v>39.8</v>
      </c>
      <c r="N44" s="22">
        <v>2.26495</v>
      </c>
      <c r="O44" s="32"/>
      <c r="P44" s="126">
        <v>0.6312009051757544</v>
      </c>
      <c r="Q44" s="126">
        <v>6.98715430598611</v>
      </c>
    </row>
    <row r="45">
      <c r="A45" s="22">
        <v>2014.0</v>
      </c>
      <c r="B45" s="22" t="s">
        <v>226</v>
      </c>
      <c r="C45" s="123">
        <v>66.0867</v>
      </c>
      <c r="D45" s="123">
        <v>0.1471411</v>
      </c>
      <c r="E45" s="22">
        <v>0.4583149</v>
      </c>
      <c r="F45" s="22">
        <v>23.96294</v>
      </c>
      <c r="G45" s="22">
        <v>-0.65081</v>
      </c>
      <c r="H45" s="22">
        <v>46.98</v>
      </c>
      <c r="I45" s="32"/>
      <c r="J45" s="22">
        <v>28.8466</v>
      </c>
      <c r="K45" s="32"/>
      <c r="L45" s="22">
        <v>39.8</v>
      </c>
      <c r="M45" s="32"/>
      <c r="N45" s="32"/>
      <c r="O45" s="32"/>
      <c r="P45" s="126">
        <v>4.084554466376173</v>
      </c>
      <c r="Q45" s="126">
        <v>6.422243121185673</v>
      </c>
    </row>
    <row r="46">
      <c r="A46" s="22">
        <v>2024.0</v>
      </c>
      <c r="B46" s="22" t="s">
        <v>292</v>
      </c>
      <c r="C46" s="123">
        <v>85.3494</v>
      </c>
      <c r="D46" s="123">
        <v>0.0106828</v>
      </c>
      <c r="E46" s="22">
        <v>0.937744</v>
      </c>
      <c r="F46" s="22">
        <v>25.01508</v>
      </c>
      <c r="G46" s="22">
        <v>0.13406</v>
      </c>
      <c r="H46" s="22">
        <v>57.56</v>
      </c>
      <c r="I46" s="22">
        <v>56.57</v>
      </c>
      <c r="J46" s="22">
        <v>23.6602</v>
      </c>
      <c r="K46" s="22">
        <v>21.6149</v>
      </c>
      <c r="L46" s="22">
        <v>94.5</v>
      </c>
      <c r="M46" s="22">
        <v>92.2</v>
      </c>
      <c r="N46" s="32"/>
      <c r="O46" s="22">
        <v>1.86815</v>
      </c>
      <c r="P46" s="126">
        <v>3.621092738858435</v>
      </c>
      <c r="Q46" s="126">
        <v>7.091187466339747</v>
      </c>
    </row>
    <row r="47">
      <c r="A47" s="22">
        <v>2023.0</v>
      </c>
      <c r="B47" s="22" t="s">
        <v>292</v>
      </c>
      <c r="C47" s="123">
        <v>56.0654</v>
      </c>
      <c r="D47" s="123">
        <v>0.0098615</v>
      </c>
      <c r="E47" s="22">
        <v>0.9380739</v>
      </c>
      <c r="F47" s="22">
        <v>24.88928</v>
      </c>
      <c r="G47" s="22">
        <v>0.12951</v>
      </c>
      <c r="H47" s="22">
        <v>56.57</v>
      </c>
      <c r="I47" s="22">
        <v>55.52</v>
      </c>
      <c r="J47" s="22">
        <v>21.6149</v>
      </c>
      <c r="K47" s="22">
        <v>18.1757</v>
      </c>
      <c r="L47" s="22">
        <v>92.2</v>
      </c>
      <c r="M47" s="22">
        <v>90.8</v>
      </c>
      <c r="N47" s="22">
        <v>1.86815</v>
      </c>
      <c r="O47" s="22">
        <v>2.13854</v>
      </c>
      <c r="P47" s="126">
        <v>3.252892826676616</v>
      </c>
      <c r="Q47" s="126">
        <v>5.06502391455075</v>
      </c>
    </row>
    <row r="48">
      <c r="A48" s="22">
        <v>2022.0</v>
      </c>
      <c r="B48" s="22" t="s">
        <v>292</v>
      </c>
      <c r="C48" s="123">
        <v>72.3623</v>
      </c>
      <c r="D48" s="123">
        <v>0.0093894</v>
      </c>
      <c r="E48" s="22">
        <v>0.9401174</v>
      </c>
      <c r="F48" s="22">
        <v>24.76749</v>
      </c>
      <c r="G48" s="22">
        <v>0.15799</v>
      </c>
      <c r="H48" s="22">
        <v>55.52</v>
      </c>
      <c r="I48" s="22">
        <v>53.94</v>
      </c>
      <c r="J48" s="22">
        <v>18.1757</v>
      </c>
      <c r="K48" s="22">
        <v>12.1839</v>
      </c>
      <c r="L48" s="22">
        <v>90.8</v>
      </c>
      <c r="M48" s="22">
        <v>88.0</v>
      </c>
      <c r="N48" s="22">
        <v>2.13854</v>
      </c>
      <c r="O48" s="22">
        <v>2.0108</v>
      </c>
      <c r="P48" s="126">
        <v>3.156507499631293</v>
      </c>
      <c r="Q48" s="126">
        <v>8.537500467557877</v>
      </c>
    </row>
    <row r="49">
      <c r="A49" s="22">
        <v>2021.0</v>
      </c>
      <c r="B49" s="22" t="s">
        <v>292</v>
      </c>
      <c r="C49" s="123">
        <v>76.8434</v>
      </c>
      <c r="D49" s="123">
        <v>0.0092814</v>
      </c>
      <c r="E49" s="22">
        <v>0.9388546</v>
      </c>
      <c r="F49" s="22">
        <v>24.62081</v>
      </c>
      <c r="G49" s="22">
        <v>0.14864</v>
      </c>
      <c r="H49" s="22">
        <v>53.94</v>
      </c>
      <c r="I49" s="22">
        <v>54.56</v>
      </c>
      <c r="J49" s="22">
        <v>12.1839</v>
      </c>
      <c r="K49" s="22">
        <v>12.2739</v>
      </c>
      <c r="L49" s="22">
        <v>88.0</v>
      </c>
      <c r="M49" s="22">
        <v>86.9</v>
      </c>
      <c r="N49" s="22">
        <v>2.0108</v>
      </c>
      <c r="O49" s="22">
        <v>2.91033</v>
      </c>
      <c r="P49" s="126">
        <v>1.834715548104437</v>
      </c>
      <c r="Q49" s="126">
        <v>2.553728526481308</v>
      </c>
    </row>
    <row r="50">
      <c r="A50" s="22">
        <v>2020.0</v>
      </c>
      <c r="B50" s="22" t="s">
        <v>292</v>
      </c>
      <c r="C50" s="123">
        <v>65.3169</v>
      </c>
      <c r="D50" s="123">
        <v>0.0102759</v>
      </c>
      <c r="E50" s="22">
        <v>0.9363111</v>
      </c>
      <c r="F50" s="22">
        <v>24.48223</v>
      </c>
      <c r="G50" s="22">
        <v>0.11748</v>
      </c>
      <c r="H50" s="22">
        <v>54.56</v>
      </c>
      <c r="I50" s="22">
        <v>52.92</v>
      </c>
      <c r="J50" s="22">
        <v>12.2739</v>
      </c>
      <c r="K50" s="22">
        <v>11.3076</v>
      </c>
      <c r="L50" s="22">
        <v>86.9</v>
      </c>
      <c r="M50" s="22">
        <v>82.5</v>
      </c>
      <c r="N50" s="22">
        <v>2.91033</v>
      </c>
      <c r="O50" s="22">
        <v>3.95854</v>
      </c>
      <c r="P50" s="126">
        <v>3.220934366525141</v>
      </c>
      <c r="Q50" s="126">
        <v>2.865413209122721</v>
      </c>
    </row>
    <row r="51">
      <c r="A51" s="22">
        <v>2019.0</v>
      </c>
      <c r="B51" s="22" t="s">
        <v>292</v>
      </c>
      <c r="C51" s="123">
        <v>49.0069</v>
      </c>
      <c r="D51" s="123">
        <v>0.0076384</v>
      </c>
      <c r="E51" s="22">
        <v>0.9376528</v>
      </c>
      <c r="F51" s="22">
        <v>24.37115</v>
      </c>
      <c r="G51" s="22">
        <v>0.46639</v>
      </c>
      <c r="H51" s="22">
        <v>52.92</v>
      </c>
      <c r="I51" s="22">
        <v>51.32</v>
      </c>
      <c r="J51" s="22">
        <v>11.3076</v>
      </c>
      <c r="K51" s="22">
        <v>11.3396</v>
      </c>
      <c r="L51" s="22">
        <v>82.5</v>
      </c>
      <c r="M51" s="22">
        <v>79.0</v>
      </c>
      <c r="N51" s="22">
        <v>3.95854</v>
      </c>
      <c r="O51" s="22">
        <v>3.06105</v>
      </c>
      <c r="P51" s="126">
        <v>2.795823674522497</v>
      </c>
      <c r="Q51" s="126">
        <v>7.359262701050056</v>
      </c>
    </row>
    <row r="52">
      <c r="A52" s="22">
        <v>2018.0</v>
      </c>
      <c r="B52" s="22" t="s">
        <v>292</v>
      </c>
      <c r="C52" s="123">
        <v>45.1815</v>
      </c>
      <c r="D52" s="123">
        <v>0.0045326</v>
      </c>
      <c r="E52" s="22">
        <v>0.9421825</v>
      </c>
      <c r="F52" s="22">
        <v>23.98835</v>
      </c>
      <c r="G52" s="22">
        <v>-0.12381</v>
      </c>
      <c r="H52" s="22">
        <v>51.32</v>
      </c>
      <c r="I52" s="22">
        <v>50.65</v>
      </c>
      <c r="J52" s="22">
        <v>11.3396</v>
      </c>
      <c r="K52" s="22">
        <v>12.4741</v>
      </c>
      <c r="L52" s="22">
        <v>79.0</v>
      </c>
      <c r="M52" s="22">
        <v>76.4</v>
      </c>
      <c r="N52" s="22">
        <v>3.06105</v>
      </c>
      <c r="O52" s="22">
        <v>2.75136</v>
      </c>
      <c r="P52" s="126">
        <v>3.539628059426409</v>
      </c>
      <c r="Q52" s="126">
        <v>7.465006855727509</v>
      </c>
    </row>
    <row r="53">
      <c r="A53" s="22">
        <v>2017.0</v>
      </c>
      <c r="B53" s="22" t="s">
        <v>292</v>
      </c>
      <c r="C53" s="123">
        <v>44.377</v>
      </c>
      <c r="D53" s="123">
        <v>0.0068114</v>
      </c>
      <c r="E53" s="22">
        <v>0.9417701</v>
      </c>
      <c r="F53" s="22">
        <v>24.12052</v>
      </c>
      <c r="G53" s="22">
        <v>0.1995</v>
      </c>
      <c r="H53" s="22">
        <v>50.65</v>
      </c>
      <c r="I53" s="22">
        <v>49.34</v>
      </c>
      <c r="J53" s="22">
        <v>12.4741</v>
      </c>
      <c r="K53" s="22">
        <v>14.0523</v>
      </c>
      <c r="L53" s="22">
        <v>76.4</v>
      </c>
      <c r="M53" s="22">
        <v>73.5</v>
      </c>
      <c r="N53" s="22">
        <v>2.75136</v>
      </c>
      <c r="O53" s="22">
        <v>3.5171</v>
      </c>
      <c r="P53" s="126">
        <v>3.520256888116174</v>
      </c>
      <c r="Q53" s="126">
        <v>6.94019037359206</v>
      </c>
    </row>
    <row r="54">
      <c r="A54" s="22">
        <v>2016.0</v>
      </c>
      <c r="B54" s="22" t="s">
        <v>292</v>
      </c>
      <c r="C54" s="123">
        <v>45.6305</v>
      </c>
      <c r="D54" s="123">
        <v>0.007131</v>
      </c>
      <c r="E54" s="22">
        <v>0.9363345</v>
      </c>
      <c r="F54" s="22">
        <v>23.93861</v>
      </c>
      <c r="G54" s="22">
        <v>0.21518</v>
      </c>
      <c r="H54" s="22">
        <v>49.34</v>
      </c>
      <c r="I54" s="22">
        <v>48.04</v>
      </c>
      <c r="J54" s="22">
        <v>14.0523</v>
      </c>
      <c r="K54" s="22">
        <v>19.6496</v>
      </c>
      <c r="L54" s="22">
        <v>73.5</v>
      </c>
      <c r="M54" s="22">
        <v>69.4</v>
      </c>
      <c r="N54" s="22">
        <v>3.5171</v>
      </c>
      <c r="O54" s="22">
        <v>4.25088</v>
      </c>
      <c r="P54" s="126">
        <v>2.668248169690822</v>
      </c>
      <c r="Q54" s="126">
        <v>6.690008926604236</v>
      </c>
    </row>
    <row r="55">
      <c r="A55" s="22">
        <v>2015.0</v>
      </c>
      <c r="B55" s="22" t="s">
        <v>292</v>
      </c>
      <c r="C55" s="123">
        <v>44.9426</v>
      </c>
      <c r="D55" s="123">
        <v>0.0073342</v>
      </c>
      <c r="E55" s="22">
        <v>0.9280162</v>
      </c>
      <c r="F55" s="22">
        <v>23.74372</v>
      </c>
      <c r="G55" s="22">
        <v>0.05313</v>
      </c>
      <c r="H55" s="22">
        <v>48.04</v>
      </c>
      <c r="I55" s="22">
        <v>46.98</v>
      </c>
      <c r="J55" s="22">
        <v>19.6496</v>
      </c>
      <c r="K55" s="22">
        <v>28.8466</v>
      </c>
      <c r="L55" s="22">
        <v>69.4</v>
      </c>
      <c r="M55" s="22">
        <v>65.0</v>
      </c>
      <c r="N55" s="22">
        <v>4.25088</v>
      </c>
      <c r="O55" s="32"/>
      <c r="P55" s="126">
        <v>0.6312009051757544</v>
      </c>
      <c r="Q55" s="126">
        <v>6.98715430598611</v>
      </c>
    </row>
    <row r="56">
      <c r="A56" s="22">
        <v>2014.0</v>
      </c>
      <c r="B56" s="22" t="s">
        <v>292</v>
      </c>
      <c r="C56" s="123">
        <v>46.248</v>
      </c>
      <c r="D56" s="123">
        <v>0.0086623</v>
      </c>
      <c r="E56" s="22">
        <v>0.9164313</v>
      </c>
      <c r="F56" s="22">
        <v>23.69195</v>
      </c>
      <c r="G56" s="22">
        <v>-0.69027</v>
      </c>
      <c r="H56" s="22">
        <v>46.98</v>
      </c>
      <c r="I56" s="32"/>
      <c r="J56" s="22">
        <v>28.8466</v>
      </c>
      <c r="K56" s="32"/>
      <c r="L56" s="22">
        <v>65.0</v>
      </c>
      <c r="M56" s="32"/>
      <c r="N56" s="32"/>
      <c r="O56" s="32"/>
      <c r="P56" s="126">
        <v>4.084554466376173</v>
      </c>
      <c r="Q56" s="126">
        <v>6.422243121185673</v>
      </c>
    </row>
    <row r="57">
      <c r="A57" s="22">
        <v>2024.0</v>
      </c>
      <c r="B57" s="22" t="s">
        <v>356</v>
      </c>
      <c r="C57" s="123">
        <v>2319.68</v>
      </c>
      <c r="D57" s="123">
        <v>0.1309364</v>
      </c>
      <c r="E57" s="22">
        <v>0.5037841</v>
      </c>
      <c r="F57" s="22">
        <v>24.864</v>
      </c>
      <c r="G57" s="22">
        <v>0.19444</v>
      </c>
      <c r="H57" s="22">
        <v>57.56</v>
      </c>
      <c r="I57" s="22">
        <v>56.57</v>
      </c>
      <c r="J57" s="22">
        <v>23.6602</v>
      </c>
      <c r="K57" s="22">
        <v>21.6149</v>
      </c>
      <c r="L57" s="22">
        <v>87.5</v>
      </c>
      <c r="M57" s="22">
        <v>84.5</v>
      </c>
      <c r="N57" s="32"/>
      <c r="O57" s="22">
        <v>3.20208</v>
      </c>
      <c r="P57" s="126">
        <v>3.621092738858435</v>
      </c>
      <c r="Q57" s="126">
        <v>7.091187466339747</v>
      </c>
    </row>
    <row r="58">
      <c r="A58" s="22">
        <v>2023.0</v>
      </c>
      <c r="B58" s="22" t="s">
        <v>356</v>
      </c>
      <c r="C58" s="123">
        <v>1294.84</v>
      </c>
      <c r="D58" s="123">
        <v>0.1291918</v>
      </c>
      <c r="E58" s="22">
        <v>0.5034571</v>
      </c>
      <c r="F58" s="22">
        <v>24.68632</v>
      </c>
      <c r="G58" s="22">
        <v>0.1956</v>
      </c>
      <c r="H58" s="22">
        <v>56.57</v>
      </c>
      <c r="I58" s="22">
        <v>55.52</v>
      </c>
      <c r="J58" s="22">
        <v>21.6149</v>
      </c>
      <c r="K58" s="22">
        <v>18.1757</v>
      </c>
      <c r="L58" s="22">
        <v>84.5</v>
      </c>
      <c r="M58" s="22">
        <v>81.1</v>
      </c>
      <c r="N58" s="22">
        <v>3.20208</v>
      </c>
      <c r="O58" s="22">
        <v>2.68514</v>
      </c>
      <c r="P58" s="126">
        <v>3.252892826676616</v>
      </c>
      <c r="Q58" s="126">
        <v>5.06502391455075</v>
      </c>
    </row>
    <row r="59">
      <c r="A59" s="22">
        <v>2022.0</v>
      </c>
      <c r="B59" s="22" t="s">
        <v>356</v>
      </c>
      <c r="C59" s="123">
        <v>851.475</v>
      </c>
      <c r="D59" s="123">
        <v>0.1256785</v>
      </c>
      <c r="E59" s="22">
        <v>0.5090818</v>
      </c>
      <c r="F59" s="22">
        <v>24.50767</v>
      </c>
      <c r="G59" s="22">
        <v>0.23424</v>
      </c>
      <c r="H59" s="22">
        <v>55.52</v>
      </c>
      <c r="I59" s="22">
        <v>53.94</v>
      </c>
      <c r="J59" s="22">
        <v>18.1757</v>
      </c>
      <c r="K59" s="22">
        <v>12.1839</v>
      </c>
      <c r="L59" s="22">
        <v>81.1</v>
      </c>
      <c r="M59" s="22">
        <v>79.2</v>
      </c>
      <c r="N59" s="22">
        <v>2.68514</v>
      </c>
      <c r="O59" s="22">
        <v>2.31157</v>
      </c>
      <c r="P59" s="126">
        <v>3.156507499631293</v>
      </c>
      <c r="Q59" s="126">
        <v>8.537500467557877</v>
      </c>
    </row>
    <row r="60">
      <c r="A60" s="22">
        <v>2021.0</v>
      </c>
      <c r="B60" s="22" t="s">
        <v>356</v>
      </c>
      <c r="C60" s="123">
        <v>705.003</v>
      </c>
      <c r="D60" s="123">
        <v>0.0996184</v>
      </c>
      <c r="E60" s="22">
        <v>0.6011395</v>
      </c>
      <c r="F60" s="22">
        <v>24.29722</v>
      </c>
      <c r="G60" s="22">
        <v>0.19533</v>
      </c>
      <c r="H60" s="22">
        <v>53.94</v>
      </c>
      <c r="I60" s="22">
        <v>54.56</v>
      </c>
      <c r="J60" s="22">
        <v>12.1839</v>
      </c>
      <c r="K60" s="22">
        <v>12.2739</v>
      </c>
      <c r="L60" s="22">
        <v>79.2</v>
      </c>
      <c r="M60" s="22">
        <v>76.5</v>
      </c>
      <c r="N60" s="22">
        <v>2.31157</v>
      </c>
      <c r="O60" s="22">
        <v>2.9023</v>
      </c>
      <c r="P60" s="126">
        <v>1.834715548104437</v>
      </c>
      <c r="Q60" s="126">
        <v>2.553728526481308</v>
      </c>
    </row>
    <row r="61">
      <c r="A61" s="22">
        <v>2020.0</v>
      </c>
      <c r="B61" s="22" t="s">
        <v>356</v>
      </c>
      <c r="C61" s="123">
        <v>425.537</v>
      </c>
      <c r="D61" s="123">
        <v>0.1059978</v>
      </c>
      <c r="E61" s="22">
        <v>0.5541879</v>
      </c>
      <c r="F61" s="22">
        <v>24.11879</v>
      </c>
      <c r="G61" s="22">
        <v>0.07625</v>
      </c>
      <c r="H61" s="22">
        <v>54.56</v>
      </c>
      <c r="I61" s="22">
        <v>52.92</v>
      </c>
      <c r="J61" s="22">
        <v>12.2739</v>
      </c>
      <c r="K61" s="22">
        <v>11.3076</v>
      </c>
      <c r="L61" s="22">
        <v>76.5</v>
      </c>
      <c r="M61" s="22">
        <v>73.4</v>
      </c>
      <c r="N61" s="22">
        <v>2.9023</v>
      </c>
      <c r="O61" s="22">
        <v>1.78979</v>
      </c>
      <c r="P61" s="126">
        <v>3.220934366525141</v>
      </c>
      <c r="Q61" s="126">
        <v>2.865413209122721</v>
      </c>
    </row>
    <row r="62">
      <c r="A62" s="22">
        <v>2019.0</v>
      </c>
      <c r="B62" s="22" t="s">
        <v>356</v>
      </c>
      <c r="C62" s="123">
        <v>397.55</v>
      </c>
      <c r="D62" s="123">
        <v>0.1171376</v>
      </c>
      <c r="E62" s="22">
        <v>0.4969394</v>
      </c>
      <c r="F62" s="22">
        <v>24.04531</v>
      </c>
      <c r="G62" s="22">
        <v>0.194</v>
      </c>
      <c r="H62" s="22">
        <v>52.92</v>
      </c>
      <c r="I62" s="22">
        <v>51.32</v>
      </c>
      <c r="J62" s="22">
        <v>11.3076</v>
      </c>
      <c r="K62" s="22">
        <v>11.3396</v>
      </c>
      <c r="L62" s="22">
        <v>73.4</v>
      </c>
      <c r="M62" s="22">
        <v>73.4</v>
      </c>
      <c r="N62" s="22">
        <v>1.78979</v>
      </c>
      <c r="O62" s="22">
        <v>0.0</v>
      </c>
      <c r="P62" s="126">
        <v>2.795823674522497</v>
      </c>
      <c r="Q62" s="126">
        <v>7.359262701050056</v>
      </c>
    </row>
    <row r="63">
      <c r="A63" s="22">
        <v>2018.0</v>
      </c>
      <c r="B63" s="22" t="s">
        <v>356</v>
      </c>
      <c r="C63" s="123">
        <v>244.883</v>
      </c>
      <c r="D63" s="123">
        <v>0.10868</v>
      </c>
      <c r="E63" s="22">
        <v>0.5034803</v>
      </c>
      <c r="F63" s="22">
        <v>23.868</v>
      </c>
      <c r="G63" s="22">
        <v>-0.45583</v>
      </c>
      <c r="H63" s="22">
        <v>51.32</v>
      </c>
      <c r="I63" s="22">
        <v>50.65</v>
      </c>
      <c r="J63" s="22">
        <v>11.3396</v>
      </c>
      <c r="K63" s="22">
        <v>12.4741</v>
      </c>
      <c r="L63" s="22">
        <v>73.4</v>
      </c>
      <c r="M63" s="22">
        <v>73.4</v>
      </c>
      <c r="N63" s="22">
        <v>0.0</v>
      </c>
      <c r="O63" s="22">
        <v>3.81051</v>
      </c>
      <c r="P63" s="126">
        <v>3.539628059426409</v>
      </c>
      <c r="Q63" s="126">
        <v>7.465006855727509</v>
      </c>
    </row>
    <row r="64">
      <c r="A64" s="22">
        <v>2017.0</v>
      </c>
      <c r="B64" s="22" t="s">
        <v>356</v>
      </c>
      <c r="C64" s="123">
        <v>282.556</v>
      </c>
      <c r="D64" s="123">
        <v>0.1411264</v>
      </c>
      <c r="E64" s="22">
        <v>0.4704581</v>
      </c>
      <c r="F64" s="22">
        <v>24.4765</v>
      </c>
      <c r="G64" s="22">
        <v>0.07911</v>
      </c>
      <c r="H64" s="22">
        <v>50.65</v>
      </c>
      <c r="I64" s="22">
        <v>49.34</v>
      </c>
      <c r="J64" s="22">
        <v>12.4741</v>
      </c>
      <c r="K64" s="22">
        <v>14.0523</v>
      </c>
      <c r="L64" s="22">
        <v>73.4</v>
      </c>
      <c r="M64" s="22">
        <v>66.8</v>
      </c>
      <c r="N64" s="22">
        <v>3.81051</v>
      </c>
      <c r="O64" s="22">
        <v>3.81051</v>
      </c>
      <c r="P64" s="126">
        <v>3.520256888116174</v>
      </c>
      <c r="Q64" s="126">
        <v>6.94019037359206</v>
      </c>
    </row>
    <row r="65">
      <c r="A65" s="22">
        <v>2016.0</v>
      </c>
      <c r="B65" s="22" t="s">
        <v>356</v>
      </c>
      <c r="C65" s="123">
        <v>132.115</v>
      </c>
      <c r="D65" s="123">
        <v>0.0863362</v>
      </c>
      <c r="E65" s="22">
        <v>0.6162647</v>
      </c>
      <c r="F65" s="22">
        <v>24.40036</v>
      </c>
      <c r="G65" s="22">
        <v>0.04141</v>
      </c>
      <c r="H65" s="22">
        <v>49.34</v>
      </c>
      <c r="I65" s="22">
        <v>48.04</v>
      </c>
      <c r="J65" s="22">
        <v>14.0523</v>
      </c>
      <c r="K65" s="22">
        <v>19.6496</v>
      </c>
      <c r="L65" s="22">
        <v>66.8</v>
      </c>
      <c r="M65" s="22">
        <v>66.8</v>
      </c>
      <c r="N65" s="22">
        <v>3.81051</v>
      </c>
      <c r="O65" s="22">
        <v>0.0</v>
      </c>
      <c r="P65" s="126">
        <v>2.668248169690822</v>
      </c>
      <c r="Q65" s="126">
        <v>6.690008926604236</v>
      </c>
    </row>
    <row r="66">
      <c r="A66" s="22">
        <v>2015.0</v>
      </c>
      <c r="B66" s="22" t="s">
        <v>356</v>
      </c>
      <c r="C66" s="123">
        <v>119.524</v>
      </c>
      <c r="D66" s="123">
        <v>0.0936084</v>
      </c>
      <c r="E66" s="22">
        <v>0.6090591</v>
      </c>
      <c r="F66" s="22">
        <v>24.35979</v>
      </c>
      <c r="G66" s="22">
        <v>0.16282</v>
      </c>
      <c r="H66" s="22">
        <v>48.04</v>
      </c>
      <c r="I66" s="22">
        <v>46.98</v>
      </c>
      <c r="J66" s="22">
        <v>19.6496</v>
      </c>
      <c r="K66" s="22">
        <v>28.8466</v>
      </c>
      <c r="L66" s="22">
        <v>66.8</v>
      </c>
      <c r="M66" s="22">
        <v>66.8</v>
      </c>
      <c r="N66" s="22">
        <v>0.0</v>
      </c>
      <c r="O66" s="32"/>
      <c r="P66" s="126">
        <v>0.6312009051757544</v>
      </c>
      <c r="Q66" s="126">
        <v>6.98715430598611</v>
      </c>
    </row>
    <row r="67">
      <c r="A67" s="22">
        <v>2014.0</v>
      </c>
      <c r="B67" s="22" t="s">
        <v>356</v>
      </c>
      <c r="C67" s="123">
        <v>91.3082</v>
      </c>
      <c r="D67" s="123">
        <v>0.0917598</v>
      </c>
      <c r="E67" s="22">
        <v>0.5914168</v>
      </c>
      <c r="F67" s="22">
        <v>24.20895</v>
      </c>
      <c r="G67" s="22">
        <v>-0.68479</v>
      </c>
      <c r="H67" s="22">
        <v>46.98</v>
      </c>
      <c r="I67" s="32"/>
      <c r="J67" s="22">
        <v>28.8466</v>
      </c>
      <c r="K67" s="32"/>
      <c r="L67" s="22">
        <v>66.8</v>
      </c>
      <c r="M67" s="32"/>
      <c r="N67" s="32"/>
      <c r="O67" s="32"/>
      <c r="P67" s="126">
        <v>4.084554466376173</v>
      </c>
      <c r="Q67" s="126">
        <v>6.422243121185673</v>
      </c>
    </row>
    <row r="68">
      <c r="A68" s="22">
        <v>2024.0</v>
      </c>
      <c r="B68" s="22" t="s">
        <v>419</v>
      </c>
      <c r="C68" s="123">
        <v>1800.49</v>
      </c>
      <c r="D68" s="123">
        <v>0.1293768</v>
      </c>
      <c r="E68" s="22">
        <v>0.247803</v>
      </c>
      <c r="F68" s="22">
        <v>25.36346</v>
      </c>
      <c r="G68" s="22">
        <v>0.1513</v>
      </c>
      <c r="H68" s="22">
        <v>57.56</v>
      </c>
      <c r="I68" s="22">
        <v>56.57</v>
      </c>
      <c r="J68" s="22">
        <v>23.6602</v>
      </c>
      <c r="K68" s="22">
        <v>21.6149</v>
      </c>
      <c r="L68" s="22">
        <v>89.1</v>
      </c>
      <c r="M68" s="22">
        <v>86.6</v>
      </c>
      <c r="N68" s="32"/>
      <c r="O68" s="22">
        <v>2.5</v>
      </c>
      <c r="P68" s="126">
        <v>3.621092738858435</v>
      </c>
      <c r="Q68" s="126">
        <v>7.091187466339747</v>
      </c>
    </row>
    <row r="69">
      <c r="A69" s="22">
        <v>2023.0</v>
      </c>
      <c r="B69" s="22" t="s">
        <v>419</v>
      </c>
      <c r="C69" s="123">
        <v>1414.22</v>
      </c>
      <c r="D69" s="123">
        <v>0.1343874</v>
      </c>
      <c r="E69" s="22">
        <v>0.2558939</v>
      </c>
      <c r="F69" s="22">
        <v>25.22256</v>
      </c>
      <c r="G69" s="22">
        <v>-0.10692</v>
      </c>
      <c r="H69" s="22">
        <v>56.57</v>
      </c>
      <c r="I69" s="22">
        <v>55.52</v>
      </c>
      <c r="J69" s="22">
        <v>21.6149</v>
      </c>
      <c r="K69" s="22">
        <v>18.1757</v>
      </c>
      <c r="L69" s="22">
        <v>86.6</v>
      </c>
      <c r="M69" s="22">
        <v>84.1</v>
      </c>
      <c r="N69" s="22">
        <v>2.5</v>
      </c>
      <c r="O69" s="22">
        <v>2.15948</v>
      </c>
      <c r="P69" s="126">
        <v>3.252892826676616</v>
      </c>
      <c r="Q69" s="126">
        <v>5.06502391455075</v>
      </c>
    </row>
    <row r="70">
      <c r="A70" s="22">
        <v>2022.0</v>
      </c>
      <c r="B70" s="22" t="s">
        <v>419</v>
      </c>
      <c r="C70" s="123">
        <v>1623.25</v>
      </c>
      <c r="D70" s="123">
        <v>0.1822636</v>
      </c>
      <c r="E70" s="22">
        <v>0.2599613</v>
      </c>
      <c r="F70" s="22">
        <v>25.33565</v>
      </c>
      <c r="G70" s="22">
        <v>0.27511</v>
      </c>
      <c r="H70" s="22">
        <v>55.52</v>
      </c>
      <c r="I70" s="22">
        <v>53.94</v>
      </c>
      <c r="J70" s="22">
        <v>18.1757</v>
      </c>
      <c r="K70" s="22">
        <v>12.1839</v>
      </c>
      <c r="L70" s="22">
        <v>84.1</v>
      </c>
      <c r="M70" s="22">
        <v>82.3</v>
      </c>
      <c r="N70" s="22">
        <v>2.15948</v>
      </c>
      <c r="O70" s="22">
        <v>1.55671</v>
      </c>
      <c r="P70" s="126">
        <v>3.156507499631293</v>
      </c>
      <c r="Q70" s="126">
        <v>8.537500467557877</v>
      </c>
    </row>
    <row r="71">
      <c r="A71" s="22">
        <v>2021.0</v>
      </c>
      <c r="B71" s="22" t="s">
        <v>419</v>
      </c>
      <c r="C71" s="123">
        <v>1571.78</v>
      </c>
      <c r="D71" s="123">
        <v>0.1123782</v>
      </c>
      <c r="E71" s="22">
        <v>0.3373872</v>
      </c>
      <c r="F71" s="22">
        <v>25.09262</v>
      </c>
      <c r="G71" s="22">
        <v>0.23166</v>
      </c>
      <c r="H71" s="22">
        <v>53.94</v>
      </c>
      <c r="I71" s="22">
        <v>54.56</v>
      </c>
      <c r="J71" s="22">
        <v>12.1839</v>
      </c>
      <c r="K71" s="22">
        <v>12.2739</v>
      </c>
      <c r="L71" s="22">
        <v>82.3</v>
      </c>
      <c r="M71" s="22">
        <v>81.0</v>
      </c>
      <c r="N71" s="22">
        <v>1.55671</v>
      </c>
      <c r="O71" s="22">
        <v>2.48261</v>
      </c>
      <c r="P71" s="126">
        <v>1.834715548104437</v>
      </c>
      <c r="Q71" s="126">
        <v>2.553728526481308</v>
      </c>
    </row>
    <row r="72">
      <c r="A72" s="22">
        <v>2020.0</v>
      </c>
      <c r="B72" s="22" t="s">
        <v>419</v>
      </c>
      <c r="C72" s="123">
        <v>1709.11</v>
      </c>
      <c r="D72" s="123">
        <v>0.1261192</v>
      </c>
      <c r="E72" s="22">
        <v>0.2168813</v>
      </c>
      <c r="F72" s="22">
        <v>24.88426</v>
      </c>
      <c r="G72" s="22">
        <v>-0.14493</v>
      </c>
      <c r="H72" s="22">
        <v>54.56</v>
      </c>
      <c r="I72" s="22">
        <v>52.92</v>
      </c>
      <c r="J72" s="22">
        <v>12.2739</v>
      </c>
      <c r="K72" s="22">
        <v>11.3076</v>
      </c>
      <c r="L72" s="22">
        <v>81.0</v>
      </c>
      <c r="M72" s="22">
        <v>77.5</v>
      </c>
      <c r="N72" s="22">
        <v>2.48261</v>
      </c>
      <c r="O72" s="22">
        <v>2.69506</v>
      </c>
      <c r="P72" s="126">
        <v>3.220934366525141</v>
      </c>
      <c r="Q72" s="126">
        <v>2.865413209122721</v>
      </c>
    </row>
    <row r="73">
      <c r="A73" s="22">
        <v>2019.0</v>
      </c>
      <c r="B73" s="22" t="s">
        <v>419</v>
      </c>
      <c r="C73" s="123">
        <v>1791.98</v>
      </c>
      <c r="D73" s="123">
        <v>0.1943694</v>
      </c>
      <c r="E73" s="22">
        <v>0.2020666</v>
      </c>
      <c r="F73" s="22">
        <v>25.04082</v>
      </c>
      <c r="G73" s="22">
        <v>-0.00802</v>
      </c>
      <c r="H73" s="22">
        <v>52.92</v>
      </c>
      <c r="I73" s="22">
        <v>51.32</v>
      </c>
      <c r="J73" s="22">
        <v>11.3076</v>
      </c>
      <c r="K73" s="22">
        <v>11.3396</v>
      </c>
      <c r="L73" s="22">
        <v>77.5</v>
      </c>
      <c r="M73" s="22">
        <v>75.7</v>
      </c>
      <c r="N73" s="22">
        <v>2.69506</v>
      </c>
      <c r="O73" s="22">
        <v>2.53246</v>
      </c>
      <c r="P73" s="126">
        <v>2.795823674522497</v>
      </c>
      <c r="Q73" s="126">
        <v>7.359262701050056</v>
      </c>
    </row>
    <row r="74">
      <c r="A74" s="22">
        <v>2018.0</v>
      </c>
      <c r="B74" s="22" t="s">
        <v>419</v>
      </c>
      <c r="C74" s="123">
        <v>1596.83</v>
      </c>
      <c r="D74" s="123">
        <v>0.1869947</v>
      </c>
      <c r="E74" s="22">
        <v>0.2514963</v>
      </c>
      <c r="F74" s="22">
        <v>25.04887</v>
      </c>
      <c r="G74" s="22">
        <v>0.17186</v>
      </c>
      <c r="H74" s="22">
        <v>51.32</v>
      </c>
      <c r="I74" s="22">
        <v>50.65</v>
      </c>
      <c r="J74" s="22">
        <v>11.3396</v>
      </c>
      <c r="K74" s="22">
        <v>12.4741</v>
      </c>
      <c r="L74" s="22">
        <v>75.7</v>
      </c>
      <c r="M74" s="22">
        <v>72.5</v>
      </c>
      <c r="N74" s="22">
        <v>2.53246</v>
      </c>
      <c r="O74" s="22">
        <v>2.76225</v>
      </c>
      <c r="P74" s="126">
        <v>3.539628059426409</v>
      </c>
      <c r="Q74" s="126">
        <v>7.465006855727509</v>
      </c>
    </row>
    <row r="75">
      <c r="A75" s="22">
        <v>2017.0</v>
      </c>
      <c r="B75" s="22" t="s">
        <v>419</v>
      </c>
      <c r="C75" s="123">
        <v>1741.74</v>
      </c>
      <c r="D75" s="123">
        <v>0.1605736</v>
      </c>
      <c r="E75" s="22">
        <v>0.3008246</v>
      </c>
      <c r="F75" s="22">
        <v>24.89028</v>
      </c>
      <c r="G75" s="22">
        <v>0.09219</v>
      </c>
      <c r="H75" s="22">
        <v>50.65</v>
      </c>
      <c r="I75" s="22">
        <v>49.34</v>
      </c>
      <c r="J75" s="22">
        <v>12.4741</v>
      </c>
      <c r="K75" s="22">
        <v>14.0523</v>
      </c>
      <c r="L75" s="22">
        <v>72.5</v>
      </c>
      <c r="M75" s="22">
        <v>70.2</v>
      </c>
      <c r="N75" s="22">
        <v>2.76225</v>
      </c>
      <c r="O75" s="22">
        <v>3.29596</v>
      </c>
      <c r="P75" s="126">
        <v>3.520256888116174</v>
      </c>
      <c r="Q75" s="126">
        <v>6.94019037359206</v>
      </c>
    </row>
    <row r="76">
      <c r="A76" s="22">
        <v>2016.0</v>
      </c>
      <c r="B76" s="22" t="s">
        <v>419</v>
      </c>
      <c r="C76" s="123">
        <v>1105.11</v>
      </c>
      <c r="D76" s="123">
        <v>0.1263775</v>
      </c>
      <c r="E76" s="22">
        <v>0.2803335</v>
      </c>
      <c r="F76" s="22">
        <v>24.80209</v>
      </c>
      <c r="G76" s="22">
        <v>-0.08124</v>
      </c>
      <c r="H76" s="22">
        <v>49.34</v>
      </c>
      <c r="I76" s="22">
        <v>48.04</v>
      </c>
      <c r="J76" s="22">
        <v>14.0523</v>
      </c>
      <c r="K76" s="22">
        <v>19.6496</v>
      </c>
      <c r="L76" s="22">
        <v>70.2</v>
      </c>
      <c r="M76" s="22">
        <v>66.0</v>
      </c>
      <c r="N76" s="22">
        <v>3.29596</v>
      </c>
      <c r="O76" s="22">
        <v>3.38575</v>
      </c>
      <c r="P76" s="126">
        <v>2.668248169690822</v>
      </c>
      <c r="Q76" s="126">
        <v>6.690008926604236</v>
      </c>
    </row>
    <row r="77">
      <c r="A77" s="22">
        <v>2015.0</v>
      </c>
      <c r="B77" s="22" t="s">
        <v>419</v>
      </c>
      <c r="C77" s="123">
        <v>605.981</v>
      </c>
      <c r="D77" s="123">
        <v>0.1557293</v>
      </c>
      <c r="E77" s="22">
        <v>0.243774</v>
      </c>
      <c r="F77" s="22">
        <v>24.88683</v>
      </c>
      <c r="G77" s="22">
        <v>-0.12368</v>
      </c>
      <c r="H77" s="22">
        <v>48.04</v>
      </c>
      <c r="I77" s="22">
        <v>46.98</v>
      </c>
      <c r="J77" s="22">
        <v>19.6496</v>
      </c>
      <c r="K77" s="22">
        <v>28.8466</v>
      </c>
      <c r="L77" s="22">
        <v>66.0</v>
      </c>
      <c r="M77" s="22">
        <v>63.5</v>
      </c>
      <c r="N77" s="22">
        <v>3.38575</v>
      </c>
      <c r="O77" s="32"/>
      <c r="P77" s="126">
        <v>0.6312009051757544</v>
      </c>
      <c r="Q77" s="126">
        <v>6.98715430598611</v>
      </c>
    </row>
    <row r="78">
      <c r="A78" s="22">
        <v>2014.0</v>
      </c>
      <c r="B78" s="22" t="s">
        <v>419</v>
      </c>
      <c r="C78" s="123">
        <v>1203.52</v>
      </c>
      <c r="D78" s="123">
        <v>0.2669725</v>
      </c>
      <c r="E78" s="22">
        <v>0.2995285</v>
      </c>
      <c r="F78" s="22">
        <v>25.01885</v>
      </c>
      <c r="G78" s="22">
        <v>0.4089</v>
      </c>
      <c r="H78" s="22">
        <v>46.98</v>
      </c>
      <c r="I78" s="32"/>
      <c r="J78" s="22">
        <v>28.8466</v>
      </c>
      <c r="K78" s="32"/>
      <c r="L78" s="22">
        <v>63.5</v>
      </c>
      <c r="M78" s="32"/>
      <c r="N78" s="32"/>
      <c r="O78" s="32"/>
      <c r="P78" s="126">
        <v>4.084554466376173</v>
      </c>
      <c r="Q78" s="126">
        <v>6.422243121185673</v>
      </c>
    </row>
    <row r="79">
      <c r="A79" s="22">
        <v>2024.0</v>
      </c>
      <c r="B79" s="22" t="s">
        <v>483</v>
      </c>
      <c r="C79" s="123">
        <v>76.7375</v>
      </c>
      <c r="D79" s="123">
        <v>0.0203324</v>
      </c>
      <c r="E79" s="22">
        <v>0.8962974</v>
      </c>
      <c r="F79" s="22">
        <v>24.67604</v>
      </c>
      <c r="G79" s="22">
        <v>0.16195</v>
      </c>
      <c r="H79" s="22">
        <v>57.56</v>
      </c>
      <c r="I79" s="22">
        <v>56.57</v>
      </c>
      <c r="J79" s="22">
        <v>23.6602</v>
      </c>
      <c r="K79" s="22">
        <v>21.6149</v>
      </c>
      <c r="L79" s="22">
        <v>84.0</v>
      </c>
      <c r="M79" s="22">
        <v>77.0</v>
      </c>
      <c r="N79" s="32"/>
      <c r="O79" s="22">
        <v>6.02771</v>
      </c>
      <c r="P79" s="126">
        <v>3.621092738858435</v>
      </c>
      <c r="Q79" s="126">
        <v>7.091187466339747</v>
      </c>
    </row>
    <row r="80">
      <c r="A80" s="22">
        <v>2023.0</v>
      </c>
      <c r="B80" s="22" t="s">
        <v>483</v>
      </c>
      <c r="C80" s="123">
        <v>58.1716</v>
      </c>
      <c r="D80" s="123">
        <v>0.0222802</v>
      </c>
      <c r="E80" s="22">
        <v>0.8976551</v>
      </c>
      <c r="F80" s="22">
        <v>24.52594</v>
      </c>
      <c r="G80" s="22">
        <v>0.03467</v>
      </c>
      <c r="H80" s="22">
        <v>56.57</v>
      </c>
      <c r="I80" s="22">
        <v>55.52</v>
      </c>
      <c r="J80" s="22">
        <v>21.6149</v>
      </c>
      <c r="K80" s="22">
        <v>18.1757</v>
      </c>
      <c r="L80" s="22">
        <v>77.0</v>
      </c>
      <c r="M80" s="22">
        <v>72.0</v>
      </c>
      <c r="N80" s="22">
        <v>6.02771</v>
      </c>
      <c r="O80" s="22">
        <v>5.50757</v>
      </c>
      <c r="P80" s="126">
        <v>3.252892826676616</v>
      </c>
      <c r="Q80" s="126">
        <v>5.06502391455075</v>
      </c>
    </row>
    <row r="81">
      <c r="A81" s="22">
        <v>2022.0</v>
      </c>
      <c r="B81" s="22" t="s">
        <v>483</v>
      </c>
      <c r="C81" s="123">
        <v>49.0329</v>
      </c>
      <c r="D81" s="123">
        <v>0.0249202</v>
      </c>
      <c r="E81" s="22">
        <v>0.8907211</v>
      </c>
      <c r="F81" s="22">
        <v>24.49186</v>
      </c>
      <c r="G81" s="22">
        <v>0.29059</v>
      </c>
      <c r="H81" s="22">
        <v>55.52</v>
      </c>
      <c r="I81" s="22">
        <v>53.94</v>
      </c>
      <c r="J81" s="22">
        <v>18.1757</v>
      </c>
      <c r="K81" s="22">
        <v>12.1839</v>
      </c>
      <c r="L81" s="22">
        <v>72.0</v>
      </c>
      <c r="M81" s="22">
        <v>66.0</v>
      </c>
      <c r="N81" s="22">
        <v>5.50757</v>
      </c>
      <c r="O81" s="22">
        <v>5.50757</v>
      </c>
      <c r="P81" s="126">
        <v>3.156507499631293</v>
      </c>
      <c r="Q81" s="126">
        <v>8.537500467557877</v>
      </c>
    </row>
    <row r="82">
      <c r="A82" s="22">
        <v>2021.0</v>
      </c>
      <c r="B82" s="22" t="s">
        <v>483</v>
      </c>
      <c r="C82" s="123">
        <v>61.1631</v>
      </c>
      <c r="D82" s="123">
        <v>0.0217766</v>
      </c>
      <c r="E82" s="22">
        <v>0.8970814</v>
      </c>
      <c r="F82" s="22">
        <v>24.23676</v>
      </c>
      <c r="G82" s="22">
        <v>0.31165</v>
      </c>
      <c r="H82" s="22">
        <v>53.94</v>
      </c>
      <c r="I82" s="22">
        <v>54.56</v>
      </c>
      <c r="J82" s="22">
        <v>12.1839</v>
      </c>
      <c r="K82" s="22">
        <v>12.2739</v>
      </c>
      <c r="L82" s="22">
        <v>66.0</v>
      </c>
      <c r="M82" s="22">
        <v>61.0</v>
      </c>
      <c r="N82" s="22">
        <v>5.50757</v>
      </c>
      <c r="O82" s="22">
        <v>4.04145</v>
      </c>
      <c r="P82" s="126">
        <v>1.834715548104437</v>
      </c>
      <c r="Q82" s="126">
        <v>2.553728526481308</v>
      </c>
    </row>
    <row r="83">
      <c r="A83" s="22">
        <v>2020.0</v>
      </c>
      <c r="B83" s="22" t="s">
        <v>483</v>
      </c>
      <c r="C83" s="123">
        <v>37.5053</v>
      </c>
      <c r="D83" s="123">
        <v>0.0173866</v>
      </c>
      <c r="E83" s="22">
        <v>0.8987852</v>
      </c>
      <c r="F83" s="22">
        <v>23.96547</v>
      </c>
      <c r="G83" s="22">
        <v>0.13871</v>
      </c>
      <c r="H83" s="22">
        <v>54.56</v>
      </c>
      <c r="I83" s="22">
        <v>52.92</v>
      </c>
      <c r="J83" s="22">
        <v>12.2739</v>
      </c>
      <c r="K83" s="22">
        <v>11.3076</v>
      </c>
      <c r="L83" s="22">
        <v>61.0</v>
      </c>
      <c r="M83" s="22">
        <v>58.0</v>
      </c>
      <c r="N83" s="22">
        <v>4.04145</v>
      </c>
      <c r="O83" s="22">
        <v>3.51188</v>
      </c>
      <c r="P83" s="126">
        <v>3.220934366525141</v>
      </c>
      <c r="Q83" s="126">
        <v>2.865413209122721</v>
      </c>
    </row>
    <row r="84">
      <c r="A84" s="22">
        <v>2019.0</v>
      </c>
      <c r="B84" s="22" t="s">
        <v>483</v>
      </c>
      <c r="C84" s="123">
        <v>32.4331</v>
      </c>
      <c r="D84" s="123">
        <v>0.0196084</v>
      </c>
      <c r="E84" s="22">
        <v>0.9030692</v>
      </c>
      <c r="F84" s="22">
        <v>23.83557</v>
      </c>
      <c r="G84" s="22">
        <v>0.25618</v>
      </c>
      <c r="H84" s="22">
        <v>52.92</v>
      </c>
      <c r="I84" s="22">
        <v>51.32</v>
      </c>
      <c r="J84" s="22">
        <v>11.3076</v>
      </c>
      <c r="K84" s="22">
        <v>11.3396</v>
      </c>
      <c r="L84" s="22">
        <v>58.0</v>
      </c>
      <c r="M84" s="22">
        <v>54.0</v>
      </c>
      <c r="N84" s="22">
        <v>3.51188</v>
      </c>
      <c r="O84" s="22">
        <v>4.0</v>
      </c>
      <c r="P84" s="126">
        <v>2.795823674522497</v>
      </c>
      <c r="Q84" s="126">
        <v>7.359262701050056</v>
      </c>
    </row>
    <row r="85">
      <c r="A85" s="22">
        <v>2018.0</v>
      </c>
      <c r="B85" s="22" t="s">
        <v>483</v>
      </c>
      <c r="C85" s="123">
        <v>26.2692</v>
      </c>
      <c r="D85" s="123">
        <v>0.0170838</v>
      </c>
      <c r="E85" s="22">
        <v>0.9056845</v>
      </c>
      <c r="F85" s="22">
        <v>23.6075</v>
      </c>
      <c r="G85" s="22">
        <v>0.40911</v>
      </c>
      <c r="H85" s="22">
        <v>51.32</v>
      </c>
      <c r="I85" s="22">
        <v>50.65</v>
      </c>
      <c r="J85" s="22">
        <v>11.3396</v>
      </c>
      <c r="K85" s="22">
        <v>12.4741</v>
      </c>
      <c r="L85" s="22">
        <v>54.0</v>
      </c>
      <c r="M85" s="22">
        <v>50.0</v>
      </c>
      <c r="N85" s="22">
        <v>4.0</v>
      </c>
      <c r="O85" s="22">
        <v>4.0</v>
      </c>
      <c r="P85" s="126">
        <v>3.539628059426409</v>
      </c>
      <c r="Q85" s="126">
        <v>7.465006855727509</v>
      </c>
    </row>
    <row r="86">
      <c r="A86" s="22">
        <v>2017.0</v>
      </c>
      <c r="B86" s="22" t="s">
        <v>483</v>
      </c>
      <c r="C86" s="123">
        <v>31.2173</v>
      </c>
      <c r="D86" s="123">
        <v>0.0111203</v>
      </c>
      <c r="E86" s="22">
        <v>0.905692</v>
      </c>
      <c r="F86" s="22">
        <v>23.26454</v>
      </c>
      <c r="G86" s="22">
        <v>0.4303</v>
      </c>
      <c r="H86" s="22">
        <v>50.65</v>
      </c>
      <c r="I86" s="22">
        <v>49.34</v>
      </c>
      <c r="J86" s="22">
        <v>12.4741</v>
      </c>
      <c r="K86" s="22">
        <v>14.0523</v>
      </c>
      <c r="L86" s="22">
        <v>50.0</v>
      </c>
      <c r="M86" s="22">
        <v>46.0</v>
      </c>
      <c r="N86" s="22">
        <v>4.0</v>
      </c>
      <c r="O86" s="22">
        <v>4.0</v>
      </c>
      <c r="P86" s="126">
        <v>3.520256888116174</v>
      </c>
      <c r="Q86" s="126">
        <v>6.94019037359206</v>
      </c>
    </row>
    <row r="87">
      <c r="A87" s="22">
        <v>2016.0</v>
      </c>
      <c r="B87" s="22" t="s">
        <v>483</v>
      </c>
      <c r="C87" s="123">
        <v>18.357</v>
      </c>
      <c r="D87" s="123">
        <v>0.0112525</v>
      </c>
      <c r="E87" s="22">
        <v>0.8962436</v>
      </c>
      <c r="F87" s="22">
        <v>22.90666</v>
      </c>
      <c r="G87" s="22">
        <v>0.0884</v>
      </c>
      <c r="H87" s="22">
        <v>49.34</v>
      </c>
      <c r="I87" s="22">
        <v>48.04</v>
      </c>
      <c r="J87" s="22">
        <v>14.0523</v>
      </c>
      <c r="K87" s="22">
        <v>19.6496</v>
      </c>
      <c r="L87" s="22">
        <v>46.0</v>
      </c>
      <c r="M87" s="22">
        <v>42.0</v>
      </c>
      <c r="N87" s="22">
        <v>4.0</v>
      </c>
      <c r="O87" s="22">
        <v>4.0</v>
      </c>
      <c r="P87" s="126">
        <v>2.668248169690822</v>
      </c>
      <c r="Q87" s="126">
        <v>6.690008926604236</v>
      </c>
    </row>
    <row r="88">
      <c r="A88" s="22">
        <v>2015.0</v>
      </c>
      <c r="B88" s="22" t="s">
        <v>483</v>
      </c>
      <c r="C88" s="123">
        <v>15.4272</v>
      </c>
      <c r="D88" s="123">
        <v>0.011365</v>
      </c>
      <c r="E88" s="22">
        <v>0.8951192</v>
      </c>
      <c r="F88" s="22">
        <v>22.82195</v>
      </c>
      <c r="G88" s="22">
        <v>0.03409</v>
      </c>
      <c r="H88" s="22">
        <v>48.04</v>
      </c>
      <c r="I88" s="22">
        <v>46.98</v>
      </c>
      <c r="J88" s="22">
        <v>19.6496</v>
      </c>
      <c r="K88" s="22">
        <v>28.8466</v>
      </c>
      <c r="L88" s="22">
        <v>42.0</v>
      </c>
      <c r="M88" s="22">
        <v>38.0</v>
      </c>
      <c r="N88" s="22">
        <v>4.0</v>
      </c>
      <c r="O88" s="32"/>
      <c r="P88" s="126">
        <v>0.6312009051757544</v>
      </c>
      <c r="Q88" s="126">
        <v>6.98715430598611</v>
      </c>
    </row>
    <row r="89">
      <c r="A89" s="22">
        <v>2014.0</v>
      </c>
      <c r="B89" s="22" t="s">
        <v>483</v>
      </c>
      <c r="C89" s="123">
        <v>14.0279</v>
      </c>
      <c r="D89" s="123">
        <v>0.0124844</v>
      </c>
      <c r="E89" s="22">
        <v>0.9144682</v>
      </c>
      <c r="F89" s="22">
        <v>22.78843</v>
      </c>
      <c r="G89" s="22">
        <v>-0.88032</v>
      </c>
      <c r="H89" s="22">
        <v>46.98</v>
      </c>
      <c r="I89" s="32"/>
      <c r="J89" s="22">
        <v>28.8466</v>
      </c>
      <c r="K89" s="32"/>
      <c r="L89" s="22">
        <v>38.0</v>
      </c>
      <c r="M89" s="32"/>
      <c r="N89" s="32"/>
      <c r="O89" s="32"/>
      <c r="P89" s="126">
        <v>4.084554466376173</v>
      </c>
      <c r="Q89" s="126">
        <v>6.422243121185673</v>
      </c>
    </row>
    <row r="90">
      <c r="A90" s="22">
        <v>2024.0</v>
      </c>
      <c r="B90" s="22" t="s">
        <v>539</v>
      </c>
      <c r="C90" s="123">
        <v>163.18</v>
      </c>
      <c r="D90" s="123">
        <v>0.0162297</v>
      </c>
      <c r="E90" s="22">
        <v>0.9059343</v>
      </c>
      <c r="F90" s="22">
        <v>24.9114</v>
      </c>
      <c r="G90" s="22">
        <v>0.01035</v>
      </c>
      <c r="H90" s="22">
        <v>57.56</v>
      </c>
      <c r="I90" s="22">
        <v>56.57</v>
      </c>
      <c r="J90" s="22">
        <v>23.6602</v>
      </c>
      <c r="K90" s="22">
        <v>21.6149</v>
      </c>
      <c r="L90" s="22">
        <v>87.0</v>
      </c>
      <c r="M90" s="22">
        <v>82.0</v>
      </c>
      <c r="N90" s="32"/>
      <c r="O90" s="22">
        <v>5.0</v>
      </c>
      <c r="P90" s="126">
        <v>3.621092738858435</v>
      </c>
      <c r="Q90" s="126">
        <v>7.091187466339747</v>
      </c>
    </row>
    <row r="91">
      <c r="A91" s="22">
        <v>2023.0</v>
      </c>
      <c r="B91" s="22" t="s">
        <v>539</v>
      </c>
      <c r="C91" s="123">
        <v>138.079</v>
      </c>
      <c r="D91" s="123">
        <v>0.0180039</v>
      </c>
      <c r="E91" s="22">
        <v>0.9102689</v>
      </c>
      <c r="F91" s="22">
        <v>24.9011</v>
      </c>
      <c r="G91" s="22">
        <v>-0.00906</v>
      </c>
      <c r="H91" s="22">
        <v>56.57</v>
      </c>
      <c r="I91" s="22">
        <v>55.52</v>
      </c>
      <c r="J91" s="22">
        <v>21.6149</v>
      </c>
      <c r="K91" s="22">
        <v>18.1757</v>
      </c>
      <c r="L91" s="22">
        <v>82.0</v>
      </c>
      <c r="M91" s="22">
        <v>77.0</v>
      </c>
      <c r="N91" s="22">
        <v>5.0</v>
      </c>
      <c r="O91" s="22">
        <v>4.04145</v>
      </c>
      <c r="P91" s="126">
        <v>3.252892826676616</v>
      </c>
      <c r="Q91" s="126">
        <v>5.06502391455075</v>
      </c>
    </row>
    <row r="92">
      <c r="A92" s="22">
        <v>2022.0</v>
      </c>
      <c r="B92" s="22" t="s">
        <v>539</v>
      </c>
      <c r="C92" s="123">
        <v>92.9044</v>
      </c>
      <c r="D92" s="123">
        <v>0.0164951</v>
      </c>
      <c r="E92" s="22">
        <v>0.9252151</v>
      </c>
      <c r="F92" s="22">
        <v>24.9102</v>
      </c>
      <c r="G92" s="22">
        <v>0.21649</v>
      </c>
      <c r="H92" s="22">
        <v>55.52</v>
      </c>
      <c r="I92" s="22">
        <v>53.94</v>
      </c>
      <c r="J92" s="22">
        <v>18.1757</v>
      </c>
      <c r="K92" s="22">
        <v>12.1839</v>
      </c>
      <c r="L92" s="22">
        <v>77.0</v>
      </c>
      <c r="M92" s="22">
        <v>74.0</v>
      </c>
      <c r="N92" s="22">
        <v>4.04145</v>
      </c>
      <c r="O92" s="22">
        <v>4.04145</v>
      </c>
      <c r="P92" s="126">
        <v>3.156507499631293</v>
      </c>
      <c r="Q92" s="126">
        <v>8.537500467557877</v>
      </c>
    </row>
    <row r="93">
      <c r="A93" s="22">
        <v>2021.0</v>
      </c>
      <c r="B93" s="22" t="s">
        <v>539</v>
      </c>
      <c r="C93" s="123">
        <v>117.059</v>
      </c>
      <c r="D93" s="123">
        <v>0.0155598</v>
      </c>
      <c r="E93" s="22">
        <v>0.9228357</v>
      </c>
      <c r="F93" s="22">
        <v>24.71423</v>
      </c>
      <c r="G93" s="22">
        <v>0.15611</v>
      </c>
      <c r="H93" s="22">
        <v>53.94</v>
      </c>
      <c r="I93" s="22">
        <v>54.56</v>
      </c>
      <c r="J93" s="22">
        <v>12.1839</v>
      </c>
      <c r="K93" s="22">
        <v>12.2739</v>
      </c>
      <c r="L93" s="22">
        <v>74.0</v>
      </c>
      <c r="M93" s="22">
        <v>69.0</v>
      </c>
      <c r="N93" s="22">
        <v>4.04145</v>
      </c>
      <c r="O93" s="22">
        <v>4.50925</v>
      </c>
      <c r="P93" s="126">
        <v>1.834715548104437</v>
      </c>
      <c r="Q93" s="126">
        <v>2.553728526481308</v>
      </c>
    </row>
    <row r="94">
      <c r="A94" s="22">
        <v>2020.0</v>
      </c>
      <c r="B94" s="22" t="s">
        <v>539</v>
      </c>
      <c r="C94" s="123">
        <v>120.109</v>
      </c>
      <c r="D94" s="123">
        <v>0.0139286</v>
      </c>
      <c r="E94" s="22">
        <v>0.9290508</v>
      </c>
      <c r="F94" s="22">
        <v>24.56917</v>
      </c>
      <c r="G94" s="22">
        <v>0.10436</v>
      </c>
      <c r="H94" s="22">
        <v>54.56</v>
      </c>
      <c r="I94" s="22">
        <v>52.92</v>
      </c>
      <c r="J94" s="22">
        <v>12.2739</v>
      </c>
      <c r="K94" s="22">
        <v>11.3076</v>
      </c>
      <c r="L94" s="22">
        <v>69.0</v>
      </c>
      <c r="M94" s="22">
        <v>65.0</v>
      </c>
      <c r="N94" s="22">
        <v>4.50925</v>
      </c>
      <c r="O94" s="22">
        <v>4.50925</v>
      </c>
      <c r="P94" s="126">
        <v>3.220934366525141</v>
      </c>
      <c r="Q94" s="126">
        <v>2.865413209122721</v>
      </c>
    </row>
    <row r="95">
      <c r="A95" s="22">
        <v>2019.0</v>
      </c>
      <c r="B95" s="22" t="s">
        <v>539</v>
      </c>
      <c r="C95" s="123">
        <v>115.525</v>
      </c>
      <c r="D95" s="123">
        <v>0.0152086</v>
      </c>
      <c r="E95" s="22">
        <v>0.9337966</v>
      </c>
      <c r="F95" s="22">
        <v>24.46991</v>
      </c>
      <c r="G95" s="22">
        <v>0.23452</v>
      </c>
      <c r="H95" s="22">
        <v>52.92</v>
      </c>
      <c r="I95" s="22">
        <v>51.32</v>
      </c>
      <c r="J95" s="22">
        <v>11.3076</v>
      </c>
      <c r="K95" s="22">
        <v>11.3396</v>
      </c>
      <c r="L95" s="22">
        <v>65.0</v>
      </c>
      <c r="M95" s="22">
        <v>60.0</v>
      </c>
      <c r="N95" s="22">
        <v>4.50925</v>
      </c>
      <c r="O95" s="22">
        <v>5.0</v>
      </c>
      <c r="P95" s="126">
        <v>2.795823674522497</v>
      </c>
      <c r="Q95" s="126">
        <v>7.359262701050056</v>
      </c>
    </row>
    <row r="96">
      <c r="A96" s="22">
        <v>2018.0</v>
      </c>
      <c r="B96" s="22" t="s">
        <v>539</v>
      </c>
      <c r="C96" s="123">
        <v>78.3246</v>
      </c>
      <c r="D96" s="123">
        <v>0.0136142</v>
      </c>
      <c r="E96" s="22">
        <v>0.9421063</v>
      </c>
      <c r="F96" s="22">
        <v>24.25922</v>
      </c>
      <c r="G96" s="22">
        <v>0.27259</v>
      </c>
      <c r="H96" s="22">
        <v>51.32</v>
      </c>
      <c r="I96" s="22">
        <v>50.65</v>
      </c>
      <c r="J96" s="22">
        <v>11.3396</v>
      </c>
      <c r="K96" s="22">
        <v>12.4741</v>
      </c>
      <c r="L96" s="22">
        <v>60.0</v>
      </c>
      <c r="M96" s="22">
        <v>55.0</v>
      </c>
      <c r="N96" s="22">
        <v>5.0</v>
      </c>
      <c r="O96" s="22">
        <v>5.50757</v>
      </c>
      <c r="P96" s="126">
        <v>3.539628059426409</v>
      </c>
      <c r="Q96" s="126">
        <v>7.465006855727509</v>
      </c>
    </row>
    <row r="97">
      <c r="A97" s="22">
        <v>2017.0</v>
      </c>
      <c r="B97" s="22" t="s">
        <v>539</v>
      </c>
      <c r="C97" s="123">
        <v>81.3926</v>
      </c>
      <c r="D97" s="123">
        <v>0.0088</v>
      </c>
      <c r="E97" s="22">
        <v>0.9492338</v>
      </c>
      <c r="F97" s="22">
        <v>24.01817</v>
      </c>
      <c r="G97" s="22">
        <v>0.17815</v>
      </c>
      <c r="H97" s="22">
        <v>50.65</v>
      </c>
      <c r="I97" s="22">
        <v>49.34</v>
      </c>
      <c r="J97" s="22">
        <v>12.4741</v>
      </c>
      <c r="K97" s="22">
        <v>14.0523</v>
      </c>
      <c r="L97" s="22">
        <v>55.0</v>
      </c>
      <c r="M97" s="22">
        <v>49.0</v>
      </c>
      <c r="N97" s="22">
        <v>5.50757</v>
      </c>
      <c r="O97" s="22">
        <v>5.03322</v>
      </c>
      <c r="P97" s="126">
        <v>3.520256888116174</v>
      </c>
      <c r="Q97" s="126">
        <v>6.94019037359206</v>
      </c>
    </row>
    <row r="98">
      <c r="A98" s="22">
        <v>2016.0</v>
      </c>
      <c r="B98" s="22" t="s">
        <v>539</v>
      </c>
      <c r="C98" s="123">
        <v>50.9691</v>
      </c>
      <c r="D98" s="123">
        <v>0.0087508</v>
      </c>
      <c r="E98" s="22">
        <v>0.9388965</v>
      </c>
      <c r="F98" s="22">
        <v>23.85423</v>
      </c>
      <c r="G98" s="22">
        <v>0.18952</v>
      </c>
      <c r="H98" s="22">
        <v>49.34</v>
      </c>
      <c r="I98" s="22">
        <v>48.04</v>
      </c>
      <c r="J98" s="22">
        <v>14.0523</v>
      </c>
      <c r="K98" s="22">
        <v>19.6496</v>
      </c>
      <c r="L98" s="22">
        <v>49.0</v>
      </c>
      <c r="M98" s="22">
        <v>45.0</v>
      </c>
      <c r="N98" s="22">
        <v>5.03322</v>
      </c>
      <c r="O98" s="22">
        <v>4.0</v>
      </c>
      <c r="P98" s="126">
        <v>2.668248169690822</v>
      </c>
      <c r="Q98" s="126">
        <v>6.690008926604236</v>
      </c>
    </row>
    <row r="99">
      <c r="A99" s="22">
        <v>2015.0</v>
      </c>
      <c r="B99" s="22" t="s">
        <v>539</v>
      </c>
      <c r="C99" s="123">
        <v>53.4908</v>
      </c>
      <c r="D99" s="123">
        <v>0.0079064</v>
      </c>
      <c r="E99" s="22">
        <v>0.933018</v>
      </c>
      <c r="F99" s="22">
        <v>23.68068</v>
      </c>
      <c r="G99" s="22">
        <v>0.2589</v>
      </c>
      <c r="H99" s="22">
        <v>48.04</v>
      </c>
      <c r="I99" s="22">
        <v>46.98</v>
      </c>
      <c r="J99" s="22">
        <v>19.6496</v>
      </c>
      <c r="K99" s="22">
        <v>28.8466</v>
      </c>
      <c r="L99" s="22">
        <v>45.0</v>
      </c>
      <c r="M99" s="22">
        <v>41.0</v>
      </c>
      <c r="N99" s="22">
        <v>4.0</v>
      </c>
      <c r="O99" s="32"/>
      <c r="P99" s="126">
        <v>0.6312009051757544</v>
      </c>
      <c r="Q99" s="126">
        <v>6.98715430598611</v>
      </c>
    </row>
    <row r="100">
      <c r="A100" s="22">
        <v>2014.0</v>
      </c>
      <c r="B100" s="22" t="s">
        <v>539</v>
      </c>
      <c r="C100" s="123">
        <v>38.9128</v>
      </c>
      <c r="D100" s="123">
        <v>0.0079476</v>
      </c>
      <c r="E100" s="22">
        <v>0.9246583</v>
      </c>
      <c r="F100" s="22">
        <v>23.45044</v>
      </c>
      <c r="G100" s="22">
        <v>-0.75253</v>
      </c>
      <c r="H100" s="22">
        <v>46.98</v>
      </c>
      <c r="I100" s="32"/>
      <c r="J100" s="22">
        <v>28.8466</v>
      </c>
      <c r="K100" s="32"/>
      <c r="L100" s="22">
        <v>41.0</v>
      </c>
      <c r="M100" s="32"/>
      <c r="N100" s="32"/>
      <c r="O100" s="32"/>
      <c r="P100" s="126">
        <v>4.084554466376173</v>
      </c>
      <c r="Q100" s="126">
        <v>6.422243121185673</v>
      </c>
    </row>
    <row r="101">
      <c r="A101" s="22">
        <v>2024.0</v>
      </c>
      <c r="B101" s="22" t="s">
        <v>595</v>
      </c>
      <c r="C101" s="123">
        <v>2220.88</v>
      </c>
      <c r="D101" s="123">
        <v>0.1717176</v>
      </c>
      <c r="E101" s="22">
        <v>0.3428698</v>
      </c>
      <c r="F101" s="22">
        <v>24.84689</v>
      </c>
      <c r="G101" s="22">
        <v>0.02342</v>
      </c>
      <c r="H101" s="22">
        <v>57.56</v>
      </c>
      <c r="I101" s="22">
        <v>56.57</v>
      </c>
      <c r="J101" s="22">
        <v>23.6602</v>
      </c>
      <c r="K101" s="22">
        <v>21.6149</v>
      </c>
      <c r="L101" s="22">
        <v>94.3</v>
      </c>
      <c r="M101" s="22">
        <v>92.7</v>
      </c>
      <c r="N101" s="32"/>
      <c r="O101" s="22">
        <v>2.01329</v>
      </c>
      <c r="P101" s="126">
        <v>3.621092738858435</v>
      </c>
      <c r="Q101" s="126">
        <v>7.091187466339747</v>
      </c>
    </row>
    <row r="102">
      <c r="A102" s="22">
        <v>2023.0</v>
      </c>
      <c r="B102" s="22" t="s">
        <v>595</v>
      </c>
      <c r="C102" s="123">
        <v>2342.74</v>
      </c>
      <c r="D102" s="123">
        <v>0.1712318</v>
      </c>
      <c r="E102" s="22">
        <v>0.3350389</v>
      </c>
      <c r="F102" s="22">
        <v>24.82374</v>
      </c>
      <c r="G102" s="22">
        <v>0.00688</v>
      </c>
      <c r="H102" s="22">
        <v>56.57</v>
      </c>
      <c r="I102" s="22">
        <v>55.52</v>
      </c>
      <c r="J102" s="22">
        <v>21.6149</v>
      </c>
      <c r="K102" s="22">
        <v>18.1757</v>
      </c>
      <c r="L102" s="22">
        <v>92.7</v>
      </c>
      <c r="M102" s="22">
        <v>90.3</v>
      </c>
      <c r="N102" s="22">
        <v>2.01329</v>
      </c>
      <c r="O102" s="22">
        <v>2.15484</v>
      </c>
      <c r="P102" s="126">
        <v>3.252892826676616</v>
      </c>
      <c r="Q102" s="126">
        <v>5.06502391455075</v>
      </c>
    </row>
    <row r="103">
      <c r="A103" s="22">
        <v>2022.0</v>
      </c>
      <c r="B103" s="22" t="s">
        <v>595</v>
      </c>
      <c r="C103" s="123">
        <v>2752.57</v>
      </c>
      <c r="D103" s="123">
        <v>0.1769205</v>
      </c>
      <c r="E103" s="22">
        <v>0.3231288</v>
      </c>
      <c r="F103" s="22">
        <v>24.81688</v>
      </c>
      <c r="G103" s="22">
        <v>-0.01581</v>
      </c>
      <c r="H103" s="22">
        <v>55.52</v>
      </c>
      <c r="I103" s="22">
        <v>53.94</v>
      </c>
      <c r="J103" s="22">
        <v>18.1757</v>
      </c>
      <c r="K103" s="22">
        <v>12.1839</v>
      </c>
      <c r="L103" s="22">
        <v>90.3</v>
      </c>
      <c r="M103" s="22">
        <v>88.4</v>
      </c>
      <c r="N103" s="22">
        <v>2.15484</v>
      </c>
      <c r="O103" s="22">
        <v>1.75214</v>
      </c>
      <c r="P103" s="126">
        <v>3.156507499631293</v>
      </c>
      <c r="Q103" s="126">
        <v>8.537500467557877</v>
      </c>
    </row>
    <row r="104">
      <c r="A104" s="22">
        <v>2021.0</v>
      </c>
      <c r="B104" s="22" t="s">
        <v>595</v>
      </c>
      <c r="C104" s="123">
        <v>2653.92</v>
      </c>
      <c r="D104" s="123">
        <v>0.1993635</v>
      </c>
      <c r="E104" s="22">
        <v>0.3277986</v>
      </c>
      <c r="F104" s="22">
        <v>24.83281</v>
      </c>
      <c r="G104" s="22">
        <v>0.02151</v>
      </c>
      <c r="H104" s="22">
        <v>53.94</v>
      </c>
      <c r="I104" s="22">
        <v>54.56</v>
      </c>
      <c r="J104" s="22">
        <v>12.1839</v>
      </c>
      <c r="K104" s="22">
        <v>12.2739</v>
      </c>
      <c r="L104" s="22">
        <v>88.4</v>
      </c>
      <c r="M104" s="22">
        <v>86.8</v>
      </c>
      <c r="N104" s="22">
        <v>1.75214</v>
      </c>
      <c r="O104" s="22">
        <v>3.78065</v>
      </c>
      <c r="P104" s="126">
        <v>1.834715548104437</v>
      </c>
      <c r="Q104" s="126">
        <v>2.553728526481308</v>
      </c>
    </row>
    <row r="105">
      <c r="A105" s="22">
        <v>2020.0</v>
      </c>
      <c r="B105" s="22" t="s">
        <v>595</v>
      </c>
      <c r="C105" s="123">
        <v>2987.09</v>
      </c>
      <c r="D105" s="123">
        <v>0.2319876</v>
      </c>
      <c r="E105" s="22">
        <v>0.3052777</v>
      </c>
      <c r="F105" s="22">
        <v>24.81153</v>
      </c>
      <c r="G105" s="22">
        <v>0.05892</v>
      </c>
      <c r="H105" s="22">
        <v>54.56</v>
      </c>
      <c r="I105" s="22">
        <v>52.92</v>
      </c>
      <c r="J105" s="22">
        <v>12.2739</v>
      </c>
      <c r="K105" s="22">
        <v>11.3076</v>
      </c>
      <c r="L105" s="22">
        <v>86.8</v>
      </c>
      <c r="M105" s="22">
        <v>81.2</v>
      </c>
      <c r="N105" s="22">
        <v>3.78065</v>
      </c>
      <c r="O105" s="22">
        <v>4.32088</v>
      </c>
      <c r="P105" s="126">
        <v>3.220934366525141</v>
      </c>
      <c r="Q105" s="126">
        <v>2.865413209122721</v>
      </c>
    </row>
    <row r="106">
      <c r="A106" s="22">
        <v>2019.0</v>
      </c>
      <c r="B106" s="22" t="s">
        <v>595</v>
      </c>
      <c r="C106" s="123">
        <v>2813.63</v>
      </c>
      <c r="D106" s="123">
        <v>0.2361155</v>
      </c>
      <c r="E106" s="22">
        <v>0.3348694</v>
      </c>
      <c r="F106" s="22">
        <v>24.75428</v>
      </c>
      <c r="G106" s="22">
        <v>0.07146</v>
      </c>
      <c r="H106" s="22">
        <v>52.92</v>
      </c>
      <c r="I106" s="22">
        <v>51.32</v>
      </c>
      <c r="J106" s="22">
        <v>11.3076</v>
      </c>
      <c r="K106" s="22">
        <v>11.3396</v>
      </c>
      <c r="L106" s="22">
        <v>81.2</v>
      </c>
      <c r="M106" s="22">
        <v>78.3</v>
      </c>
      <c r="N106" s="22">
        <v>4.32088</v>
      </c>
      <c r="O106" s="22">
        <v>3.62261</v>
      </c>
      <c r="P106" s="126">
        <v>2.795823674522497</v>
      </c>
      <c r="Q106" s="126">
        <v>7.359262701050056</v>
      </c>
    </row>
    <row r="107">
      <c r="A107" s="22">
        <v>2018.0</v>
      </c>
      <c r="B107" s="22" t="s">
        <v>595</v>
      </c>
      <c r="C107" s="123">
        <v>2784.92</v>
      </c>
      <c r="D107" s="123">
        <v>0.2731253</v>
      </c>
      <c r="E107" s="22">
        <v>0.2969199</v>
      </c>
      <c r="F107" s="22">
        <v>24.68526</v>
      </c>
      <c r="G107" s="22">
        <v>0.0298</v>
      </c>
      <c r="H107" s="22">
        <v>51.32</v>
      </c>
      <c r="I107" s="22">
        <v>50.65</v>
      </c>
      <c r="J107" s="22">
        <v>11.3396</v>
      </c>
      <c r="K107" s="22">
        <v>12.4741</v>
      </c>
      <c r="L107" s="22">
        <v>78.3</v>
      </c>
      <c r="M107" s="22">
        <v>74.0</v>
      </c>
      <c r="N107" s="22">
        <v>3.62261</v>
      </c>
      <c r="O107" s="22">
        <v>4.10163</v>
      </c>
      <c r="P107" s="126">
        <v>3.539628059426409</v>
      </c>
      <c r="Q107" s="126">
        <v>7.465006855727509</v>
      </c>
    </row>
    <row r="108">
      <c r="A108" s="22">
        <v>2017.0</v>
      </c>
      <c r="B108" s="22" t="s">
        <v>595</v>
      </c>
      <c r="C108" s="123">
        <v>4230.67</v>
      </c>
      <c r="D108" s="123">
        <v>0.2964802</v>
      </c>
      <c r="E108" s="22">
        <v>0.3113671</v>
      </c>
      <c r="F108" s="22">
        <v>24.6559</v>
      </c>
      <c r="G108" s="22">
        <v>0.09075</v>
      </c>
      <c r="H108" s="22">
        <v>50.65</v>
      </c>
      <c r="I108" s="22">
        <v>49.34</v>
      </c>
      <c r="J108" s="22">
        <v>12.4741</v>
      </c>
      <c r="K108" s="22">
        <v>14.0523</v>
      </c>
      <c r="L108" s="22">
        <v>74.0</v>
      </c>
      <c r="M108" s="22">
        <v>70.1</v>
      </c>
      <c r="N108" s="22">
        <v>4.10163</v>
      </c>
      <c r="O108" s="22">
        <v>4.2548</v>
      </c>
      <c r="P108" s="126">
        <v>3.520256888116174</v>
      </c>
      <c r="Q108" s="126">
        <v>6.94019037359206</v>
      </c>
    </row>
    <row r="109">
      <c r="A109" s="22">
        <v>2016.0</v>
      </c>
      <c r="B109" s="22" t="s">
        <v>595</v>
      </c>
      <c r="C109" s="123">
        <v>2402.95</v>
      </c>
      <c r="D109" s="123">
        <v>0.318729</v>
      </c>
      <c r="E109" s="22">
        <v>0.2373392</v>
      </c>
      <c r="F109" s="22">
        <v>24.56903</v>
      </c>
      <c r="G109" s="22">
        <v>0.16751</v>
      </c>
      <c r="H109" s="22">
        <v>49.34</v>
      </c>
      <c r="I109" s="22">
        <v>48.04</v>
      </c>
      <c r="J109" s="22">
        <v>14.0523</v>
      </c>
      <c r="K109" s="22">
        <v>19.6496</v>
      </c>
      <c r="L109" s="22">
        <v>70.1</v>
      </c>
      <c r="M109" s="22">
        <v>65.5</v>
      </c>
      <c r="N109" s="22">
        <v>4.2548</v>
      </c>
      <c r="O109" s="22">
        <v>3.69098</v>
      </c>
      <c r="P109" s="126">
        <v>2.668248169690822</v>
      </c>
      <c r="Q109" s="126">
        <v>6.690008926604236</v>
      </c>
    </row>
    <row r="110">
      <c r="A110" s="22">
        <v>2015.0</v>
      </c>
      <c r="B110" s="22" t="s">
        <v>595</v>
      </c>
      <c r="C110" s="123">
        <v>1751.44</v>
      </c>
      <c r="D110" s="123">
        <v>0.2827536</v>
      </c>
      <c r="E110" s="22">
        <v>0.238526</v>
      </c>
      <c r="F110" s="22">
        <v>24.41415</v>
      </c>
      <c r="G110" s="22">
        <v>0.1428</v>
      </c>
      <c r="H110" s="22">
        <v>48.04</v>
      </c>
      <c r="I110" s="22">
        <v>46.98</v>
      </c>
      <c r="J110" s="22">
        <v>19.6496</v>
      </c>
      <c r="K110" s="22">
        <v>28.8466</v>
      </c>
      <c r="L110" s="22">
        <v>65.5</v>
      </c>
      <c r="M110" s="22">
        <v>62.8</v>
      </c>
      <c r="N110" s="22">
        <v>3.69098</v>
      </c>
      <c r="O110" s="32"/>
      <c r="P110" s="126">
        <v>0.6312009051757544</v>
      </c>
      <c r="Q110" s="126">
        <v>6.98715430598611</v>
      </c>
    </row>
    <row r="111">
      <c r="A111" s="22">
        <v>2014.0</v>
      </c>
      <c r="B111" s="22" t="s">
        <v>595</v>
      </c>
      <c r="C111" s="123">
        <v>917.422</v>
      </c>
      <c r="D111" s="123">
        <v>0.2354742</v>
      </c>
      <c r="E111" s="22">
        <v>0.2316597</v>
      </c>
      <c r="F111" s="22">
        <v>24.28067</v>
      </c>
      <c r="G111" s="22">
        <v>1.74381</v>
      </c>
      <c r="H111" s="22">
        <v>46.98</v>
      </c>
      <c r="I111" s="32"/>
      <c r="J111" s="22">
        <v>28.8466</v>
      </c>
      <c r="K111" s="32"/>
      <c r="L111" s="22">
        <v>62.8</v>
      </c>
      <c r="M111" s="32"/>
      <c r="N111" s="32"/>
      <c r="O111" s="32"/>
      <c r="P111" s="126">
        <v>4.084554466376173</v>
      </c>
      <c r="Q111" s="126">
        <v>6.422243121185673</v>
      </c>
    </row>
    <row r="112">
      <c r="A112" s="22">
        <v>2024.0</v>
      </c>
      <c r="B112" s="22" t="s">
        <v>660</v>
      </c>
      <c r="C112" s="123">
        <v>233.038</v>
      </c>
      <c r="D112" s="123">
        <v>0.0232261</v>
      </c>
      <c r="E112" s="22">
        <v>0.5470529</v>
      </c>
      <c r="F112" s="22">
        <v>23.27132</v>
      </c>
      <c r="G112" s="22">
        <v>0.01273</v>
      </c>
      <c r="H112" s="22">
        <v>57.56</v>
      </c>
      <c r="I112" s="22">
        <v>56.57</v>
      </c>
      <c r="J112" s="22">
        <v>23.6602</v>
      </c>
      <c r="K112" s="22">
        <v>21.6149</v>
      </c>
      <c r="L112" s="22">
        <v>90.7</v>
      </c>
      <c r="M112" s="22">
        <v>87.3</v>
      </c>
      <c r="N112" s="32"/>
      <c r="O112" s="22">
        <v>2.91433</v>
      </c>
      <c r="P112" s="126">
        <v>3.621092738858435</v>
      </c>
      <c r="Q112" s="126">
        <v>7.091187466339747</v>
      </c>
    </row>
    <row r="113">
      <c r="A113" s="22">
        <v>2023.0</v>
      </c>
      <c r="B113" s="22" t="s">
        <v>660</v>
      </c>
      <c r="C113" s="123">
        <v>299.96</v>
      </c>
      <c r="D113" s="123">
        <v>0.0266927</v>
      </c>
      <c r="E113" s="22">
        <v>0.4851384</v>
      </c>
      <c r="F113" s="22">
        <v>23.25867</v>
      </c>
      <c r="G113" s="22">
        <v>-0.17454</v>
      </c>
      <c r="H113" s="22">
        <v>56.57</v>
      </c>
      <c r="I113" s="22">
        <v>55.52</v>
      </c>
      <c r="J113" s="22">
        <v>21.6149</v>
      </c>
      <c r="K113" s="22">
        <v>18.1757</v>
      </c>
      <c r="L113" s="22">
        <v>87.3</v>
      </c>
      <c r="M113" s="22">
        <v>84.9</v>
      </c>
      <c r="N113" s="22">
        <v>2.91433</v>
      </c>
      <c r="O113" s="22">
        <v>2.80951</v>
      </c>
      <c r="P113" s="126">
        <v>3.252892826676616</v>
      </c>
      <c r="Q113" s="126">
        <v>5.06502391455075</v>
      </c>
    </row>
    <row r="114">
      <c r="A114" s="22">
        <v>2022.0</v>
      </c>
      <c r="B114" s="22" t="s">
        <v>660</v>
      </c>
      <c r="C114" s="123">
        <v>198.742</v>
      </c>
      <c r="D114" s="123">
        <v>0.0108645</v>
      </c>
      <c r="E114" s="22">
        <v>0.4283734</v>
      </c>
      <c r="F114" s="22">
        <v>23.45049</v>
      </c>
      <c r="G114" s="22">
        <v>0.16337</v>
      </c>
      <c r="H114" s="22">
        <v>55.52</v>
      </c>
      <c r="I114" s="22">
        <v>53.94</v>
      </c>
      <c r="J114" s="22">
        <v>18.1757</v>
      </c>
      <c r="K114" s="22">
        <v>12.1839</v>
      </c>
      <c r="L114" s="22">
        <v>84.9</v>
      </c>
      <c r="M114" s="22">
        <v>81.7</v>
      </c>
      <c r="N114" s="22">
        <v>2.80951</v>
      </c>
      <c r="O114" s="22">
        <v>2.80951</v>
      </c>
      <c r="P114" s="126">
        <v>3.156507499631293</v>
      </c>
      <c r="Q114" s="126">
        <v>8.537500467557877</v>
      </c>
    </row>
    <row r="115">
      <c r="A115" s="22">
        <v>2021.0</v>
      </c>
      <c r="B115" s="22" t="s">
        <v>660</v>
      </c>
      <c r="C115" s="123">
        <v>430.201</v>
      </c>
      <c r="D115" s="123">
        <v>0.0323835</v>
      </c>
      <c r="E115" s="22">
        <v>0.455081</v>
      </c>
      <c r="F115" s="22">
        <v>23.29916</v>
      </c>
      <c r="G115" s="22">
        <v>0.76927</v>
      </c>
      <c r="H115" s="22">
        <v>53.94</v>
      </c>
      <c r="I115" s="22">
        <v>54.56</v>
      </c>
      <c r="J115" s="22">
        <v>12.1839</v>
      </c>
      <c r="K115" s="22">
        <v>12.2739</v>
      </c>
      <c r="L115" s="22">
        <v>81.7</v>
      </c>
      <c r="M115" s="22">
        <v>79.3</v>
      </c>
      <c r="N115" s="22">
        <v>2.80951</v>
      </c>
      <c r="O115" s="22">
        <v>5.27668</v>
      </c>
      <c r="P115" s="126">
        <v>1.834715548104437</v>
      </c>
      <c r="Q115" s="126">
        <v>2.553728526481308</v>
      </c>
    </row>
    <row r="116">
      <c r="A116" s="22">
        <v>2020.0</v>
      </c>
      <c r="B116" s="22" t="s">
        <v>660</v>
      </c>
      <c r="C116" s="123">
        <v>244.595</v>
      </c>
      <c r="D116" s="123">
        <v>0.0330446</v>
      </c>
      <c r="E116" s="22">
        <v>0.5304274</v>
      </c>
      <c r="F116" s="22">
        <v>22.7286</v>
      </c>
      <c r="G116" s="22">
        <v>-0.19761</v>
      </c>
      <c r="H116" s="22">
        <v>54.56</v>
      </c>
      <c r="I116" s="22">
        <v>52.92</v>
      </c>
      <c r="J116" s="22">
        <v>12.2739</v>
      </c>
      <c r="K116" s="22">
        <v>11.3076</v>
      </c>
      <c r="L116" s="22">
        <v>79.3</v>
      </c>
      <c r="M116" s="22">
        <v>71.6</v>
      </c>
      <c r="N116" s="22">
        <v>5.27668</v>
      </c>
      <c r="O116" s="22">
        <v>6.86756</v>
      </c>
      <c r="P116" s="126">
        <v>3.220934366525141</v>
      </c>
      <c r="Q116" s="126">
        <v>2.865413209122721</v>
      </c>
    </row>
    <row r="117">
      <c r="A117" s="22">
        <v>2019.0</v>
      </c>
      <c r="B117" s="22" t="s">
        <v>660</v>
      </c>
      <c r="C117" s="123">
        <v>211.767</v>
      </c>
      <c r="D117" s="123">
        <v>0.061475</v>
      </c>
      <c r="E117" s="22">
        <v>0.5924561</v>
      </c>
      <c r="F117" s="22">
        <v>22.94876</v>
      </c>
      <c r="G117" s="22">
        <v>0.15559</v>
      </c>
      <c r="H117" s="22">
        <v>52.92</v>
      </c>
      <c r="I117" s="22">
        <v>51.32</v>
      </c>
      <c r="J117" s="22">
        <v>11.3076</v>
      </c>
      <c r="K117" s="22">
        <v>11.3396</v>
      </c>
      <c r="L117" s="22">
        <v>71.6</v>
      </c>
      <c r="M117" s="22">
        <v>65.6</v>
      </c>
      <c r="N117" s="22">
        <v>6.86756</v>
      </c>
      <c r="O117" s="22">
        <v>8.89288</v>
      </c>
      <c r="P117" s="126">
        <v>2.795823674522497</v>
      </c>
      <c r="Q117" s="126">
        <v>7.359262701050056</v>
      </c>
    </row>
    <row r="118">
      <c r="A118" s="22">
        <v>2018.0</v>
      </c>
      <c r="B118" s="22" t="s">
        <v>660</v>
      </c>
      <c r="C118" s="123">
        <v>123.591</v>
      </c>
      <c r="D118" s="123">
        <v>0.0281769</v>
      </c>
      <c r="E118" s="22">
        <v>0.6041726</v>
      </c>
      <c r="F118" s="22">
        <v>22.80415</v>
      </c>
      <c r="G118" s="22">
        <v>0.96863</v>
      </c>
      <c r="H118" s="22">
        <v>51.32</v>
      </c>
      <c r="I118" s="22">
        <v>50.65</v>
      </c>
      <c r="J118" s="22">
        <v>11.3396</v>
      </c>
      <c r="K118" s="22">
        <v>12.4741</v>
      </c>
      <c r="L118" s="22">
        <v>65.6</v>
      </c>
      <c r="M118" s="22">
        <v>54.1</v>
      </c>
      <c r="N118" s="22">
        <v>8.89288</v>
      </c>
      <c r="O118" s="22">
        <v>7.50355</v>
      </c>
      <c r="P118" s="126">
        <v>3.539628059426409</v>
      </c>
      <c r="Q118" s="126">
        <v>7.465006855727509</v>
      </c>
    </row>
    <row r="119">
      <c r="A119" s="22">
        <v>2017.0</v>
      </c>
      <c r="B119" s="22" t="s">
        <v>660</v>
      </c>
      <c r="C119" s="123">
        <v>239.788</v>
      </c>
      <c r="D119" s="123">
        <v>0.0575514</v>
      </c>
      <c r="E119" s="22">
        <v>0.644905</v>
      </c>
      <c r="F119" s="22">
        <v>22.12681</v>
      </c>
      <c r="G119" s="22">
        <v>0.89834</v>
      </c>
      <c r="H119" s="22">
        <v>50.65</v>
      </c>
      <c r="I119" s="22">
        <v>49.34</v>
      </c>
      <c r="J119" s="22">
        <v>12.4741</v>
      </c>
      <c r="K119" s="22">
        <v>14.0523</v>
      </c>
      <c r="L119" s="22">
        <v>54.1</v>
      </c>
      <c r="M119" s="22">
        <v>51.5</v>
      </c>
      <c r="N119" s="22">
        <v>7.50355</v>
      </c>
      <c r="O119" s="22">
        <v>2.70062</v>
      </c>
      <c r="P119" s="126">
        <v>3.520256888116174</v>
      </c>
      <c r="Q119" s="126">
        <v>6.94019037359206</v>
      </c>
    </row>
    <row r="120">
      <c r="A120" s="22">
        <v>2016.0</v>
      </c>
      <c r="B120" s="22" t="s">
        <v>660</v>
      </c>
      <c r="C120" s="123">
        <v>207.637</v>
      </c>
      <c r="D120" s="123">
        <v>0.0464402</v>
      </c>
      <c r="E120" s="22">
        <v>0.6897754</v>
      </c>
      <c r="F120" s="22">
        <v>21.48583</v>
      </c>
      <c r="G120" s="22">
        <v>0.32778</v>
      </c>
      <c r="H120" s="22">
        <v>49.34</v>
      </c>
      <c r="I120" s="22">
        <v>48.04</v>
      </c>
      <c r="J120" s="22">
        <v>14.0523</v>
      </c>
      <c r="K120" s="22">
        <v>19.6496</v>
      </c>
      <c r="L120" s="22">
        <v>51.5</v>
      </c>
      <c r="M120" s="22">
        <v>48.7</v>
      </c>
      <c r="N120" s="22">
        <v>2.70062</v>
      </c>
      <c r="O120" s="22">
        <v>3.7899</v>
      </c>
      <c r="P120" s="126">
        <v>2.668248169690822</v>
      </c>
      <c r="Q120" s="126">
        <v>6.690008926604236</v>
      </c>
    </row>
    <row r="121">
      <c r="A121" s="22">
        <v>2015.0</v>
      </c>
      <c r="B121" s="22" t="s">
        <v>660</v>
      </c>
      <c r="C121" s="123">
        <v>127.387</v>
      </c>
      <c r="D121" s="123">
        <v>0.0207436</v>
      </c>
      <c r="E121" s="22">
        <v>0.5807755</v>
      </c>
      <c r="F121" s="22">
        <v>21.20232</v>
      </c>
      <c r="G121" s="22">
        <v>0.03454</v>
      </c>
      <c r="H121" s="22">
        <v>48.04</v>
      </c>
      <c r="I121" s="22">
        <v>46.98</v>
      </c>
      <c r="J121" s="22">
        <v>19.6496</v>
      </c>
      <c r="K121" s="22">
        <v>28.8466</v>
      </c>
      <c r="L121" s="22">
        <v>48.7</v>
      </c>
      <c r="M121" s="22">
        <v>44.0</v>
      </c>
      <c r="N121" s="22">
        <v>3.7899</v>
      </c>
      <c r="O121" s="32"/>
      <c r="P121" s="126">
        <v>0.6312009051757544</v>
      </c>
      <c r="Q121" s="126">
        <v>6.98715430598611</v>
      </c>
    </row>
    <row r="122">
      <c r="A122" s="22">
        <v>2014.0</v>
      </c>
      <c r="B122" s="22" t="s">
        <v>660</v>
      </c>
      <c r="C122" s="123">
        <v>79.2625</v>
      </c>
      <c r="D122" s="123">
        <v>0.0336094</v>
      </c>
      <c r="E122" s="22">
        <v>0.4468924</v>
      </c>
      <c r="F122" s="22">
        <v>21.16836</v>
      </c>
      <c r="G122" s="22">
        <v>-0.95874</v>
      </c>
      <c r="H122" s="22">
        <v>46.98</v>
      </c>
      <c r="I122" s="32"/>
      <c r="J122" s="22">
        <v>28.8466</v>
      </c>
      <c r="K122" s="32"/>
      <c r="L122" s="22">
        <v>44.0</v>
      </c>
      <c r="M122" s="32"/>
      <c r="N122" s="32"/>
      <c r="O122" s="32"/>
      <c r="P122" s="126">
        <v>4.084554466376173</v>
      </c>
      <c r="Q122" s="126">
        <v>6.422243121185673</v>
      </c>
    </row>
    <row r="123">
      <c r="A123" s="22">
        <v>2024.0</v>
      </c>
      <c r="B123" s="22" t="s">
        <v>723</v>
      </c>
      <c r="C123" s="123">
        <v>1825.87</v>
      </c>
      <c r="D123" s="123">
        <v>0.1227888</v>
      </c>
      <c r="E123" s="22">
        <v>0.3459157</v>
      </c>
      <c r="F123" s="22">
        <v>24.35618</v>
      </c>
      <c r="G123" s="22">
        <v>0.14141</v>
      </c>
      <c r="H123" s="22">
        <v>57.56</v>
      </c>
      <c r="I123" s="22">
        <v>56.57</v>
      </c>
      <c r="J123" s="22">
        <v>23.6602</v>
      </c>
      <c r="K123" s="22">
        <v>21.6149</v>
      </c>
      <c r="L123" s="22">
        <v>87.31</v>
      </c>
      <c r="M123" s="22">
        <v>84.85</v>
      </c>
      <c r="N123" s="32"/>
      <c r="O123" s="22">
        <v>3.66511</v>
      </c>
      <c r="P123" s="126">
        <v>3.621092738858435</v>
      </c>
      <c r="Q123" s="126">
        <v>7.091187466339747</v>
      </c>
    </row>
    <row r="124">
      <c r="A124" s="22">
        <v>2023.0</v>
      </c>
      <c r="B124" s="22" t="s">
        <v>723</v>
      </c>
      <c r="C124" s="123">
        <v>1406.24</v>
      </c>
      <c r="D124" s="123">
        <v>0.1366204</v>
      </c>
      <c r="E124" s="22">
        <v>0.320316</v>
      </c>
      <c r="F124" s="22">
        <v>24.22392</v>
      </c>
      <c r="G124" s="22">
        <v>-0.02183</v>
      </c>
      <c r="H124" s="22">
        <v>56.57</v>
      </c>
      <c r="I124" s="22">
        <v>55.52</v>
      </c>
      <c r="J124" s="22">
        <v>21.6149</v>
      </c>
      <c r="K124" s="22">
        <v>18.1757</v>
      </c>
      <c r="L124" s="22">
        <v>84.85</v>
      </c>
      <c r="M124" s="22">
        <v>80.1</v>
      </c>
      <c r="N124" s="22">
        <v>3.66511</v>
      </c>
      <c r="O124" s="22">
        <v>4.62556</v>
      </c>
      <c r="P124" s="126">
        <v>3.252892826676616</v>
      </c>
      <c r="Q124" s="126">
        <v>5.06502391455075</v>
      </c>
    </row>
    <row r="125">
      <c r="A125" s="22">
        <v>2022.0</v>
      </c>
      <c r="B125" s="22" t="s">
        <v>723</v>
      </c>
      <c r="C125" s="123">
        <v>1433.09</v>
      </c>
      <c r="D125" s="123">
        <v>0.1357399</v>
      </c>
      <c r="E125" s="22">
        <v>0.3668729</v>
      </c>
      <c r="F125" s="22">
        <v>24.24599</v>
      </c>
      <c r="G125" s="22">
        <v>0.73307</v>
      </c>
      <c r="H125" s="22">
        <v>55.52</v>
      </c>
      <c r="I125" s="22">
        <v>53.94</v>
      </c>
      <c r="J125" s="22">
        <v>18.1757</v>
      </c>
      <c r="K125" s="22">
        <v>12.1839</v>
      </c>
      <c r="L125" s="22">
        <v>80.1</v>
      </c>
      <c r="M125" s="22">
        <v>75.6</v>
      </c>
      <c r="N125" s="22">
        <v>4.62556</v>
      </c>
      <c r="O125" s="22">
        <v>4.77764</v>
      </c>
      <c r="P125" s="126">
        <v>3.156507499631293</v>
      </c>
      <c r="Q125" s="126">
        <v>8.537500467557877</v>
      </c>
    </row>
    <row r="126">
      <c r="A126" s="22">
        <v>2021.0</v>
      </c>
      <c r="B126" s="22" t="s">
        <v>723</v>
      </c>
      <c r="C126" s="123">
        <v>1417.98</v>
      </c>
      <c r="D126" s="123">
        <v>0.0969056</v>
      </c>
      <c r="E126" s="22">
        <v>0.4337862</v>
      </c>
      <c r="F126" s="22">
        <v>23.69609</v>
      </c>
      <c r="G126" s="22">
        <v>0.11629</v>
      </c>
      <c r="H126" s="22">
        <v>53.94</v>
      </c>
      <c r="I126" s="22">
        <v>54.56</v>
      </c>
      <c r="J126" s="22">
        <v>12.1839</v>
      </c>
      <c r="K126" s="22">
        <v>12.2739</v>
      </c>
      <c r="L126" s="22">
        <v>75.6</v>
      </c>
      <c r="M126" s="22">
        <v>70.55</v>
      </c>
      <c r="N126" s="22">
        <v>4.77764</v>
      </c>
      <c r="O126" s="22">
        <v>5.41654</v>
      </c>
      <c r="P126" s="126">
        <v>1.834715548104437</v>
      </c>
      <c r="Q126" s="126">
        <v>2.553728526481308</v>
      </c>
    </row>
    <row r="127">
      <c r="A127" s="22">
        <v>2020.0</v>
      </c>
      <c r="B127" s="22" t="s">
        <v>723</v>
      </c>
      <c r="C127" s="123">
        <v>1456.0</v>
      </c>
      <c r="D127" s="123">
        <v>0.1260511</v>
      </c>
      <c r="E127" s="22">
        <v>0.3820852</v>
      </c>
      <c r="F127" s="22">
        <v>23.58608</v>
      </c>
      <c r="G127" s="22">
        <v>0.03001</v>
      </c>
      <c r="H127" s="22">
        <v>54.56</v>
      </c>
      <c r="I127" s="22">
        <v>52.92</v>
      </c>
      <c r="J127" s="22">
        <v>12.2739</v>
      </c>
      <c r="K127" s="22">
        <v>11.3076</v>
      </c>
      <c r="L127" s="22">
        <v>70.55</v>
      </c>
      <c r="M127" s="22">
        <v>64.775</v>
      </c>
      <c r="N127" s="22">
        <v>5.41654</v>
      </c>
      <c r="O127" s="22">
        <v>7.07515</v>
      </c>
      <c r="P127" s="126">
        <v>3.220934366525141</v>
      </c>
      <c r="Q127" s="126">
        <v>2.865413209122721</v>
      </c>
    </row>
    <row r="128">
      <c r="A128" s="22">
        <v>2019.0</v>
      </c>
      <c r="B128" s="22" t="s">
        <v>723</v>
      </c>
      <c r="C128" s="123">
        <v>1097.58</v>
      </c>
      <c r="D128" s="123">
        <v>0.1387806</v>
      </c>
      <c r="E128" s="22">
        <v>0.4679432</v>
      </c>
      <c r="F128" s="22">
        <v>23.55652</v>
      </c>
      <c r="G128" s="22">
        <v>0.16674</v>
      </c>
      <c r="H128" s="22">
        <v>52.92</v>
      </c>
      <c r="I128" s="22">
        <v>51.32</v>
      </c>
      <c r="J128" s="22">
        <v>11.3076</v>
      </c>
      <c r="K128" s="22">
        <v>11.3396</v>
      </c>
      <c r="L128" s="22">
        <v>64.775</v>
      </c>
      <c r="M128" s="22">
        <v>56.475</v>
      </c>
      <c r="N128" s="22">
        <v>7.07515</v>
      </c>
      <c r="O128" s="22">
        <v>7.29903</v>
      </c>
      <c r="P128" s="126">
        <v>2.795823674522497</v>
      </c>
      <c r="Q128" s="126">
        <v>7.359262701050056</v>
      </c>
    </row>
    <row r="129">
      <c r="A129" s="22">
        <v>2018.0</v>
      </c>
      <c r="B129" s="22" t="s">
        <v>723</v>
      </c>
      <c r="C129" s="123">
        <v>762.327</v>
      </c>
      <c r="D129" s="123">
        <v>0.1491051</v>
      </c>
      <c r="E129" s="22">
        <v>0.4182768</v>
      </c>
      <c r="F129" s="22">
        <v>23.40231</v>
      </c>
      <c r="G129" s="22">
        <v>0.32744</v>
      </c>
      <c r="H129" s="22">
        <v>51.32</v>
      </c>
      <c r="I129" s="22">
        <v>50.65</v>
      </c>
      <c r="J129" s="22">
        <v>11.3396</v>
      </c>
      <c r="K129" s="22">
        <v>12.4741</v>
      </c>
      <c r="L129" s="22">
        <v>56.475</v>
      </c>
      <c r="M129" s="22">
        <v>50.225</v>
      </c>
      <c r="N129" s="22">
        <v>7.29903</v>
      </c>
      <c r="O129" s="22">
        <v>6.79459</v>
      </c>
      <c r="P129" s="126">
        <v>3.539628059426409</v>
      </c>
      <c r="Q129" s="126">
        <v>7.465006855727509</v>
      </c>
    </row>
    <row r="130">
      <c r="A130" s="22">
        <v>2017.0</v>
      </c>
      <c r="B130" s="22" t="s">
        <v>723</v>
      </c>
      <c r="C130" s="123">
        <v>936.888</v>
      </c>
      <c r="D130" s="123">
        <v>0.1585668</v>
      </c>
      <c r="E130" s="22">
        <v>0.3374745</v>
      </c>
      <c r="F130" s="22">
        <v>23.11905</v>
      </c>
      <c r="G130" s="22">
        <v>0.28165</v>
      </c>
      <c r="H130" s="22">
        <v>50.65</v>
      </c>
      <c r="I130" s="22">
        <v>49.34</v>
      </c>
      <c r="J130" s="22">
        <v>12.4741</v>
      </c>
      <c r="K130" s="22">
        <v>14.0523</v>
      </c>
      <c r="L130" s="22">
        <v>50.225</v>
      </c>
      <c r="M130" s="22">
        <v>42.9</v>
      </c>
      <c r="N130" s="22">
        <v>6.79459</v>
      </c>
      <c r="O130" s="22">
        <v>5.05612</v>
      </c>
      <c r="P130" s="126">
        <v>3.520256888116174</v>
      </c>
      <c r="Q130" s="126">
        <v>6.94019037359206</v>
      </c>
    </row>
    <row r="131">
      <c r="A131" s="22">
        <v>2016.0</v>
      </c>
      <c r="B131" s="22" t="s">
        <v>723</v>
      </c>
      <c r="C131" s="123">
        <v>565.784</v>
      </c>
      <c r="D131" s="123">
        <v>0.1255545</v>
      </c>
      <c r="E131" s="22">
        <v>0.5818472</v>
      </c>
      <c r="F131" s="22">
        <v>22.8709</v>
      </c>
      <c r="G131" s="22">
        <v>0.11141</v>
      </c>
      <c r="H131" s="22">
        <v>49.34</v>
      </c>
      <c r="I131" s="22">
        <v>48.04</v>
      </c>
      <c r="J131" s="22">
        <v>14.0523</v>
      </c>
      <c r="K131" s="22">
        <v>19.6496</v>
      </c>
      <c r="L131" s="22">
        <v>42.9</v>
      </c>
      <c r="M131" s="22">
        <v>40.525</v>
      </c>
      <c r="N131" s="22">
        <v>5.05612</v>
      </c>
      <c r="O131" s="22">
        <v>2.32518</v>
      </c>
      <c r="P131" s="126">
        <v>2.668248169690822</v>
      </c>
      <c r="Q131" s="126">
        <v>6.690008926604236</v>
      </c>
    </row>
    <row r="132">
      <c r="A132" s="22">
        <v>2015.0</v>
      </c>
      <c r="B132" s="22" t="s">
        <v>723</v>
      </c>
      <c r="C132" s="123">
        <v>328.743</v>
      </c>
      <c r="D132" s="123">
        <v>0.0253859</v>
      </c>
      <c r="E132" s="22">
        <v>0.5580305</v>
      </c>
      <c r="F132" s="22">
        <v>22.76527</v>
      </c>
      <c r="G132" s="22">
        <v>-0.16232</v>
      </c>
      <c r="H132" s="22">
        <v>48.04</v>
      </c>
      <c r="I132" s="22">
        <v>46.98</v>
      </c>
      <c r="J132" s="22">
        <v>19.6496</v>
      </c>
      <c r="K132" s="22">
        <v>28.8466</v>
      </c>
      <c r="L132" s="22">
        <v>40.525</v>
      </c>
      <c r="M132" s="22">
        <v>38.25</v>
      </c>
      <c r="N132" s="22">
        <v>2.32518</v>
      </c>
      <c r="O132" s="22"/>
      <c r="P132" s="126">
        <v>0.6312009051757544</v>
      </c>
      <c r="Q132" s="126">
        <v>6.98715430598611</v>
      </c>
    </row>
    <row r="133">
      <c r="A133" s="22">
        <v>2014.0</v>
      </c>
      <c r="B133" s="22" t="s">
        <v>723</v>
      </c>
      <c r="C133" s="123">
        <v>243.283</v>
      </c>
      <c r="D133" s="123">
        <v>0.0904565</v>
      </c>
      <c r="E133" s="22">
        <v>0.5416496</v>
      </c>
      <c r="F133" s="22">
        <v>22.94238</v>
      </c>
      <c r="G133" s="22">
        <v>-0.87836</v>
      </c>
      <c r="H133" s="22">
        <v>46.98</v>
      </c>
      <c r="I133" s="22"/>
      <c r="J133" s="22">
        <v>28.8466</v>
      </c>
      <c r="K133" s="32"/>
      <c r="L133" s="22">
        <v>38.25</v>
      </c>
      <c r="M133" s="32"/>
      <c r="N133" s="22"/>
      <c r="O133" s="22"/>
      <c r="P133" s="126">
        <v>4.084554466376173</v>
      </c>
      <c r="Q133" s="126">
        <v>6.422243121185673</v>
      </c>
    </row>
    <row r="134">
      <c r="A134" s="22">
        <v>2024.0</v>
      </c>
      <c r="B134" s="22" t="s">
        <v>780</v>
      </c>
      <c r="C134" s="123">
        <v>77.6271</v>
      </c>
      <c r="D134" s="123">
        <v>0.0092742</v>
      </c>
      <c r="E134" s="22">
        <v>0.947511</v>
      </c>
      <c r="F134" s="22">
        <v>25.0491</v>
      </c>
      <c r="G134" s="22">
        <v>0.07138</v>
      </c>
      <c r="H134" s="22">
        <v>57.56</v>
      </c>
      <c r="I134" s="22">
        <v>56.57</v>
      </c>
      <c r="J134" s="22">
        <v>23.6602</v>
      </c>
      <c r="K134" s="22">
        <v>21.6149</v>
      </c>
      <c r="L134" s="22">
        <v>93.9</v>
      </c>
      <c r="M134" s="22">
        <v>92.2</v>
      </c>
      <c r="N134" s="22"/>
      <c r="O134" s="22">
        <v>2.32594</v>
      </c>
      <c r="P134" s="126">
        <v>3.621092738858435</v>
      </c>
      <c r="Q134" s="126">
        <v>7.091187466339747</v>
      </c>
    </row>
    <row r="135">
      <c r="A135" s="22">
        <v>2023.0</v>
      </c>
      <c r="B135" s="22" t="s">
        <v>780</v>
      </c>
      <c r="C135" s="123">
        <v>78.9353</v>
      </c>
      <c r="D135" s="123">
        <v>0.0095517</v>
      </c>
      <c r="E135" s="22">
        <v>0.9465998</v>
      </c>
      <c r="F135" s="22">
        <v>24.98015</v>
      </c>
      <c r="G135" s="22">
        <v>0.08464</v>
      </c>
      <c r="H135" s="22">
        <v>56.57</v>
      </c>
      <c r="I135" s="22">
        <v>55.52</v>
      </c>
      <c r="J135" s="22">
        <v>21.6149</v>
      </c>
      <c r="K135" s="22">
        <v>18.1757</v>
      </c>
      <c r="L135" s="22">
        <v>92.2</v>
      </c>
      <c r="M135" s="22">
        <v>89.3</v>
      </c>
      <c r="N135" s="22">
        <v>2.32594</v>
      </c>
      <c r="O135" s="22">
        <v>2.37136</v>
      </c>
      <c r="P135" s="126">
        <v>3.252892826676616</v>
      </c>
      <c r="Q135" s="126">
        <v>5.06502391455075</v>
      </c>
    </row>
    <row r="136">
      <c r="A136" s="22">
        <v>2022.0</v>
      </c>
      <c r="B136" s="22" t="s">
        <v>780</v>
      </c>
      <c r="C136" s="123">
        <v>67.7352</v>
      </c>
      <c r="D136" s="123">
        <v>0.0086862</v>
      </c>
      <c r="E136" s="22">
        <v>0.9508679</v>
      </c>
      <c r="F136" s="22">
        <v>24.8989</v>
      </c>
      <c r="G136" s="22">
        <v>0.15953</v>
      </c>
      <c r="H136" s="22">
        <v>55.52</v>
      </c>
      <c r="I136" s="22">
        <v>53.94</v>
      </c>
      <c r="J136" s="22">
        <v>18.1757</v>
      </c>
      <c r="K136" s="22">
        <v>12.1839</v>
      </c>
      <c r="L136" s="22">
        <v>89.3</v>
      </c>
      <c r="M136" s="22">
        <v>87.5</v>
      </c>
      <c r="N136" s="22">
        <v>2.37136</v>
      </c>
      <c r="O136" s="22">
        <v>1.75024</v>
      </c>
      <c r="P136" s="126">
        <v>3.156507499631293</v>
      </c>
      <c r="Q136" s="126">
        <v>8.537500467557877</v>
      </c>
    </row>
    <row r="137">
      <c r="A137" s="22">
        <v>2021.0</v>
      </c>
      <c r="B137" s="22" t="s">
        <v>780</v>
      </c>
      <c r="C137" s="123">
        <v>62.3854</v>
      </c>
      <c r="D137" s="123">
        <v>0.0061539</v>
      </c>
      <c r="E137" s="22">
        <v>0.9509966</v>
      </c>
      <c r="F137" s="22">
        <v>24.75089</v>
      </c>
      <c r="G137" s="22">
        <v>0.25312</v>
      </c>
      <c r="H137" s="22">
        <v>53.94</v>
      </c>
      <c r="I137" s="22">
        <v>54.56</v>
      </c>
      <c r="J137" s="22">
        <v>12.1839</v>
      </c>
      <c r="K137" s="22">
        <v>12.2739</v>
      </c>
      <c r="L137" s="22">
        <v>87.5</v>
      </c>
      <c r="M137" s="22">
        <v>85.8</v>
      </c>
      <c r="N137" s="22">
        <v>1.75024</v>
      </c>
      <c r="O137" s="22">
        <v>2.81603</v>
      </c>
      <c r="P137" s="126">
        <v>1.834715548104437</v>
      </c>
      <c r="Q137" s="126">
        <v>2.553728526481308</v>
      </c>
    </row>
    <row r="138">
      <c r="A138" s="22">
        <v>2020.0</v>
      </c>
      <c r="B138" s="22" t="s">
        <v>780</v>
      </c>
      <c r="C138" s="123">
        <v>73.8631</v>
      </c>
      <c r="D138" s="123">
        <v>0.0047627</v>
      </c>
      <c r="E138" s="22">
        <v>0.9474864</v>
      </c>
      <c r="F138" s="22">
        <v>24.52526</v>
      </c>
      <c r="G138" s="22">
        <v>0.05276</v>
      </c>
      <c r="H138" s="22">
        <v>54.56</v>
      </c>
      <c r="I138" s="22">
        <v>52.92</v>
      </c>
      <c r="J138" s="22">
        <v>12.2739</v>
      </c>
      <c r="K138" s="22">
        <v>11.3076</v>
      </c>
      <c r="L138" s="22">
        <v>85.8</v>
      </c>
      <c r="M138" s="22">
        <v>82.0</v>
      </c>
      <c r="N138" s="22">
        <v>2.81603</v>
      </c>
      <c r="O138" s="22">
        <v>5.69561</v>
      </c>
      <c r="P138" s="126">
        <v>3.220934366525141</v>
      </c>
      <c r="Q138" s="126">
        <v>2.865413209122721</v>
      </c>
    </row>
    <row r="139">
      <c r="A139" s="22">
        <v>2019.0</v>
      </c>
      <c r="B139" s="22" t="s">
        <v>780</v>
      </c>
      <c r="C139" s="123">
        <v>60.721</v>
      </c>
      <c r="D139" s="123">
        <v>0.0057369</v>
      </c>
      <c r="E139" s="22">
        <v>0.9478824</v>
      </c>
      <c r="F139" s="22">
        <v>24.47384</v>
      </c>
      <c r="G139" s="22">
        <v>0.05846</v>
      </c>
      <c r="H139" s="22">
        <v>52.92</v>
      </c>
      <c r="I139" s="22">
        <v>51.32</v>
      </c>
      <c r="J139" s="22">
        <v>11.3076</v>
      </c>
      <c r="K139" s="22">
        <v>11.3396</v>
      </c>
      <c r="L139" s="22">
        <v>82.0</v>
      </c>
      <c r="M139" s="22">
        <v>74.6</v>
      </c>
      <c r="N139" s="22">
        <v>5.69561</v>
      </c>
      <c r="O139" s="22">
        <v>5.82838</v>
      </c>
      <c r="P139" s="126">
        <v>2.795823674522497</v>
      </c>
      <c r="Q139" s="126">
        <v>7.359262701050056</v>
      </c>
    </row>
    <row r="140">
      <c r="A140" s="22">
        <v>2018.0</v>
      </c>
      <c r="B140" s="22" t="s">
        <v>780</v>
      </c>
      <c r="C140" s="123">
        <v>49.8594</v>
      </c>
      <c r="D140" s="123">
        <v>0.0056975</v>
      </c>
      <c r="E140" s="22">
        <v>0.9584957</v>
      </c>
      <c r="F140" s="22">
        <v>24.41703</v>
      </c>
      <c r="G140" s="22">
        <v>0.13541</v>
      </c>
      <c r="H140" s="22">
        <v>51.32</v>
      </c>
      <c r="I140" s="22">
        <v>50.65</v>
      </c>
      <c r="J140" s="22">
        <v>11.3396</v>
      </c>
      <c r="K140" s="22">
        <v>12.4741</v>
      </c>
      <c r="L140" s="22">
        <v>74.6</v>
      </c>
      <c r="M140" s="22">
        <v>70.5</v>
      </c>
      <c r="N140" s="22">
        <v>5.82838</v>
      </c>
      <c r="O140" s="22">
        <v>4.1</v>
      </c>
      <c r="P140" s="126">
        <v>3.539628059426409</v>
      </c>
      <c r="Q140" s="126">
        <v>7.465006855727509</v>
      </c>
    </row>
    <row r="141">
      <c r="A141" s="22">
        <v>2017.0</v>
      </c>
      <c r="B141" s="22" t="s">
        <v>780</v>
      </c>
      <c r="C141" s="123">
        <v>40.5427</v>
      </c>
      <c r="D141" s="123">
        <v>0.005777</v>
      </c>
      <c r="E141" s="22">
        <v>0.9593823</v>
      </c>
      <c r="F141" s="22">
        <v>24.29004</v>
      </c>
      <c r="G141" s="22">
        <v>0.29669</v>
      </c>
      <c r="H141" s="22">
        <v>50.65</v>
      </c>
      <c r="I141" s="22">
        <v>49.34</v>
      </c>
      <c r="J141" s="22">
        <v>12.4741</v>
      </c>
      <c r="K141" s="22">
        <v>14.0523</v>
      </c>
      <c r="L141" s="22">
        <v>70.5</v>
      </c>
      <c r="M141" s="22">
        <v>66.4</v>
      </c>
      <c r="N141" s="22">
        <v>4.1</v>
      </c>
      <c r="O141" s="22">
        <v>2.85832</v>
      </c>
      <c r="P141" s="126">
        <v>3.520256888116174</v>
      </c>
      <c r="Q141" s="126">
        <v>6.94019037359206</v>
      </c>
    </row>
    <row r="142">
      <c r="A142" s="22">
        <v>2016.0</v>
      </c>
      <c r="B142" s="22" t="s">
        <v>780</v>
      </c>
      <c r="C142" s="123">
        <v>26.4738</v>
      </c>
      <c r="D142" s="123">
        <v>0.0061571</v>
      </c>
      <c r="E142" s="22">
        <v>0.9561647</v>
      </c>
      <c r="F142" s="22">
        <v>24.03022</v>
      </c>
      <c r="G142" s="22">
        <v>0.24702</v>
      </c>
      <c r="H142" s="22">
        <v>49.34</v>
      </c>
      <c r="I142" s="22">
        <v>48.04</v>
      </c>
      <c r="J142" s="22">
        <v>14.0523</v>
      </c>
      <c r="K142" s="22">
        <v>19.6496</v>
      </c>
      <c r="L142" s="22">
        <v>66.4</v>
      </c>
      <c r="M142" s="22">
        <v>65.0</v>
      </c>
      <c r="N142" s="22">
        <v>2.85832</v>
      </c>
      <c r="O142" s="22">
        <v>3.36452</v>
      </c>
      <c r="P142" s="126">
        <v>2.668248169690822</v>
      </c>
      <c r="Q142" s="126">
        <v>6.690008926604236</v>
      </c>
    </row>
    <row r="143">
      <c r="A143" s="22">
        <v>2015.0</v>
      </c>
      <c r="B143" s="22" t="s">
        <v>780</v>
      </c>
      <c r="C143" s="123">
        <v>35.1459</v>
      </c>
      <c r="D143" s="123">
        <v>0.0074962</v>
      </c>
      <c r="E143" s="22">
        <v>0.9502328</v>
      </c>
      <c r="F143" s="22">
        <v>23.80947</v>
      </c>
      <c r="G143" s="22">
        <v>0.09792</v>
      </c>
      <c r="H143" s="22">
        <v>48.04</v>
      </c>
      <c r="I143" s="22">
        <v>46.98</v>
      </c>
      <c r="J143" s="22">
        <v>19.6496</v>
      </c>
      <c r="K143" s="22">
        <v>28.8466</v>
      </c>
      <c r="L143" s="22">
        <v>65.0</v>
      </c>
      <c r="M143" s="22">
        <v>60.0</v>
      </c>
      <c r="N143" s="22">
        <v>3.36452</v>
      </c>
      <c r="O143" s="32"/>
      <c r="P143" s="126">
        <v>0.6312009051757544</v>
      </c>
      <c r="Q143" s="126">
        <v>6.98715430598611</v>
      </c>
    </row>
    <row r="144">
      <c r="A144" s="22">
        <v>2014.0</v>
      </c>
      <c r="B144" s="22" t="s">
        <v>780</v>
      </c>
      <c r="C144" s="123">
        <v>25.8302</v>
      </c>
      <c r="D144" s="123">
        <v>0.0076662</v>
      </c>
      <c r="E144" s="22">
        <v>0.9483252</v>
      </c>
      <c r="F144" s="22">
        <v>23.71605</v>
      </c>
      <c r="G144" s="22">
        <v>1.37857</v>
      </c>
      <c r="H144" s="22">
        <v>46.98</v>
      </c>
      <c r="I144" s="32"/>
      <c r="J144" s="22">
        <v>28.8466</v>
      </c>
      <c r="K144" s="32"/>
      <c r="L144" s="22">
        <v>60.0</v>
      </c>
      <c r="M144" s="32"/>
      <c r="N144" s="32"/>
      <c r="O144" s="32"/>
      <c r="P144" s="126">
        <v>4.084554466376173</v>
      </c>
      <c r="Q144" s="126">
        <v>6.422243121185673</v>
      </c>
    </row>
    <row r="145">
      <c r="A145" s="22">
        <v>2024.0</v>
      </c>
      <c r="B145" s="22" t="s">
        <v>852</v>
      </c>
      <c r="C145" s="123">
        <v>59.3035</v>
      </c>
      <c r="D145" s="123">
        <v>0.0658924</v>
      </c>
      <c r="E145" s="22">
        <v>0.3824714</v>
      </c>
      <c r="F145" s="22">
        <v>22.84955</v>
      </c>
      <c r="G145" s="22">
        <v>-0.02173</v>
      </c>
      <c r="H145" s="22">
        <v>57.56</v>
      </c>
      <c r="I145" s="22">
        <v>56.57</v>
      </c>
      <c r="J145" s="22">
        <v>23.6602</v>
      </c>
      <c r="K145" s="22">
        <v>21.6149</v>
      </c>
      <c r="L145" s="22">
        <v>92.5</v>
      </c>
      <c r="M145" s="22">
        <v>89.5</v>
      </c>
      <c r="N145" s="32"/>
      <c r="O145" s="22">
        <v>3.05014</v>
      </c>
      <c r="P145" s="126">
        <v>3.621092738858435</v>
      </c>
      <c r="Q145" s="126">
        <v>7.091187466339747</v>
      </c>
    </row>
    <row r="146">
      <c r="A146" s="22">
        <v>2023.0</v>
      </c>
      <c r="B146" s="22" t="s">
        <v>852</v>
      </c>
      <c r="C146" s="123">
        <v>162.929</v>
      </c>
      <c r="D146" s="123">
        <v>0.0798189</v>
      </c>
      <c r="E146" s="22">
        <v>0.4050774</v>
      </c>
      <c r="F146" s="22">
        <v>22.87152</v>
      </c>
      <c r="G146" s="22">
        <v>-0.08558</v>
      </c>
      <c r="H146" s="22">
        <v>56.57</v>
      </c>
      <c r="I146" s="22">
        <v>55.52</v>
      </c>
      <c r="J146" s="22">
        <v>21.6149</v>
      </c>
      <c r="K146" s="22">
        <v>18.1757</v>
      </c>
      <c r="L146" s="22">
        <v>89.5</v>
      </c>
      <c r="M146" s="22">
        <v>86.4</v>
      </c>
      <c r="N146" s="22">
        <v>3.05014</v>
      </c>
      <c r="O146" s="22">
        <v>2.9023</v>
      </c>
      <c r="P146" s="126">
        <v>3.252892826676616</v>
      </c>
      <c r="Q146" s="126">
        <v>5.06502391455075</v>
      </c>
    </row>
    <row r="147">
      <c r="A147" s="22">
        <v>2022.0</v>
      </c>
      <c r="B147" s="22" t="s">
        <v>852</v>
      </c>
      <c r="C147" s="123">
        <v>70.3728</v>
      </c>
      <c r="D147" s="123">
        <v>0.1036539</v>
      </c>
      <c r="E147" s="22">
        <v>0.4337626</v>
      </c>
      <c r="F147" s="22">
        <v>22.96099</v>
      </c>
      <c r="G147" s="22">
        <v>0.61312</v>
      </c>
      <c r="H147" s="22">
        <v>55.52</v>
      </c>
      <c r="I147" s="22">
        <v>53.94</v>
      </c>
      <c r="J147" s="22">
        <v>18.1757</v>
      </c>
      <c r="K147" s="22">
        <v>12.1839</v>
      </c>
      <c r="L147" s="22">
        <v>86.4</v>
      </c>
      <c r="M147" s="22">
        <v>83.7</v>
      </c>
      <c r="N147" s="22">
        <v>2.9023</v>
      </c>
      <c r="O147" s="22">
        <v>2.85132</v>
      </c>
      <c r="P147" s="126">
        <v>3.156507499631293</v>
      </c>
      <c r="Q147" s="126">
        <v>8.537500467557877</v>
      </c>
    </row>
    <row r="148">
      <c r="A148" s="22">
        <v>2021.0</v>
      </c>
      <c r="B148" s="22" t="s">
        <v>852</v>
      </c>
      <c r="C148" s="123">
        <v>93.6972</v>
      </c>
      <c r="D148" s="123">
        <v>0.0670943</v>
      </c>
      <c r="E148" s="22">
        <v>0.4860378</v>
      </c>
      <c r="F148" s="22">
        <v>22.48281</v>
      </c>
      <c r="G148" s="22">
        <v>0.03015</v>
      </c>
      <c r="H148" s="22">
        <v>53.94</v>
      </c>
      <c r="I148" s="22">
        <v>54.56</v>
      </c>
      <c r="J148" s="22">
        <v>12.1839</v>
      </c>
      <c r="K148" s="22">
        <v>12.2739</v>
      </c>
      <c r="L148" s="22">
        <v>83.7</v>
      </c>
      <c r="M148" s="22">
        <v>80.7</v>
      </c>
      <c r="N148" s="22">
        <v>2.85132</v>
      </c>
      <c r="O148" s="22">
        <v>3.88115</v>
      </c>
      <c r="P148" s="126">
        <v>1.834715548104437</v>
      </c>
      <c r="Q148" s="126">
        <v>2.553728526481308</v>
      </c>
    </row>
    <row r="149">
      <c r="A149" s="22">
        <v>2020.0</v>
      </c>
      <c r="B149" s="22" t="s">
        <v>852</v>
      </c>
      <c r="C149" s="123">
        <v>108.894</v>
      </c>
      <c r="D149" s="123">
        <v>0.0834615</v>
      </c>
      <c r="E149" s="22">
        <v>0.4051447</v>
      </c>
      <c r="F149" s="22">
        <v>22.45311</v>
      </c>
      <c r="G149" s="22">
        <v>0.15336</v>
      </c>
      <c r="H149" s="22">
        <v>54.56</v>
      </c>
      <c r="I149" s="22">
        <v>52.92</v>
      </c>
      <c r="J149" s="22">
        <v>12.2739</v>
      </c>
      <c r="K149" s="22">
        <v>11.3076</v>
      </c>
      <c r="L149" s="22">
        <v>80.7</v>
      </c>
      <c r="M149" s="22">
        <v>76.0</v>
      </c>
      <c r="N149" s="22">
        <v>3.88115</v>
      </c>
      <c r="O149" s="22">
        <v>4.9521</v>
      </c>
      <c r="P149" s="126">
        <v>3.220934366525141</v>
      </c>
      <c r="Q149" s="126">
        <v>2.865413209122721</v>
      </c>
    </row>
    <row r="150">
      <c r="A150" s="22">
        <v>2019.0</v>
      </c>
      <c r="B150" s="22" t="s">
        <v>852</v>
      </c>
      <c r="C150" s="123">
        <v>191.149</v>
      </c>
      <c r="D150" s="123">
        <v>0.0876494</v>
      </c>
      <c r="E150" s="22">
        <v>0.4342454</v>
      </c>
      <c r="F150" s="22">
        <v>22.31042</v>
      </c>
      <c r="G150" s="22">
        <v>-0.04133</v>
      </c>
      <c r="H150" s="22">
        <v>52.92</v>
      </c>
      <c r="I150" s="22">
        <v>51.32</v>
      </c>
      <c r="J150" s="22">
        <v>11.3076</v>
      </c>
      <c r="K150" s="22">
        <v>11.3396</v>
      </c>
      <c r="L150" s="22">
        <v>76.0</v>
      </c>
      <c r="M150" s="22">
        <v>70.8</v>
      </c>
      <c r="N150" s="22">
        <v>4.9521</v>
      </c>
      <c r="O150" s="22">
        <v>4.42418</v>
      </c>
      <c r="P150" s="126">
        <v>2.795823674522497</v>
      </c>
      <c r="Q150" s="126">
        <v>7.359262701050056</v>
      </c>
    </row>
    <row r="151">
      <c r="A151" s="22">
        <v>2018.0</v>
      </c>
      <c r="B151" s="22" t="s">
        <v>852</v>
      </c>
      <c r="C151" s="123">
        <v>195.878</v>
      </c>
      <c r="D151" s="123">
        <v>0.1216</v>
      </c>
      <c r="E151" s="22">
        <v>0.3594462</v>
      </c>
      <c r="F151" s="22">
        <v>22.35263</v>
      </c>
      <c r="G151" s="22">
        <v>0.02112</v>
      </c>
      <c r="H151" s="22">
        <v>51.32</v>
      </c>
      <c r="I151" s="22">
        <v>50.65</v>
      </c>
      <c r="J151" s="22">
        <v>11.3396</v>
      </c>
      <c r="K151" s="22">
        <v>12.4741</v>
      </c>
      <c r="L151" s="22">
        <v>70.8</v>
      </c>
      <c r="M151" s="22">
        <v>67.2</v>
      </c>
      <c r="N151" s="22">
        <v>4.42418</v>
      </c>
      <c r="O151" s="22">
        <v>3.70045</v>
      </c>
      <c r="P151" s="126">
        <v>3.539628059426409</v>
      </c>
      <c r="Q151" s="126">
        <v>7.465006855727509</v>
      </c>
    </row>
    <row r="152">
      <c r="A152" s="22">
        <v>2017.0</v>
      </c>
      <c r="B152" s="22" t="s">
        <v>852</v>
      </c>
      <c r="C152" s="123">
        <v>205.516</v>
      </c>
      <c r="D152" s="123">
        <v>0.106531</v>
      </c>
      <c r="E152" s="22">
        <v>0.3918517</v>
      </c>
      <c r="F152" s="22">
        <v>22.33174</v>
      </c>
      <c r="G152" s="22">
        <v>0.36504</v>
      </c>
      <c r="H152" s="22">
        <v>50.65</v>
      </c>
      <c r="I152" s="22">
        <v>49.34</v>
      </c>
      <c r="J152" s="22">
        <v>12.4741</v>
      </c>
      <c r="K152" s="22">
        <v>14.0523</v>
      </c>
      <c r="L152" s="22">
        <v>67.2</v>
      </c>
      <c r="M152" s="22">
        <v>63.4</v>
      </c>
      <c r="N152" s="22">
        <v>3.70045</v>
      </c>
      <c r="O152" s="22">
        <v>3.08058</v>
      </c>
      <c r="P152" s="126">
        <v>3.520256888116174</v>
      </c>
      <c r="Q152" s="126">
        <v>6.94019037359206</v>
      </c>
    </row>
    <row r="153">
      <c r="A153" s="22">
        <v>2016.0</v>
      </c>
      <c r="B153" s="22" t="s">
        <v>852</v>
      </c>
      <c r="C153" s="123">
        <v>264.476</v>
      </c>
      <c r="D153" s="123">
        <v>0.102983</v>
      </c>
      <c r="E153" s="22">
        <v>0.3225069</v>
      </c>
      <c r="F153" s="22">
        <v>22.02056</v>
      </c>
      <c r="G153" s="22">
        <v>0.38435</v>
      </c>
      <c r="H153" s="22">
        <v>49.34</v>
      </c>
      <c r="I153" s="22">
        <v>48.04</v>
      </c>
      <c r="J153" s="22">
        <v>14.0523</v>
      </c>
      <c r="K153" s="22">
        <v>19.6496</v>
      </c>
      <c r="L153" s="22">
        <v>63.4</v>
      </c>
      <c r="M153" s="22">
        <v>61.1</v>
      </c>
      <c r="N153" s="22">
        <v>3.08058</v>
      </c>
      <c r="O153" s="22">
        <v>2.35018</v>
      </c>
      <c r="P153" s="126">
        <v>2.668248169690822</v>
      </c>
      <c r="Q153" s="126">
        <v>6.690008926604236</v>
      </c>
    </row>
    <row r="154">
      <c r="A154" s="22">
        <v>2015.0</v>
      </c>
      <c r="B154" s="22" t="s">
        <v>852</v>
      </c>
      <c r="C154" s="123">
        <v>139.889</v>
      </c>
      <c r="D154" s="123">
        <v>0.0924231</v>
      </c>
      <c r="E154" s="22">
        <v>0.3044986</v>
      </c>
      <c r="F154" s="22">
        <v>21.69533</v>
      </c>
      <c r="G154" s="22">
        <v>0.00532</v>
      </c>
      <c r="H154" s="22">
        <v>48.04</v>
      </c>
      <c r="I154" s="22">
        <v>46.98</v>
      </c>
      <c r="J154" s="22">
        <v>19.6496</v>
      </c>
      <c r="K154" s="22">
        <v>28.8466</v>
      </c>
      <c r="L154" s="22">
        <v>61.1</v>
      </c>
      <c r="M154" s="22">
        <v>58.7</v>
      </c>
      <c r="N154" s="22">
        <v>2.35018</v>
      </c>
      <c r="O154" s="32"/>
      <c r="P154" s="126">
        <v>0.6312009051757544</v>
      </c>
      <c r="Q154" s="126">
        <v>6.98715430598611</v>
      </c>
    </row>
    <row r="155">
      <c r="A155" s="22">
        <v>2014.0</v>
      </c>
      <c r="B155" s="22" t="s">
        <v>852</v>
      </c>
      <c r="C155" s="123">
        <v>173.931</v>
      </c>
      <c r="D155" s="123">
        <v>0.1307425</v>
      </c>
      <c r="E155" s="22">
        <v>0.2457325</v>
      </c>
      <c r="F155" s="22">
        <v>21.69002</v>
      </c>
      <c r="G155" s="22">
        <v>-0.13157</v>
      </c>
      <c r="H155" s="22">
        <v>46.98</v>
      </c>
      <c r="I155" s="32"/>
      <c r="J155" s="22">
        <v>28.8466</v>
      </c>
      <c r="K155" s="32"/>
      <c r="L155" s="22">
        <v>58.7</v>
      </c>
      <c r="M155" s="32"/>
      <c r="N155" s="32"/>
      <c r="O155" s="32"/>
      <c r="P155" s="126">
        <v>4.084554466376173</v>
      </c>
      <c r="Q155" s="126">
        <v>6.422243121185673</v>
      </c>
    </row>
    <row r="156">
      <c r="A156" s="22">
        <v>2024.0</v>
      </c>
      <c r="B156" s="22" t="s">
        <v>908</v>
      </c>
      <c r="C156" s="123">
        <v>104.735</v>
      </c>
      <c r="D156" s="123">
        <v>0.0168601</v>
      </c>
      <c r="E156" s="22">
        <v>0.7511854</v>
      </c>
      <c r="F156" s="22">
        <v>21.83108</v>
      </c>
      <c r="G156" s="22">
        <v>-0.02006</v>
      </c>
      <c r="H156" s="22">
        <v>57.56</v>
      </c>
      <c r="I156" s="22">
        <v>56.57</v>
      </c>
      <c r="J156" s="22">
        <v>23.6602</v>
      </c>
      <c r="K156" s="22">
        <v>21.6149</v>
      </c>
      <c r="L156" s="22">
        <v>80.3</v>
      </c>
      <c r="M156" s="22">
        <v>77.3</v>
      </c>
      <c r="N156" s="32"/>
      <c r="O156" s="22">
        <v>3.0</v>
      </c>
      <c r="P156" s="126">
        <v>3.621092738858435</v>
      </c>
      <c r="Q156" s="126">
        <v>7.091187466339747</v>
      </c>
    </row>
    <row r="157">
      <c r="A157" s="22">
        <v>2023.0</v>
      </c>
      <c r="B157" s="22" t="s">
        <v>908</v>
      </c>
      <c r="C157" s="123">
        <v>117.825</v>
      </c>
      <c r="D157" s="123">
        <v>0.0111485</v>
      </c>
      <c r="E157" s="22">
        <v>0.7436926</v>
      </c>
      <c r="F157" s="22">
        <v>21.85134</v>
      </c>
      <c r="G157" s="22">
        <v>-0.46247</v>
      </c>
      <c r="H157" s="22">
        <v>56.57</v>
      </c>
      <c r="I157" s="22">
        <v>55.52</v>
      </c>
      <c r="J157" s="22">
        <v>21.6149</v>
      </c>
      <c r="K157" s="22">
        <v>18.1757</v>
      </c>
      <c r="L157" s="22">
        <v>77.3</v>
      </c>
      <c r="M157" s="22">
        <v>74.3</v>
      </c>
      <c r="N157" s="22">
        <v>3.0</v>
      </c>
      <c r="O157" s="22">
        <v>3.15119</v>
      </c>
      <c r="P157" s="126">
        <v>3.252892826676616</v>
      </c>
      <c r="Q157" s="126">
        <v>5.06502391455075</v>
      </c>
    </row>
    <row r="158">
      <c r="A158" s="22">
        <v>2022.0</v>
      </c>
      <c r="B158" s="22" t="s">
        <v>908</v>
      </c>
      <c r="C158" s="123">
        <v>100.005</v>
      </c>
      <c r="D158" s="123">
        <v>0.0301318</v>
      </c>
      <c r="E158" s="22">
        <v>0.7093434</v>
      </c>
      <c r="F158" s="22">
        <v>22.47212</v>
      </c>
      <c r="G158" s="22">
        <v>1.00976</v>
      </c>
      <c r="H158" s="22">
        <v>55.52</v>
      </c>
      <c r="I158" s="22">
        <v>53.94</v>
      </c>
      <c r="J158" s="22">
        <v>18.1757</v>
      </c>
      <c r="K158" s="22">
        <v>12.1839</v>
      </c>
      <c r="L158" s="22">
        <v>74.3</v>
      </c>
      <c r="M158" s="22">
        <v>71.0</v>
      </c>
      <c r="N158" s="22">
        <v>3.15119</v>
      </c>
      <c r="O158" s="22">
        <v>3.81095</v>
      </c>
      <c r="P158" s="126">
        <v>3.156507499631293</v>
      </c>
      <c r="Q158" s="126">
        <v>8.537500467557877</v>
      </c>
    </row>
    <row r="159">
      <c r="A159" s="22">
        <v>2021.0</v>
      </c>
      <c r="B159" s="22" t="s">
        <v>908</v>
      </c>
      <c r="C159" s="123">
        <v>330.992</v>
      </c>
      <c r="D159" s="123">
        <v>-0.0078418</v>
      </c>
      <c r="E159" s="22">
        <v>0.7285801</v>
      </c>
      <c r="F159" s="22">
        <v>21.7741</v>
      </c>
      <c r="G159" s="22">
        <v>-0.46781</v>
      </c>
      <c r="H159" s="22">
        <v>53.94</v>
      </c>
      <c r="I159" s="22">
        <v>54.56</v>
      </c>
      <c r="J159" s="22">
        <v>12.1839</v>
      </c>
      <c r="K159" s="22">
        <v>12.2739</v>
      </c>
      <c r="L159" s="22">
        <v>71.0</v>
      </c>
      <c r="M159" s="22">
        <v>66.7</v>
      </c>
      <c r="N159" s="22">
        <v>3.81095</v>
      </c>
      <c r="O159" s="22">
        <v>4.00375</v>
      </c>
      <c r="P159" s="126">
        <v>1.834715548104437</v>
      </c>
      <c r="Q159" s="126">
        <v>2.553728526481308</v>
      </c>
    </row>
    <row r="160">
      <c r="A160" s="22">
        <v>2020.0</v>
      </c>
      <c r="B160" s="22" t="s">
        <v>908</v>
      </c>
      <c r="C160" s="123">
        <v>159.877</v>
      </c>
      <c r="D160" s="123">
        <v>0.0159753</v>
      </c>
      <c r="E160" s="22">
        <v>0.7365011</v>
      </c>
      <c r="F160" s="22">
        <v>22.40486</v>
      </c>
      <c r="G160" s="22">
        <v>1.96393</v>
      </c>
      <c r="H160" s="22">
        <v>54.56</v>
      </c>
      <c r="I160" s="22">
        <v>52.92</v>
      </c>
      <c r="J160" s="22">
        <v>12.2739</v>
      </c>
      <c r="K160" s="22">
        <v>11.3076</v>
      </c>
      <c r="L160" s="22">
        <v>66.7</v>
      </c>
      <c r="M160" s="22">
        <v>63.0</v>
      </c>
      <c r="N160" s="22">
        <v>4.00375</v>
      </c>
      <c r="O160" s="22">
        <v>4.00375</v>
      </c>
      <c r="P160" s="126">
        <v>3.220934366525141</v>
      </c>
      <c r="Q160" s="126">
        <v>2.865413209122721</v>
      </c>
    </row>
    <row r="161">
      <c r="A161" s="22">
        <v>2019.0</v>
      </c>
      <c r="B161" s="22" t="s">
        <v>908</v>
      </c>
      <c r="C161" s="123">
        <v>169.656</v>
      </c>
      <c r="D161" s="123">
        <v>0.0156908</v>
      </c>
      <c r="E161" s="22">
        <v>0.7051209</v>
      </c>
      <c r="F161" s="22">
        <v>21.31834</v>
      </c>
      <c r="G161" s="22">
        <v>-0.32496</v>
      </c>
      <c r="H161" s="22">
        <v>52.92</v>
      </c>
      <c r="I161" s="22">
        <v>51.32</v>
      </c>
      <c r="J161" s="22">
        <v>11.3076</v>
      </c>
      <c r="K161" s="22">
        <v>11.3396</v>
      </c>
      <c r="L161" s="22">
        <v>63.0</v>
      </c>
      <c r="M161" s="22">
        <v>58.7</v>
      </c>
      <c r="N161" s="22">
        <v>4.00375</v>
      </c>
      <c r="O161" s="22">
        <v>3.53034</v>
      </c>
      <c r="P161" s="126">
        <v>2.795823674522497</v>
      </c>
      <c r="Q161" s="126">
        <v>7.359262701050056</v>
      </c>
    </row>
    <row r="162">
      <c r="A162" s="22">
        <v>2018.0</v>
      </c>
      <c r="B162" s="22" t="s">
        <v>908</v>
      </c>
      <c r="C162" s="123">
        <v>257.041</v>
      </c>
      <c r="D162" s="123">
        <v>0.0096592</v>
      </c>
      <c r="E162" s="22">
        <v>0.6536652</v>
      </c>
      <c r="F162" s="22">
        <v>21.71132</v>
      </c>
      <c r="G162" s="22">
        <v>0.31592</v>
      </c>
      <c r="H162" s="22">
        <v>51.32</v>
      </c>
      <c r="I162" s="22">
        <v>50.65</v>
      </c>
      <c r="J162" s="22">
        <v>11.3396</v>
      </c>
      <c r="K162" s="22">
        <v>12.4741</v>
      </c>
      <c r="L162" s="22">
        <v>58.7</v>
      </c>
      <c r="M162" s="22">
        <v>56.0</v>
      </c>
      <c r="N162" s="22">
        <v>3.53034</v>
      </c>
      <c r="O162" s="22">
        <v>3.37095</v>
      </c>
      <c r="P162" s="126">
        <v>3.539628059426409</v>
      </c>
      <c r="Q162" s="126">
        <v>7.465006855727509</v>
      </c>
    </row>
    <row r="163">
      <c r="A163" s="22">
        <v>2017.0</v>
      </c>
      <c r="B163" s="22" t="s">
        <v>908</v>
      </c>
      <c r="C163" s="123">
        <v>362.077</v>
      </c>
      <c r="D163" s="123">
        <v>0.0778729</v>
      </c>
      <c r="E163" s="22">
        <v>0.6315227</v>
      </c>
      <c r="F163" s="22">
        <v>21.43679</v>
      </c>
      <c r="G163" s="22">
        <v>0.68586</v>
      </c>
      <c r="H163" s="22">
        <v>50.65</v>
      </c>
      <c r="I163" s="22">
        <v>49.34</v>
      </c>
      <c r="J163" s="22">
        <v>12.4741</v>
      </c>
      <c r="K163" s="22">
        <v>14.0523</v>
      </c>
      <c r="L163" s="22">
        <v>56.0</v>
      </c>
      <c r="M163" s="22">
        <v>52.0</v>
      </c>
      <c r="N163" s="22">
        <v>3.37095</v>
      </c>
      <c r="O163" s="22">
        <v>3.65559</v>
      </c>
      <c r="P163" s="126">
        <v>3.520256888116174</v>
      </c>
      <c r="Q163" s="126">
        <v>6.94019037359206</v>
      </c>
    </row>
    <row r="164">
      <c r="A164" s="22">
        <v>2016.0</v>
      </c>
      <c r="B164" s="22" t="s">
        <v>908</v>
      </c>
      <c r="C164" s="123">
        <v>484.129</v>
      </c>
      <c r="D164" s="123">
        <v>0.098461</v>
      </c>
      <c r="E164" s="22">
        <v>0.5763025</v>
      </c>
      <c r="F164" s="22">
        <v>20.91451</v>
      </c>
      <c r="G164" s="22">
        <v>-0.30851</v>
      </c>
      <c r="H164" s="22">
        <v>49.34</v>
      </c>
      <c r="I164" s="22">
        <v>48.04</v>
      </c>
      <c r="J164" s="22">
        <v>14.0523</v>
      </c>
      <c r="K164" s="22">
        <v>19.6496</v>
      </c>
      <c r="L164" s="22">
        <v>52.0</v>
      </c>
      <c r="M164" s="22">
        <v>48.7</v>
      </c>
      <c r="N164" s="22">
        <v>3.65559</v>
      </c>
      <c r="O164" s="22">
        <v>3.005</v>
      </c>
      <c r="P164" s="126">
        <v>2.668248169690822</v>
      </c>
      <c r="Q164" s="126">
        <v>6.690008926604236</v>
      </c>
    </row>
    <row r="165">
      <c r="A165" s="22">
        <v>2015.0</v>
      </c>
      <c r="B165" s="22" t="s">
        <v>908</v>
      </c>
      <c r="C165" s="123">
        <v>195.697</v>
      </c>
      <c r="D165" s="123">
        <v>0.0525434</v>
      </c>
      <c r="E165" s="22">
        <v>0.6919267</v>
      </c>
      <c r="F165" s="22">
        <v>21.28342</v>
      </c>
      <c r="G165" s="22">
        <v>-0.32823</v>
      </c>
      <c r="H165" s="22">
        <v>48.04</v>
      </c>
      <c r="I165" s="22">
        <v>46.98</v>
      </c>
      <c r="J165" s="22">
        <v>19.6496</v>
      </c>
      <c r="K165" s="22">
        <v>28.8466</v>
      </c>
      <c r="L165" s="22">
        <v>48.7</v>
      </c>
      <c r="M165" s="22">
        <v>46.0</v>
      </c>
      <c r="N165" s="22">
        <v>3.005</v>
      </c>
      <c r="O165" s="32"/>
      <c r="P165" s="126">
        <v>0.6312009051757544</v>
      </c>
      <c r="Q165" s="126">
        <v>6.98715430598611</v>
      </c>
    </row>
    <row r="166">
      <c r="A166" s="22">
        <v>2014.0</v>
      </c>
      <c r="B166" s="22" t="s">
        <v>908</v>
      </c>
      <c r="C166" s="123">
        <v>161.33</v>
      </c>
      <c r="D166" s="123">
        <v>0.0605134</v>
      </c>
      <c r="E166" s="22">
        <v>0.6423557</v>
      </c>
      <c r="F166" s="22">
        <v>21.68126</v>
      </c>
      <c r="G166" s="22">
        <v>5.15097</v>
      </c>
      <c r="H166" s="22">
        <v>46.98</v>
      </c>
      <c r="I166" s="32"/>
      <c r="J166" s="22">
        <v>28.8466</v>
      </c>
      <c r="K166" s="32"/>
      <c r="L166" s="22">
        <v>46.0</v>
      </c>
      <c r="M166" s="32"/>
      <c r="N166" s="32"/>
      <c r="O166" s="32"/>
      <c r="P166" s="126">
        <v>4.084554466376173</v>
      </c>
      <c r="Q166" s="126">
        <v>6.422243121185673</v>
      </c>
    </row>
    <row r="167">
      <c r="A167" s="22">
        <v>2024.0</v>
      </c>
      <c r="B167" s="22" t="s">
        <v>964</v>
      </c>
      <c r="C167" s="123">
        <v>526.792</v>
      </c>
      <c r="D167" s="123">
        <v>0.0413026</v>
      </c>
      <c r="E167" s="22">
        <v>0.6570677</v>
      </c>
      <c r="F167" s="22">
        <v>19.86465</v>
      </c>
      <c r="G167" s="22">
        <v>-0.00324</v>
      </c>
      <c r="H167" s="22">
        <v>57.56</v>
      </c>
      <c r="I167" s="22">
        <v>56.57</v>
      </c>
      <c r="J167" s="22">
        <v>23.6602</v>
      </c>
      <c r="K167" s="22">
        <v>21.6149</v>
      </c>
      <c r="L167" s="22">
        <v>76.2</v>
      </c>
      <c r="M167" s="22">
        <v>73.2</v>
      </c>
      <c r="N167" s="32"/>
      <c r="O167" s="22">
        <v>3.35609</v>
      </c>
      <c r="P167" s="126">
        <v>3.621092738858435</v>
      </c>
      <c r="Q167" s="126">
        <v>7.091187466339747</v>
      </c>
    </row>
    <row r="168">
      <c r="A168" s="22">
        <v>2023.0</v>
      </c>
      <c r="B168" s="22" t="s">
        <v>964</v>
      </c>
      <c r="C168" s="123">
        <v>533.633</v>
      </c>
      <c r="D168" s="123">
        <v>0.0321055</v>
      </c>
      <c r="E168" s="22">
        <v>0.6619174</v>
      </c>
      <c r="F168" s="22">
        <v>19.8679</v>
      </c>
      <c r="G168" s="22">
        <v>-0.10343</v>
      </c>
      <c r="H168" s="22">
        <v>56.57</v>
      </c>
      <c r="I168" s="22">
        <v>55.52</v>
      </c>
      <c r="J168" s="22">
        <v>21.6149</v>
      </c>
      <c r="K168" s="22">
        <v>18.1757</v>
      </c>
      <c r="L168" s="22">
        <v>73.2</v>
      </c>
      <c r="M168" s="22">
        <v>69.5</v>
      </c>
      <c r="N168" s="22">
        <v>3.35609</v>
      </c>
      <c r="O168" s="22">
        <v>3.11929</v>
      </c>
      <c r="P168" s="126">
        <v>3.252892826676616</v>
      </c>
      <c r="Q168" s="126">
        <v>5.06502391455075</v>
      </c>
    </row>
    <row r="169">
      <c r="A169" s="22">
        <v>2022.0</v>
      </c>
      <c r="B169" s="22" t="s">
        <v>964</v>
      </c>
      <c r="C169" s="123">
        <v>554.913</v>
      </c>
      <c r="D169" s="123">
        <v>0.0320102</v>
      </c>
      <c r="E169" s="22">
        <v>0.6599639</v>
      </c>
      <c r="F169" s="22">
        <v>19.97707</v>
      </c>
      <c r="G169" s="22">
        <v>0.58503</v>
      </c>
      <c r="H169" s="22">
        <v>55.52</v>
      </c>
      <c r="I169" s="22">
        <v>53.94</v>
      </c>
      <c r="J169" s="22">
        <v>18.1757</v>
      </c>
      <c r="K169" s="22">
        <v>12.1839</v>
      </c>
      <c r="L169" s="22">
        <v>69.5</v>
      </c>
      <c r="M169" s="22">
        <v>67.0</v>
      </c>
      <c r="N169" s="22">
        <v>3.11929</v>
      </c>
      <c r="O169" s="22">
        <v>2.75379</v>
      </c>
      <c r="P169" s="126">
        <v>3.156507499631293</v>
      </c>
      <c r="Q169" s="126">
        <v>8.537500467557877</v>
      </c>
    </row>
    <row r="170">
      <c r="A170" s="22">
        <v>2021.0</v>
      </c>
      <c r="B170" s="22" t="s">
        <v>964</v>
      </c>
      <c r="C170" s="123">
        <v>519.287</v>
      </c>
      <c r="D170" s="123">
        <v>0.0472508</v>
      </c>
      <c r="E170" s="22">
        <v>0.5935781</v>
      </c>
      <c r="F170" s="22">
        <v>19.51647</v>
      </c>
      <c r="G170" s="22">
        <v>0.03028</v>
      </c>
      <c r="H170" s="22">
        <v>53.94</v>
      </c>
      <c r="I170" s="22">
        <v>54.56</v>
      </c>
      <c r="J170" s="22">
        <v>12.1839</v>
      </c>
      <c r="K170" s="22">
        <v>12.2739</v>
      </c>
      <c r="L170" s="22">
        <v>67.0</v>
      </c>
      <c r="M170" s="22">
        <v>64.0</v>
      </c>
      <c r="N170" s="22">
        <v>2.75379</v>
      </c>
      <c r="O170" s="22">
        <v>3.10054</v>
      </c>
      <c r="P170" s="126">
        <v>1.834715548104437</v>
      </c>
      <c r="Q170" s="126">
        <v>2.553728526481308</v>
      </c>
    </row>
    <row r="171">
      <c r="A171" s="22">
        <v>2020.0</v>
      </c>
      <c r="B171" s="22" t="s">
        <v>964</v>
      </c>
      <c r="C171" s="123">
        <v>353.092</v>
      </c>
      <c r="D171" s="123">
        <v>0.0435052</v>
      </c>
      <c r="E171" s="22">
        <v>0.6025091</v>
      </c>
      <c r="F171" s="22">
        <v>19.48664</v>
      </c>
      <c r="G171" s="22">
        <v>-0.24498</v>
      </c>
      <c r="H171" s="22">
        <v>54.56</v>
      </c>
      <c r="I171" s="22">
        <v>52.92</v>
      </c>
      <c r="J171" s="22">
        <v>12.2739</v>
      </c>
      <c r="K171" s="22">
        <v>11.3076</v>
      </c>
      <c r="L171" s="22">
        <v>64.0</v>
      </c>
      <c r="M171" s="22">
        <v>60.8</v>
      </c>
      <c r="N171" s="22">
        <v>3.10054</v>
      </c>
      <c r="O171" s="22">
        <v>3.25013</v>
      </c>
      <c r="P171" s="126">
        <v>3.220934366525141</v>
      </c>
      <c r="Q171" s="126">
        <v>2.865413209122721</v>
      </c>
    </row>
    <row r="172">
      <c r="A172" s="22">
        <v>2019.0</v>
      </c>
      <c r="B172" s="22" t="s">
        <v>964</v>
      </c>
      <c r="C172" s="123">
        <v>277.524</v>
      </c>
      <c r="D172" s="123">
        <v>0.0428451</v>
      </c>
      <c r="E172" s="22">
        <v>0.605298</v>
      </c>
      <c r="F172" s="22">
        <v>19.76766</v>
      </c>
      <c r="G172" s="22">
        <v>-0.03491</v>
      </c>
      <c r="H172" s="22">
        <v>52.92</v>
      </c>
      <c r="I172" s="22">
        <v>51.32</v>
      </c>
      <c r="J172" s="22">
        <v>11.3076</v>
      </c>
      <c r="K172" s="22">
        <v>11.3396</v>
      </c>
      <c r="L172" s="22">
        <v>60.8</v>
      </c>
      <c r="M172" s="22">
        <v>57.5</v>
      </c>
      <c r="N172" s="22">
        <v>3.25013</v>
      </c>
      <c r="O172" s="22">
        <v>2.67644</v>
      </c>
      <c r="P172" s="126">
        <v>2.795823674522497</v>
      </c>
      <c r="Q172" s="126">
        <v>7.359262701050056</v>
      </c>
    </row>
    <row r="173">
      <c r="A173" s="22">
        <v>2018.0</v>
      </c>
      <c r="B173" s="22" t="s">
        <v>964</v>
      </c>
      <c r="C173" s="123">
        <v>193.282</v>
      </c>
      <c r="D173" s="123">
        <v>0.0425026</v>
      </c>
      <c r="E173" s="22">
        <v>0.6068444</v>
      </c>
      <c r="F173" s="22">
        <v>19.80319</v>
      </c>
      <c r="G173" s="22">
        <v>0.18946</v>
      </c>
      <c r="H173" s="22">
        <v>51.32</v>
      </c>
      <c r="I173" s="22">
        <v>50.65</v>
      </c>
      <c r="J173" s="22">
        <v>11.3396</v>
      </c>
      <c r="K173" s="22">
        <v>12.4741</v>
      </c>
      <c r="L173" s="22">
        <v>57.5</v>
      </c>
      <c r="M173" s="22">
        <v>55.5</v>
      </c>
      <c r="N173" s="22">
        <v>2.67644</v>
      </c>
      <c r="O173" s="22">
        <v>2.15174</v>
      </c>
      <c r="P173" s="126">
        <v>3.539628059426409</v>
      </c>
      <c r="Q173" s="126">
        <v>7.465006855727509</v>
      </c>
    </row>
    <row r="174">
      <c r="A174" s="22">
        <v>2017.0</v>
      </c>
      <c r="B174" s="22" t="s">
        <v>964</v>
      </c>
      <c r="C174" s="123">
        <v>238.285</v>
      </c>
      <c r="D174" s="123">
        <v>0.0419371</v>
      </c>
      <c r="E174" s="22">
        <v>0.6076789</v>
      </c>
      <c r="F174" s="22">
        <v>19.62969</v>
      </c>
      <c r="G174" s="22">
        <v>0.13972</v>
      </c>
      <c r="H174" s="22">
        <v>50.65</v>
      </c>
      <c r="I174" s="22">
        <v>49.34</v>
      </c>
      <c r="J174" s="22">
        <v>12.4741</v>
      </c>
      <c r="K174" s="22">
        <v>14.0523</v>
      </c>
      <c r="L174" s="22">
        <v>55.5</v>
      </c>
      <c r="M174" s="22">
        <v>53.2</v>
      </c>
      <c r="N174" s="22">
        <v>2.15174</v>
      </c>
      <c r="O174" s="22">
        <v>1.96044</v>
      </c>
      <c r="P174" s="126">
        <v>3.520256888116174</v>
      </c>
      <c r="Q174" s="126">
        <v>6.94019037359206</v>
      </c>
    </row>
    <row r="175">
      <c r="A175" s="22">
        <v>2016.0</v>
      </c>
      <c r="B175" s="22" t="s">
        <v>964</v>
      </c>
      <c r="C175" s="123">
        <v>136.197</v>
      </c>
      <c r="D175" s="123">
        <v>0.0399673</v>
      </c>
      <c r="E175" s="22">
        <v>0.6022966</v>
      </c>
      <c r="F175" s="22">
        <v>19.49891</v>
      </c>
      <c r="G175" s="22">
        <v>-0.21052</v>
      </c>
      <c r="H175" s="22">
        <v>49.34</v>
      </c>
      <c r="I175" s="22">
        <v>48.04</v>
      </c>
      <c r="J175" s="22">
        <v>14.0523</v>
      </c>
      <c r="K175" s="22">
        <v>19.6496</v>
      </c>
      <c r="L175" s="22">
        <v>53.2</v>
      </c>
      <c r="M175" s="22">
        <v>51.6</v>
      </c>
      <c r="N175" s="22">
        <v>1.96044</v>
      </c>
      <c r="O175" s="22">
        <v>2.49867</v>
      </c>
      <c r="P175" s="126">
        <v>2.668248169690822</v>
      </c>
      <c r="Q175" s="126">
        <v>6.690008926604236</v>
      </c>
    </row>
    <row r="176">
      <c r="A176" s="22">
        <v>2015.0</v>
      </c>
      <c r="B176" s="22" t="s">
        <v>964</v>
      </c>
      <c r="C176" s="123">
        <v>113.714</v>
      </c>
      <c r="D176" s="123">
        <v>0.037903</v>
      </c>
      <c r="E176" s="22">
        <v>0.643576</v>
      </c>
      <c r="F176" s="22">
        <v>19.73529</v>
      </c>
      <c r="G176" s="22">
        <v>-0.26564</v>
      </c>
      <c r="H176" s="22">
        <v>48.04</v>
      </c>
      <c r="I176" s="22">
        <v>46.98</v>
      </c>
      <c r="J176" s="22">
        <v>19.6496</v>
      </c>
      <c r="K176" s="22">
        <v>28.8466</v>
      </c>
      <c r="L176" s="22">
        <v>51.6</v>
      </c>
      <c r="M176" s="22">
        <v>48.3</v>
      </c>
      <c r="N176" s="22">
        <v>2.49867</v>
      </c>
      <c r="O176" s="32"/>
      <c r="P176" s="126">
        <v>0.6312009051757544</v>
      </c>
      <c r="Q176" s="126">
        <v>6.98715430598611</v>
      </c>
    </row>
    <row r="177">
      <c r="A177" s="22">
        <v>2014.0</v>
      </c>
      <c r="B177" s="22" t="s">
        <v>964</v>
      </c>
      <c r="C177" s="123">
        <v>117.422</v>
      </c>
      <c r="D177" s="123">
        <v>0.0254304</v>
      </c>
      <c r="E177" s="22">
        <v>0.6524106</v>
      </c>
      <c r="F177" s="22">
        <v>20.04405</v>
      </c>
      <c r="G177" s="22">
        <v>-0.68315</v>
      </c>
      <c r="H177" s="22">
        <v>46.98</v>
      </c>
      <c r="I177" s="32"/>
      <c r="J177" s="22">
        <v>28.8466</v>
      </c>
      <c r="K177" s="32"/>
      <c r="L177" s="22">
        <v>48.3</v>
      </c>
      <c r="M177" s="32"/>
      <c r="N177" s="32"/>
      <c r="O177" s="32"/>
      <c r="P177" s="126">
        <v>4.084554466376173</v>
      </c>
      <c r="Q177" s="126">
        <v>6.422243121185673</v>
      </c>
    </row>
    <row r="178">
      <c r="A178" s="22">
        <v>2024.0</v>
      </c>
      <c r="B178" s="22" t="s">
        <v>1020</v>
      </c>
      <c r="C178" s="123">
        <v>332.837</v>
      </c>
      <c r="D178" s="123">
        <v>0.0185875</v>
      </c>
      <c r="E178" s="22">
        <v>0.5301012</v>
      </c>
      <c r="F178" s="22">
        <v>21.19337</v>
      </c>
      <c r="G178" s="22">
        <v>0.02642</v>
      </c>
      <c r="H178" s="22">
        <v>57.56</v>
      </c>
      <c r="I178" s="22">
        <v>56.57</v>
      </c>
      <c r="J178" s="22">
        <v>23.6602</v>
      </c>
      <c r="K178" s="22">
        <v>21.6149</v>
      </c>
      <c r="L178" s="22">
        <v>65.35</v>
      </c>
      <c r="M178" s="22">
        <v>61.7</v>
      </c>
      <c r="N178" s="32"/>
      <c r="O178" s="22">
        <v>3.82633</v>
      </c>
      <c r="P178" s="126">
        <v>3.621092738858435</v>
      </c>
      <c r="Q178" s="126">
        <v>7.091187466339747</v>
      </c>
    </row>
    <row r="179">
      <c r="A179" s="22">
        <v>2023.0</v>
      </c>
      <c r="B179" s="22" t="s">
        <v>1020</v>
      </c>
      <c r="C179" s="123">
        <v>293.065</v>
      </c>
      <c r="D179" s="123">
        <v>0.0456779</v>
      </c>
      <c r="E179" s="22">
        <v>0.4746231</v>
      </c>
      <c r="F179" s="22">
        <v>21.16729</v>
      </c>
      <c r="G179" s="22">
        <v>-0.22382</v>
      </c>
      <c r="H179" s="22">
        <v>56.57</v>
      </c>
      <c r="I179" s="22">
        <v>55.52</v>
      </c>
      <c r="J179" s="22">
        <v>21.6149</v>
      </c>
      <c r="K179" s="22">
        <v>18.1757</v>
      </c>
      <c r="L179" s="22">
        <v>61.7</v>
      </c>
      <c r="M179" s="22">
        <v>57.7</v>
      </c>
      <c r="N179" s="22">
        <v>3.82633</v>
      </c>
      <c r="O179" s="22">
        <v>4.61303</v>
      </c>
      <c r="P179" s="126">
        <v>3.252892826676616</v>
      </c>
      <c r="Q179" s="126">
        <v>5.06502391455075</v>
      </c>
    </row>
    <row r="180">
      <c r="A180" s="22">
        <v>2022.0</v>
      </c>
      <c r="B180" s="22" t="s">
        <v>1020</v>
      </c>
      <c r="C180" s="123">
        <v>371.314</v>
      </c>
      <c r="D180" s="123">
        <v>0.0415857</v>
      </c>
      <c r="E180" s="22">
        <v>0.4319296</v>
      </c>
      <c r="F180" s="22">
        <v>21.42066</v>
      </c>
      <c r="G180" s="22">
        <v>-0.04795</v>
      </c>
      <c r="H180" s="22">
        <v>55.52</v>
      </c>
      <c r="I180" s="22">
        <v>53.94</v>
      </c>
      <c r="J180" s="22">
        <v>18.1757</v>
      </c>
      <c r="K180" s="22">
        <v>12.1839</v>
      </c>
      <c r="L180" s="22">
        <v>57.7</v>
      </c>
      <c r="M180" s="22">
        <v>52.5</v>
      </c>
      <c r="N180" s="22">
        <v>4.61303</v>
      </c>
      <c r="O180" s="22">
        <v>4.58921</v>
      </c>
      <c r="P180" s="126">
        <v>3.156507499631293</v>
      </c>
      <c r="Q180" s="126">
        <v>8.537500467557877</v>
      </c>
    </row>
    <row r="181">
      <c r="A181" s="22">
        <v>2021.0</v>
      </c>
      <c r="B181" s="22" t="s">
        <v>1020</v>
      </c>
      <c r="C181" s="123">
        <v>545.463</v>
      </c>
      <c r="D181" s="123">
        <v>0.0256181</v>
      </c>
      <c r="E181" s="22">
        <v>0.5914158</v>
      </c>
      <c r="F181" s="22">
        <v>21.4698</v>
      </c>
      <c r="G181" s="22">
        <v>0.51943</v>
      </c>
      <c r="H181" s="22">
        <v>53.94</v>
      </c>
      <c r="I181" s="22">
        <v>54.56</v>
      </c>
      <c r="J181" s="22">
        <v>12.1839</v>
      </c>
      <c r="K181" s="22">
        <v>12.2739</v>
      </c>
      <c r="L181" s="22">
        <v>52.5</v>
      </c>
      <c r="M181" s="22">
        <v>48.55</v>
      </c>
      <c r="N181" s="22">
        <v>4.58921</v>
      </c>
      <c r="O181" s="22">
        <v>4.91474</v>
      </c>
      <c r="P181" s="126">
        <v>1.834715548104437</v>
      </c>
      <c r="Q181" s="126">
        <v>2.553728526481308</v>
      </c>
    </row>
    <row r="182">
      <c r="A182" s="22">
        <v>2020.0</v>
      </c>
      <c r="B182" s="22" t="s">
        <v>1020</v>
      </c>
      <c r="C182" s="123">
        <v>288.733</v>
      </c>
      <c r="D182" s="123">
        <v>0.0028672</v>
      </c>
      <c r="E182" s="22">
        <v>0.4698903</v>
      </c>
      <c r="F182" s="22">
        <v>21.05146</v>
      </c>
      <c r="G182" s="22">
        <v>-0.14665</v>
      </c>
      <c r="H182" s="22">
        <v>54.56</v>
      </c>
      <c r="I182" s="22">
        <v>52.92</v>
      </c>
      <c r="J182" s="22">
        <v>12.2739</v>
      </c>
      <c r="K182" s="22">
        <v>11.3076</v>
      </c>
      <c r="L182" s="22">
        <v>48.55</v>
      </c>
      <c r="M182" s="22">
        <v>42.73</v>
      </c>
      <c r="N182" s="22">
        <v>4.91474</v>
      </c>
      <c r="O182" s="22">
        <v>5.8125</v>
      </c>
      <c r="P182" s="126">
        <v>3.220934366525141</v>
      </c>
      <c r="Q182" s="126">
        <v>2.865413209122721</v>
      </c>
    </row>
    <row r="183">
      <c r="A183" s="22">
        <v>2019.0</v>
      </c>
      <c r="B183" s="22" t="s">
        <v>1020</v>
      </c>
      <c r="C183" s="123">
        <v>229.597</v>
      </c>
      <c r="D183" s="123">
        <v>0.0014166</v>
      </c>
      <c r="E183" s="22">
        <v>0.4877466</v>
      </c>
      <c r="F183" s="22">
        <v>21.21005</v>
      </c>
      <c r="G183" s="22">
        <v>-0.274</v>
      </c>
      <c r="H183" s="22">
        <v>52.92</v>
      </c>
      <c r="I183" s="22">
        <v>51.32</v>
      </c>
      <c r="J183" s="22">
        <v>11.3076</v>
      </c>
      <c r="K183" s="22">
        <v>11.3396</v>
      </c>
      <c r="L183" s="22">
        <v>42.73</v>
      </c>
      <c r="M183" s="22">
        <v>36.925</v>
      </c>
      <c r="N183" s="22">
        <v>5.8125</v>
      </c>
      <c r="O183" s="22">
        <v>5.32252</v>
      </c>
      <c r="P183" s="126">
        <v>2.795823674522497</v>
      </c>
      <c r="Q183" s="126">
        <v>7.359262701050056</v>
      </c>
    </row>
    <row r="184">
      <c r="A184" s="22">
        <v>2018.0</v>
      </c>
      <c r="B184" s="22" t="s">
        <v>1020</v>
      </c>
      <c r="C184" s="123">
        <v>432.063</v>
      </c>
      <c r="D184" s="123">
        <v>0.0553415</v>
      </c>
      <c r="E184" s="22">
        <v>0.5341199</v>
      </c>
      <c r="F184" s="22">
        <v>21.53026</v>
      </c>
      <c r="G184" s="22">
        <v>-0.05936</v>
      </c>
      <c r="H184" s="22">
        <v>51.32</v>
      </c>
      <c r="I184" s="22">
        <v>50.65</v>
      </c>
      <c r="J184" s="22">
        <v>11.3396</v>
      </c>
      <c r="K184" s="22">
        <v>12.4741</v>
      </c>
      <c r="L184" s="22">
        <v>36.925</v>
      </c>
      <c r="M184" s="22">
        <v>32.1</v>
      </c>
      <c r="N184" s="22">
        <v>5.32252</v>
      </c>
      <c r="O184" s="22">
        <v>4.22732</v>
      </c>
      <c r="P184" s="126">
        <v>3.539628059426409</v>
      </c>
      <c r="Q184" s="126">
        <v>7.465006855727509</v>
      </c>
    </row>
    <row r="185">
      <c r="A185" s="22">
        <v>2017.0</v>
      </c>
      <c r="B185" s="22" t="s">
        <v>1020</v>
      </c>
      <c r="C185" s="123">
        <v>346.933</v>
      </c>
      <c r="D185" s="123">
        <v>0.0742802</v>
      </c>
      <c r="E185" s="22">
        <v>0.5242743</v>
      </c>
      <c r="F185" s="22">
        <v>21.59145</v>
      </c>
      <c r="G185" s="22">
        <v>0.01888</v>
      </c>
      <c r="H185" s="22">
        <v>50.65</v>
      </c>
      <c r="I185" s="22">
        <v>49.34</v>
      </c>
      <c r="J185" s="22">
        <v>12.4741</v>
      </c>
      <c r="K185" s="22">
        <v>14.0523</v>
      </c>
      <c r="L185" s="22">
        <v>32.1</v>
      </c>
      <c r="M185" s="22">
        <v>28.5</v>
      </c>
      <c r="N185" s="22">
        <v>4.22732</v>
      </c>
      <c r="O185" s="22">
        <v>3.17971</v>
      </c>
      <c r="P185" s="126">
        <v>3.520256888116174</v>
      </c>
      <c r="Q185" s="126">
        <v>6.94019037359206</v>
      </c>
    </row>
    <row r="186">
      <c r="A186" s="22">
        <v>2016.0</v>
      </c>
      <c r="B186" s="22" t="s">
        <v>1020</v>
      </c>
      <c r="C186" s="123">
        <v>295.584</v>
      </c>
      <c r="D186" s="123">
        <v>0.0781261</v>
      </c>
      <c r="E186" s="22">
        <v>0.5145863</v>
      </c>
      <c r="F186" s="22">
        <v>21.57274</v>
      </c>
      <c r="G186" s="22">
        <v>2.0E-4</v>
      </c>
      <c r="H186" s="22">
        <v>49.34</v>
      </c>
      <c r="I186" s="22">
        <v>48.04</v>
      </c>
      <c r="J186" s="22">
        <v>14.0523</v>
      </c>
      <c r="K186" s="22">
        <v>19.6496</v>
      </c>
      <c r="L186" s="22">
        <v>28.5</v>
      </c>
      <c r="M186" s="22">
        <v>25.76</v>
      </c>
      <c r="N186" s="22">
        <v>3.17971</v>
      </c>
      <c r="O186" s="22">
        <v>2.67526</v>
      </c>
      <c r="P186" s="126">
        <v>2.668248169690822</v>
      </c>
      <c r="Q186" s="126">
        <v>6.690008926604236</v>
      </c>
    </row>
    <row r="187">
      <c r="A187" s="22">
        <v>2015.0</v>
      </c>
      <c r="B187" s="22" t="s">
        <v>1020</v>
      </c>
      <c r="C187" s="123">
        <v>236.805</v>
      </c>
      <c r="D187" s="123">
        <v>0.0636649</v>
      </c>
      <c r="E187" s="22">
        <v>0.5714167</v>
      </c>
      <c r="F187" s="22">
        <v>21.57254</v>
      </c>
      <c r="G187" s="22">
        <v>0.04467</v>
      </c>
      <c r="H187" s="22">
        <v>48.04</v>
      </c>
      <c r="I187" s="22">
        <v>46.98</v>
      </c>
      <c r="J187" s="22">
        <v>19.6496</v>
      </c>
      <c r="K187" s="22">
        <v>28.8466</v>
      </c>
      <c r="L187" s="22">
        <v>25.76</v>
      </c>
      <c r="M187" s="22">
        <v>23.15</v>
      </c>
      <c r="N187" s="22">
        <v>2.67526</v>
      </c>
      <c r="O187" s="32"/>
      <c r="P187" s="126">
        <v>0.6312009051757544</v>
      </c>
      <c r="Q187" s="126">
        <v>6.98715430598611</v>
      </c>
    </row>
    <row r="188">
      <c r="A188" s="22">
        <v>2014.0</v>
      </c>
      <c r="B188" s="22" t="s">
        <v>1020</v>
      </c>
      <c r="C188" s="123">
        <v>224.89</v>
      </c>
      <c r="D188" s="123">
        <v>0.0639196</v>
      </c>
      <c r="E188" s="22">
        <v>0.625409</v>
      </c>
      <c r="F188" s="22">
        <v>21.52884</v>
      </c>
      <c r="G188" s="22">
        <v>2.56454</v>
      </c>
      <c r="H188" s="22">
        <v>46.98</v>
      </c>
      <c r="I188" s="32"/>
      <c r="J188" s="22">
        <v>28.8466</v>
      </c>
      <c r="K188" s="32"/>
      <c r="L188" s="22">
        <v>23.15</v>
      </c>
      <c r="M188" s="32"/>
      <c r="N188" s="32"/>
      <c r="O188" s="32"/>
      <c r="P188" s="126">
        <v>4.084554466376173</v>
      </c>
      <c r="Q188" s="126">
        <v>6.422243121185673</v>
      </c>
    </row>
    <row r="189">
      <c r="A189" s="22">
        <v>2024.0</v>
      </c>
      <c r="B189" s="22" t="s">
        <v>1076</v>
      </c>
      <c r="C189" s="123">
        <v>2263.26</v>
      </c>
      <c r="D189" s="123">
        <v>0.2048729</v>
      </c>
      <c r="E189" s="22">
        <v>0.0732284</v>
      </c>
      <c r="F189" s="22">
        <v>20.25781</v>
      </c>
      <c r="G189" s="22">
        <v>-0.05042</v>
      </c>
      <c r="H189" s="22">
        <v>57.56</v>
      </c>
      <c r="I189" s="22">
        <v>56.57</v>
      </c>
      <c r="J189" s="22">
        <v>23.6602</v>
      </c>
      <c r="K189" s="22">
        <v>21.6149</v>
      </c>
      <c r="L189" s="22">
        <v>72.75</v>
      </c>
      <c r="M189" s="22">
        <v>69.45</v>
      </c>
      <c r="N189" s="32"/>
      <c r="O189" s="22">
        <v>3.7072</v>
      </c>
      <c r="P189" s="126">
        <v>3.621092738858435</v>
      </c>
      <c r="Q189" s="126">
        <v>7.091187466339747</v>
      </c>
    </row>
    <row r="190">
      <c r="A190" s="22">
        <v>2023.0</v>
      </c>
      <c r="B190" s="22" t="s">
        <v>1076</v>
      </c>
      <c r="C190" s="123">
        <v>1746.71</v>
      </c>
      <c r="D190" s="123">
        <v>0.1780831</v>
      </c>
      <c r="E190" s="22">
        <v>0.1225674</v>
      </c>
      <c r="F190" s="22">
        <v>20.30954</v>
      </c>
      <c r="G190" s="22">
        <v>-0.11382</v>
      </c>
      <c r="H190" s="22">
        <v>56.57</v>
      </c>
      <c r="I190" s="22">
        <v>55.52</v>
      </c>
      <c r="J190" s="22">
        <v>21.6149</v>
      </c>
      <c r="K190" s="22">
        <v>18.1757</v>
      </c>
      <c r="L190" s="22">
        <v>69.45</v>
      </c>
      <c r="M190" s="22">
        <v>65.35</v>
      </c>
      <c r="N190" s="22">
        <v>3.7072</v>
      </c>
      <c r="O190" s="22">
        <v>4.27619</v>
      </c>
      <c r="P190" s="126">
        <v>3.252892826676616</v>
      </c>
      <c r="Q190" s="126">
        <v>5.06502391455075</v>
      </c>
    </row>
    <row r="191">
      <c r="A191" s="22">
        <v>2022.0</v>
      </c>
      <c r="B191" s="22" t="s">
        <v>1076</v>
      </c>
      <c r="C191" s="123">
        <v>1061.19</v>
      </c>
      <c r="D191" s="123">
        <v>0.1814775</v>
      </c>
      <c r="E191" s="22">
        <v>0.1818901</v>
      </c>
      <c r="F191" s="22">
        <v>20.43037</v>
      </c>
      <c r="G191" s="22">
        <v>0.13421</v>
      </c>
      <c r="H191" s="22">
        <v>55.52</v>
      </c>
      <c r="I191" s="22">
        <v>53.94</v>
      </c>
      <c r="J191" s="22">
        <v>18.1757</v>
      </c>
      <c r="K191" s="22">
        <v>12.1839</v>
      </c>
      <c r="L191" s="22">
        <v>65.35</v>
      </c>
      <c r="M191" s="22">
        <v>60.9</v>
      </c>
      <c r="N191" s="22">
        <v>4.27619</v>
      </c>
      <c r="O191" s="22">
        <v>4.3256</v>
      </c>
      <c r="P191" s="126">
        <v>3.156507499631293</v>
      </c>
      <c r="Q191" s="126">
        <v>8.537500467557877</v>
      </c>
    </row>
    <row r="192">
      <c r="A192" s="22">
        <v>2021.0</v>
      </c>
      <c r="B192" s="22" t="s">
        <v>1076</v>
      </c>
      <c r="C192" s="123">
        <v>867.435</v>
      </c>
      <c r="D192" s="123">
        <v>0.1446829</v>
      </c>
      <c r="E192" s="22">
        <v>0.2705839</v>
      </c>
      <c r="F192" s="22">
        <v>20.30444</v>
      </c>
      <c r="G192" s="22">
        <v>0.532</v>
      </c>
      <c r="H192" s="22">
        <v>53.94</v>
      </c>
      <c r="I192" s="22">
        <v>54.56</v>
      </c>
      <c r="J192" s="22">
        <v>12.1839</v>
      </c>
      <c r="K192" s="22">
        <v>12.2739</v>
      </c>
      <c r="L192" s="22">
        <v>60.9</v>
      </c>
      <c r="M192" s="22">
        <v>56.7</v>
      </c>
      <c r="N192" s="22">
        <v>4.3256</v>
      </c>
      <c r="O192" s="22">
        <v>4.52889</v>
      </c>
      <c r="P192" s="126">
        <v>1.834715548104437</v>
      </c>
      <c r="Q192" s="126">
        <v>2.553728526481308</v>
      </c>
    </row>
    <row r="193">
      <c r="A193" s="22">
        <v>2020.0</v>
      </c>
      <c r="B193" s="22" t="s">
        <v>1076</v>
      </c>
      <c r="C193" s="123">
        <v>756.504</v>
      </c>
      <c r="D193" s="123">
        <v>0.0347476</v>
      </c>
      <c r="E193" s="22">
        <v>0.3858682</v>
      </c>
      <c r="F193" s="22">
        <v>19.87786</v>
      </c>
      <c r="G193" s="22">
        <v>-0.33225</v>
      </c>
      <c r="H193" s="22">
        <v>54.56</v>
      </c>
      <c r="I193" s="22">
        <v>52.92</v>
      </c>
      <c r="J193" s="22">
        <v>12.2739</v>
      </c>
      <c r="K193" s="22">
        <v>11.3076</v>
      </c>
      <c r="L193" s="22">
        <v>56.7</v>
      </c>
      <c r="M193" s="22">
        <v>51.85</v>
      </c>
      <c r="N193" s="22">
        <v>4.52889</v>
      </c>
      <c r="O193" s="22">
        <v>4.05309</v>
      </c>
      <c r="P193" s="126">
        <v>3.220934366525141</v>
      </c>
      <c r="Q193" s="126">
        <v>2.865413209122721</v>
      </c>
    </row>
    <row r="194">
      <c r="A194" s="22">
        <v>2019.0</v>
      </c>
      <c r="B194" s="22" t="s">
        <v>1076</v>
      </c>
      <c r="C194" s="123">
        <v>570.143</v>
      </c>
      <c r="D194" s="123">
        <v>0.1037938</v>
      </c>
      <c r="E194" s="22">
        <v>0.3989212</v>
      </c>
      <c r="F194" s="22">
        <v>20.2817</v>
      </c>
      <c r="G194" s="22">
        <v>0.03833</v>
      </c>
      <c r="H194" s="22">
        <v>52.92</v>
      </c>
      <c r="I194" s="22">
        <v>51.32</v>
      </c>
      <c r="J194" s="22">
        <v>11.3076</v>
      </c>
      <c r="K194" s="22">
        <v>11.3396</v>
      </c>
      <c r="L194" s="22">
        <v>51.85</v>
      </c>
      <c r="M194" s="22">
        <v>48.65</v>
      </c>
      <c r="N194" s="22">
        <v>4.05309</v>
      </c>
      <c r="O194" s="22">
        <v>3.73731</v>
      </c>
      <c r="P194" s="126">
        <v>2.795823674522497</v>
      </c>
      <c r="Q194" s="126">
        <v>7.359262701050056</v>
      </c>
    </row>
    <row r="195">
      <c r="A195" s="22">
        <v>2018.0</v>
      </c>
      <c r="B195" s="22" t="s">
        <v>1076</v>
      </c>
      <c r="C195" s="123">
        <v>480.469</v>
      </c>
      <c r="D195" s="123">
        <v>0.0810954</v>
      </c>
      <c r="E195" s="22">
        <v>0.4662207</v>
      </c>
      <c r="F195" s="22">
        <v>20.24408</v>
      </c>
      <c r="G195" s="22">
        <v>0.00377</v>
      </c>
      <c r="H195" s="22">
        <v>51.32</v>
      </c>
      <c r="I195" s="22">
        <v>50.65</v>
      </c>
      <c r="J195" s="22">
        <v>11.3396</v>
      </c>
      <c r="K195" s="22">
        <v>12.4741</v>
      </c>
      <c r="L195" s="22">
        <v>48.65</v>
      </c>
      <c r="M195" s="22">
        <v>44.4</v>
      </c>
      <c r="N195" s="22">
        <v>3.73731</v>
      </c>
      <c r="O195" s="22">
        <v>6.08447</v>
      </c>
      <c r="P195" s="126">
        <v>3.539628059426409</v>
      </c>
      <c r="Q195" s="126">
        <v>7.465006855727509</v>
      </c>
    </row>
    <row r="196">
      <c r="A196" s="22">
        <v>2017.0</v>
      </c>
      <c r="B196" s="22" t="s">
        <v>1076</v>
      </c>
      <c r="C196" s="123">
        <v>424.65</v>
      </c>
      <c r="D196" s="123">
        <v>0.0749079</v>
      </c>
      <c r="E196" s="22">
        <v>0.5078744</v>
      </c>
      <c r="F196" s="22">
        <v>20.24032</v>
      </c>
      <c r="G196" s="22">
        <v>0.20274</v>
      </c>
      <c r="H196" s="22">
        <v>50.65</v>
      </c>
      <c r="I196" s="22">
        <v>49.34</v>
      </c>
      <c r="J196" s="22">
        <v>12.4741</v>
      </c>
      <c r="K196" s="22">
        <v>14.0523</v>
      </c>
      <c r="L196" s="22">
        <v>44.4</v>
      </c>
      <c r="M196" s="22">
        <v>36.65</v>
      </c>
      <c r="N196" s="22">
        <v>6.08447</v>
      </c>
      <c r="O196" s="22">
        <v>5.01905</v>
      </c>
      <c r="P196" s="126">
        <v>3.520256888116174</v>
      </c>
      <c r="Q196" s="126">
        <v>6.94019037359206</v>
      </c>
    </row>
    <row r="197">
      <c r="A197" s="22">
        <v>2016.0</v>
      </c>
      <c r="B197" s="22" t="s">
        <v>1076</v>
      </c>
      <c r="C197" s="123">
        <v>328.922</v>
      </c>
      <c r="D197" s="123">
        <v>0.0370626</v>
      </c>
      <c r="E197" s="22">
        <v>0.5550218</v>
      </c>
      <c r="F197" s="22">
        <v>20.05572</v>
      </c>
      <c r="G197" s="22">
        <v>-0.13742</v>
      </c>
      <c r="H197" s="22">
        <v>49.34</v>
      </c>
      <c r="I197" s="22">
        <v>48.04</v>
      </c>
      <c r="J197" s="22">
        <v>14.0523</v>
      </c>
      <c r="K197" s="22">
        <v>19.6496</v>
      </c>
      <c r="L197" s="22">
        <v>36.65</v>
      </c>
      <c r="M197" s="22">
        <v>35.0</v>
      </c>
      <c r="N197" s="22">
        <v>5.01905</v>
      </c>
      <c r="O197" s="22">
        <v>1.10567</v>
      </c>
      <c r="P197" s="126">
        <v>2.668248169690822</v>
      </c>
      <c r="Q197" s="126">
        <v>6.690008926604236</v>
      </c>
    </row>
    <row r="198">
      <c r="A198" s="22">
        <v>2015.0</v>
      </c>
      <c r="B198" s="22" t="s">
        <v>1076</v>
      </c>
      <c r="C198" s="123">
        <v>262.658</v>
      </c>
      <c r="D198" s="123">
        <v>0.0564923</v>
      </c>
      <c r="E198" s="22">
        <v>0.5753597</v>
      </c>
      <c r="F198" s="22">
        <v>20.20354</v>
      </c>
      <c r="G198" s="22">
        <v>-0.00295</v>
      </c>
      <c r="H198" s="22">
        <v>48.04</v>
      </c>
      <c r="I198" s="22">
        <v>46.98</v>
      </c>
      <c r="J198" s="22">
        <v>19.6496</v>
      </c>
      <c r="K198" s="22">
        <v>28.8466</v>
      </c>
      <c r="L198" s="22">
        <v>35.0</v>
      </c>
      <c r="M198" s="22">
        <v>34.55</v>
      </c>
      <c r="N198" s="22">
        <v>1.10567</v>
      </c>
      <c r="O198" s="32"/>
      <c r="P198" s="126">
        <v>0.6312009051757544</v>
      </c>
      <c r="Q198" s="126">
        <v>6.98715430598611</v>
      </c>
    </row>
    <row r="199">
      <c r="A199" s="22">
        <v>2014.0</v>
      </c>
      <c r="B199" s="22" t="s">
        <v>1076</v>
      </c>
      <c r="C199" s="123">
        <v>238.109</v>
      </c>
      <c r="D199" s="123">
        <v>0.0686639</v>
      </c>
      <c r="E199" s="22">
        <v>0.6188676</v>
      </c>
      <c r="F199" s="22">
        <v>20.2065</v>
      </c>
      <c r="G199" s="22">
        <v>0.565</v>
      </c>
      <c r="H199" s="22">
        <v>46.98</v>
      </c>
      <c r="I199" s="32"/>
      <c r="J199" s="22">
        <v>28.8466</v>
      </c>
      <c r="K199" s="32"/>
      <c r="L199" s="22">
        <v>34.55</v>
      </c>
      <c r="M199" s="32"/>
      <c r="N199" s="32"/>
      <c r="O199" s="32"/>
      <c r="P199" s="126">
        <v>4.084554466376173</v>
      </c>
      <c r="Q199" s="126">
        <v>6.422243121185673</v>
      </c>
    </row>
    <row r="200">
      <c r="A200" s="22">
        <v>2024.0</v>
      </c>
      <c r="B200" s="22" t="s">
        <v>1132</v>
      </c>
      <c r="C200" s="123">
        <v>766.676</v>
      </c>
      <c r="D200" s="123">
        <v>0.0378032</v>
      </c>
      <c r="E200" s="22">
        <v>0.0160075</v>
      </c>
      <c r="F200" s="22">
        <v>19.75861</v>
      </c>
      <c r="G200" s="22">
        <v>-0.06911</v>
      </c>
      <c r="H200" s="22">
        <v>57.56</v>
      </c>
      <c r="I200" s="22">
        <v>56.57</v>
      </c>
      <c r="J200" s="22">
        <v>23.6602</v>
      </c>
      <c r="K200" s="22">
        <v>21.6149</v>
      </c>
      <c r="L200" s="22">
        <v>57.25</v>
      </c>
      <c r="M200" s="22">
        <v>56.0</v>
      </c>
      <c r="N200" s="32"/>
      <c r="O200" s="22">
        <v>2.4343</v>
      </c>
      <c r="P200" s="126">
        <v>3.621092738858435</v>
      </c>
      <c r="Q200" s="126">
        <v>7.091187466339747</v>
      </c>
    </row>
    <row r="201">
      <c r="A201" s="22">
        <v>2023.0</v>
      </c>
      <c r="B201" s="22" t="s">
        <v>1132</v>
      </c>
      <c r="C201" s="123">
        <v>918.905</v>
      </c>
      <c r="D201" s="123">
        <v>0.0776808</v>
      </c>
      <c r="E201" s="22">
        <v>0.0171303</v>
      </c>
      <c r="F201" s="22">
        <v>19.83023</v>
      </c>
      <c r="G201" s="22">
        <v>-0.00107</v>
      </c>
      <c r="H201" s="22">
        <v>56.57</v>
      </c>
      <c r="I201" s="22">
        <v>55.52</v>
      </c>
      <c r="J201" s="22">
        <v>21.6149</v>
      </c>
      <c r="K201" s="22">
        <v>18.1757</v>
      </c>
      <c r="L201" s="22">
        <v>56.0</v>
      </c>
      <c r="M201" s="22">
        <v>52.55</v>
      </c>
      <c r="N201" s="22">
        <v>2.4343</v>
      </c>
      <c r="O201" s="22">
        <v>3.45</v>
      </c>
      <c r="P201" s="126">
        <v>3.252892826676616</v>
      </c>
      <c r="Q201" s="126">
        <v>5.06502391455075</v>
      </c>
    </row>
    <row r="202">
      <c r="A202" s="22">
        <v>2022.0</v>
      </c>
      <c r="B202" s="22" t="s">
        <v>1132</v>
      </c>
      <c r="C202" s="123">
        <v>911.672</v>
      </c>
      <c r="D202" s="123">
        <v>0.0501428</v>
      </c>
      <c r="E202" s="22">
        <v>0.0152972</v>
      </c>
      <c r="F202" s="22">
        <v>19.8313</v>
      </c>
      <c r="G202" s="22">
        <v>1.45185</v>
      </c>
      <c r="H202" s="22">
        <v>55.52</v>
      </c>
      <c r="I202" s="22">
        <v>53.94</v>
      </c>
      <c r="J202" s="22">
        <v>18.1757</v>
      </c>
      <c r="K202" s="22">
        <v>12.1839</v>
      </c>
      <c r="L202" s="22">
        <v>52.55</v>
      </c>
      <c r="M202" s="22">
        <v>49.1</v>
      </c>
      <c r="N202" s="22">
        <v>3.45</v>
      </c>
      <c r="O202" s="22">
        <v>2.3347</v>
      </c>
      <c r="P202" s="126">
        <v>3.156507499631293</v>
      </c>
      <c r="Q202" s="126">
        <v>8.537500467557877</v>
      </c>
    </row>
    <row r="203">
      <c r="A203" s="22">
        <v>2021.0</v>
      </c>
      <c r="B203" s="22" t="s">
        <v>1132</v>
      </c>
      <c r="C203" s="123">
        <v>1166.79</v>
      </c>
      <c r="D203" s="123">
        <v>-0.0474897</v>
      </c>
      <c r="E203" s="22">
        <v>0.0129724</v>
      </c>
      <c r="F203" s="22">
        <v>18.93446</v>
      </c>
      <c r="G203" s="22">
        <v>-0.45075</v>
      </c>
      <c r="H203" s="22">
        <v>53.94</v>
      </c>
      <c r="I203" s="22">
        <v>54.56</v>
      </c>
      <c r="J203" s="22">
        <v>12.1839</v>
      </c>
      <c r="K203" s="22">
        <v>12.2739</v>
      </c>
      <c r="L203" s="22">
        <v>49.1</v>
      </c>
      <c r="M203" s="22">
        <v>48.1</v>
      </c>
      <c r="N203" s="22">
        <v>2.3347</v>
      </c>
      <c r="O203" s="22">
        <v>2.92973</v>
      </c>
      <c r="P203" s="126">
        <v>1.834715548104437</v>
      </c>
      <c r="Q203" s="126">
        <v>2.553728526481308</v>
      </c>
    </row>
    <row r="204">
      <c r="A204" s="22">
        <v>2020.0</v>
      </c>
      <c r="B204" s="22" t="s">
        <v>1132</v>
      </c>
      <c r="C204" s="123">
        <v>717.54</v>
      </c>
      <c r="D204" s="123">
        <v>0.0256607</v>
      </c>
      <c r="E204" s="22">
        <v>0.0155323</v>
      </c>
      <c r="F204" s="22">
        <v>19.53366</v>
      </c>
      <c r="G204" s="22">
        <v>-0.3269</v>
      </c>
      <c r="H204" s="22">
        <v>54.56</v>
      </c>
      <c r="I204" s="22">
        <v>52.92</v>
      </c>
      <c r="J204" s="22">
        <v>12.2739</v>
      </c>
      <c r="K204" s="22">
        <v>11.3076</v>
      </c>
      <c r="L204" s="22">
        <v>48.1</v>
      </c>
      <c r="M204" s="22">
        <v>43.6</v>
      </c>
      <c r="N204" s="22">
        <v>2.92973</v>
      </c>
      <c r="O204" s="22">
        <v>4.1065</v>
      </c>
      <c r="P204" s="126">
        <v>3.220934366525141</v>
      </c>
      <c r="Q204" s="126">
        <v>2.865413209122721</v>
      </c>
    </row>
    <row r="205">
      <c r="A205" s="22">
        <v>2019.0</v>
      </c>
      <c r="B205" s="22" t="s">
        <v>1132</v>
      </c>
      <c r="C205" s="123">
        <v>590.279</v>
      </c>
      <c r="D205" s="123">
        <v>0.108742</v>
      </c>
      <c r="E205" s="22">
        <v>0.0192461</v>
      </c>
      <c r="F205" s="22">
        <v>19.92951</v>
      </c>
      <c r="G205" s="22">
        <v>0.02187</v>
      </c>
      <c r="H205" s="22">
        <v>52.92</v>
      </c>
      <c r="I205" s="22">
        <v>51.32</v>
      </c>
      <c r="J205" s="22">
        <v>11.3076</v>
      </c>
      <c r="K205" s="22">
        <v>11.3396</v>
      </c>
      <c r="L205" s="22">
        <v>43.6</v>
      </c>
      <c r="M205" s="22">
        <v>39.9</v>
      </c>
      <c r="N205" s="22">
        <v>4.1065</v>
      </c>
      <c r="O205" s="22">
        <v>3.80044</v>
      </c>
      <c r="P205" s="126">
        <v>2.795823674522497</v>
      </c>
      <c r="Q205" s="126">
        <v>7.359262701050056</v>
      </c>
    </row>
    <row r="206">
      <c r="A206" s="22">
        <v>2018.0</v>
      </c>
      <c r="B206" s="22" t="s">
        <v>1132</v>
      </c>
      <c r="C206" s="123">
        <v>598.216</v>
      </c>
      <c r="D206" s="123">
        <v>0.1497052</v>
      </c>
      <c r="E206" s="22">
        <v>0.0218933</v>
      </c>
      <c r="F206" s="22">
        <v>19.90788</v>
      </c>
      <c r="G206" s="22">
        <v>0.10196</v>
      </c>
      <c r="H206" s="22">
        <v>51.32</v>
      </c>
      <c r="I206" s="22">
        <v>50.65</v>
      </c>
      <c r="J206" s="22">
        <v>11.3396</v>
      </c>
      <c r="K206" s="22">
        <v>12.4741</v>
      </c>
      <c r="L206" s="22">
        <v>39.9</v>
      </c>
      <c r="M206" s="22">
        <v>36.0</v>
      </c>
      <c r="N206" s="22">
        <v>3.80044</v>
      </c>
      <c r="O206" s="22">
        <v>3.751</v>
      </c>
      <c r="P206" s="126">
        <v>3.539628059426409</v>
      </c>
      <c r="Q206" s="126">
        <v>7.465006855727509</v>
      </c>
    </row>
    <row r="207">
      <c r="A207" s="22">
        <v>2017.0</v>
      </c>
      <c r="B207" s="22" t="s">
        <v>1132</v>
      </c>
      <c r="C207" s="123">
        <v>656.577</v>
      </c>
      <c r="D207" s="123">
        <v>0.2093656</v>
      </c>
      <c r="E207" s="22">
        <v>0.0253954</v>
      </c>
      <c r="F207" s="22">
        <v>19.81079</v>
      </c>
      <c r="G207" s="22">
        <v>0.1288</v>
      </c>
      <c r="H207" s="22">
        <v>50.65</v>
      </c>
      <c r="I207" s="22">
        <v>49.34</v>
      </c>
      <c r="J207" s="22">
        <v>12.4741</v>
      </c>
      <c r="K207" s="22">
        <v>14.0523</v>
      </c>
      <c r="L207" s="22">
        <v>36.0</v>
      </c>
      <c r="M207" s="22">
        <v>32.4</v>
      </c>
      <c r="N207" s="22">
        <v>3.751</v>
      </c>
      <c r="O207" s="22">
        <v>3.42649</v>
      </c>
      <c r="P207" s="126">
        <v>3.520256888116174</v>
      </c>
      <c r="Q207" s="126">
        <v>6.94019037359206</v>
      </c>
    </row>
    <row r="208">
      <c r="A208" s="22">
        <v>2016.0</v>
      </c>
      <c r="B208" s="22" t="s">
        <v>1132</v>
      </c>
      <c r="C208" s="123">
        <v>894.449</v>
      </c>
      <c r="D208" s="123">
        <v>0.2978652</v>
      </c>
      <c r="E208" s="22">
        <v>0.0680906</v>
      </c>
      <c r="F208" s="22">
        <v>19.68964</v>
      </c>
      <c r="G208" s="22">
        <v>0.16637</v>
      </c>
      <c r="H208" s="22">
        <v>49.34</v>
      </c>
      <c r="I208" s="22">
        <v>48.04</v>
      </c>
      <c r="J208" s="22">
        <v>14.0523</v>
      </c>
      <c r="K208" s="22">
        <v>19.6496</v>
      </c>
      <c r="L208" s="22">
        <v>32.4</v>
      </c>
      <c r="M208" s="22">
        <v>29.15</v>
      </c>
      <c r="N208" s="22">
        <v>3.42649</v>
      </c>
      <c r="O208" s="22">
        <v>2.10772</v>
      </c>
      <c r="P208" s="126">
        <v>2.668248169690822</v>
      </c>
      <c r="Q208" s="126">
        <v>6.690008926604236</v>
      </c>
    </row>
    <row r="209">
      <c r="A209" s="22">
        <v>2015.0</v>
      </c>
      <c r="B209" s="22" t="s">
        <v>1132</v>
      </c>
      <c r="C209" s="123">
        <v>832.615</v>
      </c>
      <c r="D209" s="123">
        <v>0.3318157</v>
      </c>
      <c r="E209" s="22">
        <v>0.022624</v>
      </c>
      <c r="F209" s="22">
        <v>19.53574</v>
      </c>
      <c r="G209" s="22">
        <v>0.36296</v>
      </c>
      <c r="H209" s="22">
        <v>48.04</v>
      </c>
      <c r="I209" s="22">
        <v>46.98</v>
      </c>
      <c r="J209" s="22">
        <v>19.6496</v>
      </c>
      <c r="K209" s="22">
        <v>28.8466</v>
      </c>
      <c r="L209" s="22">
        <v>29.15</v>
      </c>
      <c r="M209" s="22">
        <v>28.45</v>
      </c>
      <c r="N209" s="22">
        <v>2.10772</v>
      </c>
      <c r="O209" s="32"/>
      <c r="P209" s="126">
        <v>0.6312009051757544</v>
      </c>
      <c r="Q209" s="126">
        <v>6.98715430598611</v>
      </c>
    </row>
    <row r="210">
      <c r="A210" s="22">
        <v>2014.0</v>
      </c>
      <c r="B210" s="22" t="s">
        <v>1132</v>
      </c>
      <c r="C210" s="123">
        <v>506.576</v>
      </c>
      <c r="D210" s="123">
        <v>0.2906141</v>
      </c>
      <c r="E210" s="22">
        <v>0.0311744</v>
      </c>
      <c r="F210" s="22">
        <v>19.22608</v>
      </c>
      <c r="G210" s="22">
        <v>0.5773</v>
      </c>
      <c r="H210" s="22">
        <v>46.98</v>
      </c>
      <c r="I210" s="32"/>
      <c r="J210" s="22">
        <v>28.8466</v>
      </c>
      <c r="K210" s="32"/>
      <c r="L210" s="22">
        <v>28.45</v>
      </c>
      <c r="M210" s="32"/>
      <c r="N210" s="32"/>
      <c r="O210" s="32"/>
      <c r="P210" s="126">
        <v>4.084554466376173</v>
      </c>
      <c r="Q210" s="126">
        <v>6.422243121185673</v>
      </c>
    </row>
    <row r="211">
      <c r="A211" s="22">
        <v>2024.0</v>
      </c>
      <c r="B211" s="22" t="s">
        <v>1188</v>
      </c>
      <c r="C211" s="22">
        <v>1183.36</v>
      </c>
      <c r="D211" s="22">
        <v>0.0023606</v>
      </c>
      <c r="E211" s="22">
        <v>0.6778672</v>
      </c>
      <c r="F211" s="22">
        <v>18.77036</v>
      </c>
      <c r="G211" s="22">
        <v>0.41952</v>
      </c>
      <c r="H211" s="22">
        <v>57.56</v>
      </c>
      <c r="I211" s="22">
        <v>56.57</v>
      </c>
      <c r="J211" s="22">
        <v>23.6602</v>
      </c>
      <c r="K211" s="22">
        <v>21.6149</v>
      </c>
      <c r="L211" s="22">
        <v>65.0</v>
      </c>
      <c r="M211" s="22">
        <v>61.3</v>
      </c>
      <c r="N211" s="32"/>
      <c r="O211" s="22">
        <v>3.5019</v>
      </c>
      <c r="P211" s="126">
        <v>3.621092738858435</v>
      </c>
      <c r="Q211" s="126">
        <v>7.091187466339747</v>
      </c>
    </row>
    <row r="212">
      <c r="A212" s="22">
        <v>2023.0</v>
      </c>
      <c r="B212" s="22" t="s">
        <v>1188</v>
      </c>
      <c r="C212" s="22">
        <v>1688.97</v>
      </c>
      <c r="D212" s="22">
        <v>0.00188</v>
      </c>
      <c r="E212" s="22">
        <v>0.7137989</v>
      </c>
      <c r="F212" s="22">
        <v>18.42004</v>
      </c>
      <c r="G212" s="22">
        <v>-0.22777</v>
      </c>
      <c r="H212" s="22">
        <v>56.57</v>
      </c>
      <c r="I212" s="22">
        <v>55.52</v>
      </c>
      <c r="J212" s="22">
        <v>21.6149</v>
      </c>
      <c r="K212" s="22">
        <v>18.1757</v>
      </c>
      <c r="L212" s="22">
        <v>61.3</v>
      </c>
      <c r="M212" s="22">
        <v>58.0</v>
      </c>
      <c r="N212" s="22">
        <v>3.5019</v>
      </c>
      <c r="O212" s="22">
        <v>3.15119</v>
      </c>
      <c r="P212" s="126">
        <v>3.252892826676616</v>
      </c>
      <c r="Q212" s="126">
        <v>5.06502391455075</v>
      </c>
    </row>
    <row r="213">
      <c r="A213" s="22">
        <v>2022.0</v>
      </c>
      <c r="B213" s="22" t="s">
        <v>1188</v>
      </c>
      <c r="C213" s="22">
        <v>1612.75</v>
      </c>
      <c r="D213" s="22">
        <v>0.0107672</v>
      </c>
      <c r="E213" s="22">
        <v>0.7306381</v>
      </c>
      <c r="F213" s="22">
        <v>18.67851</v>
      </c>
      <c r="G213" s="22">
        <v>0.18903</v>
      </c>
      <c r="H213" s="22">
        <v>55.52</v>
      </c>
      <c r="I213" s="22">
        <v>53.94</v>
      </c>
      <c r="J213" s="22">
        <v>18.1757</v>
      </c>
      <c r="K213" s="22">
        <v>12.1839</v>
      </c>
      <c r="L213" s="22">
        <v>58.0</v>
      </c>
      <c r="M213" s="22">
        <v>55.0</v>
      </c>
      <c r="N213" s="22">
        <v>3.15119</v>
      </c>
      <c r="O213" s="22">
        <v>3.35609</v>
      </c>
      <c r="P213" s="126">
        <v>3.156507499631293</v>
      </c>
      <c r="Q213" s="126">
        <v>8.537500467557877</v>
      </c>
    </row>
    <row r="214">
      <c r="A214" s="22">
        <v>2021.0</v>
      </c>
      <c r="B214" s="22" t="s">
        <v>1188</v>
      </c>
      <c r="C214" s="22">
        <v>7707.88</v>
      </c>
      <c r="D214" s="22">
        <v>0.0149037</v>
      </c>
      <c r="E214" s="22">
        <v>0.7100371</v>
      </c>
      <c r="F214" s="22">
        <v>18.50538</v>
      </c>
      <c r="G214" s="22">
        <v>1.5225</v>
      </c>
      <c r="H214" s="22">
        <v>53.94</v>
      </c>
      <c r="I214" s="22">
        <v>54.56</v>
      </c>
      <c r="J214" s="22">
        <v>12.1839</v>
      </c>
      <c r="K214" s="22">
        <v>12.2739</v>
      </c>
      <c r="L214" s="22">
        <v>55.0</v>
      </c>
      <c r="M214" s="22">
        <v>51.3</v>
      </c>
      <c r="N214" s="22">
        <v>3.35609</v>
      </c>
      <c r="O214" s="22">
        <v>4.15812</v>
      </c>
      <c r="P214" s="126">
        <v>1.834715548104437</v>
      </c>
      <c r="Q214" s="126">
        <v>2.553728526481308</v>
      </c>
    </row>
    <row r="215">
      <c r="A215" s="22">
        <v>2020.0</v>
      </c>
      <c r="B215" s="22" t="s">
        <v>1188</v>
      </c>
      <c r="C215" s="22">
        <v>1568.89</v>
      </c>
      <c r="D215" s="22">
        <v>-0.0071277</v>
      </c>
      <c r="E215" s="22">
        <v>0.6561419</v>
      </c>
      <c r="F215" s="22">
        <v>17.58013</v>
      </c>
      <c r="G215" s="22">
        <v>-0.18687</v>
      </c>
      <c r="H215" s="22">
        <v>54.56</v>
      </c>
      <c r="I215" s="22">
        <v>52.92</v>
      </c>
      <c r="J215" s="22">
        <v>12.2739</v>
      </c>
      <c r="K215" s="22">
        <v>11.3076</v>
      </c>
      <c r="L215" s="22">
        <v>51.3</v>
      </c>
      <c r="M215" s="22">
        <v>46.7</v>
      </c>
      <c r="N215" s="22">
        <v>4.15812</v>
      </c>
      <c r="O215" s="22">
        <v>3.55715</v>
      </c>
      <c r="P215" s="126">
        <v>3.220934366525141</v>
      </c>
      <c r="Q215" s="126">
        <v>2.865413209122721</v>
      </c>
    </row>
    <row r="216">
      <c r="A216" s="22">
        <v>2019.0</v>
      </c>
      <c r="B216" s="22" t="s">
        <v>1188</v>
      </c>
      <c r="C216" s="22">
        <v>2760.82</v>
      </c>
      <c r="D216" s="22">
        <v>0.0135522</v>
      </c>
      <c r="E216" s="22">
        <v>0.5948588</v>
      </c>
      <c r="F216" s="22">
        <v>17.78699</v>
      </c>
      <c r="G216" s="22">
        <v>0.71643</v>
      </c>
      <c r="H216" s="22">
        <v>52.92</v>
      </c>
      <c r="I216" s="22">
        <v>51.32</v>
      </c>
      <c r="J216" s="22">
        <v>11.3076</v>
      </c>
      <c r="K216" s="22">
        <v>11.3396</v>
      </c>
      <c r="L216" s="22">
        <v>46.7</v>
      </c>
      <c r="M216" s="22">
        <v>44.3</v>
      </c>
      <c r="N216" s="22">
        <v>3.55715</v>
      </c>
      <c r="O216" s="22">
        <v>2.01329</v>
      </c>
      <c r="P216" s="126">
        <v>2.795823674522497</v>
      </c>
      <c r="Q216" s="126">
        <v>7.359262701050056</v>
      </c>
    </row>
    <row r="217">
      <c r="A217" s="22">
        <v>2018.0</v>
      </c>
      <c r="B217" s="22" t="s">
        <v>1188</v>
      </c>
      <c r="C217" s="22">
        <v>3059.66</v>
      </c>
      <c r="D217" s="22">
        <v>0.0104282</v>
      </c>
      <c r="E217" s="22">
        <v>0.539752</v>
      </c>
      <c r="F217" s="22">
        <v>17.24674</v>
      </c>
      <c r="G217" s="22">
        <v>0.74633</v>
      </c>
      <c r="H217" s="22">
        <v>51.32</v>
      </c>
      <c r="I217" s="22">
        <v>50.65</v>
      </c>
      <c r="J217" s="22">
        <v>11.3396</v>
      </c>
      <c r="K217" s="22">
        <v>12.4741</v>
      </c>
      <c r="L217" s="22">
        <v>44.3</v>
      </c>
      <c r="M217" s="22">
        <v>42.7</v>
      </c>
      <c r="N217" s="22">
        <v>2.01329</v>
      </c>
      <c r="O217" s="22">
        <v>1.17898</v>
      </c>
      <c r="P217" s="126">
        <v>3.539628059426409</v>
      </c>
      <c r="Q217" s="126">
        <v>7.465006855727509</v>
      </c>
    </row>
    <row r="218">
      <c r="A218" s="22">
        <v>2017.0</v>
      </c>
      <c r="B218" s="22" t="s">
        <v>1188</v>
      </c>
      <c r="C218" s="22">
        <v>4778.19</v>
      </c>
      <c r="D218" s="22">
        <v>0.0117903</v>
      </c>
      <c r="E218" s="22">
        <v>0.5101866</v>
      </c>
      <c r="F218" s="22">
        <v>16.68923</v>
      </c>
      <c r="G218" s="22">
        <v>-0.23476</v>
      </c>
      <c r="H218" s="22">
        <v>50.65</v>
      </c>
      <c r="I218" s="22">
        <v>49.34</v>
      </c>
      <c r="J218" s="22">
        <v>12.4741</v>
      </c>
      <c r="K218" s="22">
        <v>14.0523</v>
      </c>
      <c r="L218" s="22">
        <v>42.7</v>
      </c>
      <c r="M218" s="22">
        <v>42.0</v>
      </c>
      <c r="N218" s="22">
        <v>1.17898</v>
      </c>
      <c r="O218" s="22">
        <v>1.96554</v>
      </c>
      <c r="P218" s="126">
        <v>3.520256888116174</v>
      </c>
      <c r="Q218" s="126">
        <v>6.94019037359206</v>
      </c>
    </row>
    <row r="219">
      <c r="A219" s="22">
        <v>2016.0</v>
      </c>
      <c r="B219" s="22" t="s">
        <v>1188</v>
      </c>
      <c r="C219" s="22">
        <v>876.817</v>
      </c>
      <c r="D219" s="22">
        <v>6.787E-4</v>
      </c>
      <c r="E219" s="22">
        <v>0.475126</v>
      </c>
      <c r="F219" s="22">
        <v>16.9568</v>
      </c>
      <c r="G219" s="22">
        <v>-0.35549</v>
      </c>
      <c r="H219" s="22">
        <v>49.34</v>
      </c>
      <c r="I219" s="22">
        <v>48.04</v>
      </c>
      <c r="J219" s="22">
        <v>14.0523</v>
      </c>
      <c r="K219" s="22">
        <v>19.6496</v>
      </c>
      <c r="L219" s="22">
        <v>42.0</v>
      </c>
      <c r="M219" s="22">
        <v>39.0</v>
      </c>
      <c r="N219" s="22">
        <v>1.96554</v>
      </c>
      <c r="O219" s="22">
        <v>2.65769</v>
      </c>
      <c r="P219" s="126">
        <v>2.668248169690822</v>
      </c>
      <c r="Q219" s="126">
        <v>6.690008926604236</v>
      </c>
    </row>
    <row r="220">
      <c r="A220" s="22">
        <v>2015.0</v>
      </c>
      <c r="B220" s="22" t="s">
        <v>1188</v>
      </c>
      <c r="C220" s="22">
        <v>1661.07</v>
      </c>
      <c r="D220" s="22">
        <v>3.282E-4</v>
      </c>
      <c r="E220" s="22">
        <v>0.5619848</v>
      </c>
      <c r="F220" s="22">
        <v>17.39606</v>
      </c>
      <c r="G220" s="22">
        <v>0.2791</v>
      </c>
      <c r="H220" s="22">
        <v>48.04</v>
      </c>
      <c r="I220" s="22">
        <v>46.98</v>
      </c>
      <c r="J220" s="22">
        <v>19.6496</v>
      </c>
      <c r="K220" s="22">
        <v>28.8466</v>
      </c>
      <c r="L220" s="22">
        <v>39.0</v>
      </c>
      <c r="M220" s="22">
        <v>36.7</v>
      </c>
      <c r="N220" s="22">
        <v>2.65769</v>
      </c>
      <c r="O220" s="32"/>
      <c r="P220" s="126">
        <v>0.6312009051757544</v>
      </c>
      <c r="Q220" s="126">
        <v>6.98715430598611</v>
      </c>
    </row>
    <row r="221">
      <c r="A221" s="22">
        <v>2014.0</v>
      </c>
      <c r="B221" s="22" t="s">
        <v>1188</v>
      </c>
      <c r="C221" s="22">
        <v>2473.29</v>
      </c>
      <c r="D221" s="22">
        <v>0.0026582</v>
      </c>
      <c r="E221" s="22">
        <v>0.5528017</v>
      </c>
      <c r="F221" s="22">
        <v>17.1499</v>
      </c>
      <c r="G221" s="22">
        <v>-0.99144</v>
      </c>
      <c r="H221" s="22">
        <v>46.98</v>
      </c>
      <c r="I221" s="32"/>
      <c r="J221" s="22">
        <v>28.8466</v>
      </c>
      <c r="K221" s="32"/>
      <c r="L221" s="22">
        <v>36.7</v>
      </c>
      <c r="M221" s="32"/>
      <c r="N221" s="32"/>
      <c r="O221" s="32"/>
      <c r="P221" s="126">
        <v>4.084554466376173</v>
      </c>
      <c r="Q221" s="126">
        <v>6.422243121185673</v>
      </c>
    </row>
    <row r="222">
      <c r="A222" s="22">
        <v>2024.0</v>
      </c>
      <c r="B222" s="22" t="s">
        <v>1219</v>
      </c>
      <c r="C222" s="22">
        <v>6441.78</v>
      </c>
      <c r="D222" s="22">
        <v>0.026128</v>
      </c>
      <c r="E222" s="22">
        <v>0.3675268</v>
      </c>
      <c r="F222" s="22">
        <v>21.91068</v>
      </c>
      <c r="G222" s="22">
        <v>0.57038</v>
      </c>
      <c r="H222" s="22">
        <v>57.56</v>
      </c>
      <c r="I222" s="22">
        <v>56.57</v>
      </c>
      <c r="J222" s="22">
        <v>23.6602</v>
      </c>
      <c r="K222" s="22">
        <v>21.6149</v>
      </c>
      <c r="L222" s="22">
        <v>85.3</v>
      </c>
      <c r="M222" s="22">
        <v>82.7</v>
      </c>
      <c r="N222" s="32"/>
      <c r="O222" s="22">
        <v>2.50067</v>
      </c>
      <c r="P222" s="126">
        <v>3.621092738858435</v>
      </c>
      <c r="Q222" s="126">
        <v>7.091187466339747</v>
      </c>
    </row>
    <row r="223">
      <c r="A223" s="22">
        <v>2023.0</v>
      </c>
      <c r="B223" s="22" t="s">
        <v>1219</v>
      </c>
      <c r="C223" s="22">
        <v>5497.5</v>
      </c>
      <c r="D223" s="22">
        <v>0.0275483</v>
      </c>
      <c r="E223" s="22">
        <v>0.4138035</v>
      </c>
      <c r="F223" s="22">
        <v>21.45936</v>
      </c>
      <c r="G223" s="22">
        <v>-0.28304</v>
      </c>
      <c r="H223" s="22">
        <v>56.57</v>
      </c>
      <c r="I223" s="22">
        <v>55.52</v>
      </c>
      <c r="J223" s="22">
        <v>21.6149</v>
      </c>
      <c r="K223" s="22">
        <v>18.1757</v>
      </c>
      <c r="L223" s="22">
        <v>82.7</v>
      </c>
      <c r="M223" s="22">
        <v>80.3</v>
      </c>
      <c r="N223" s="22">
        <v>2.50067</v>
      </c>
      <c r="O223" s="22">
        <v>3.01993</v>
      </c>
      <c r="P223" s="126">
        <v>3.252892826676616</v>
      </c>
      <c r="Q223" s="126">
        <v>5.06502391455075</v>
      </c>
    </row>
    <row r="224">
      <c r="A224" s="22">
        <v>2022.0</v>
      </c>
      <c r="B224" s="22" t="s">
        <v>1219</v>
      </c>
      <c r="C224" s="22">
        <v>5843.7</v>
      </c>
      <c r="D224" s="22">
        <v>0.0502453</v>
      </c>
      <c r="E224" s="22">
        <v>0.4524167</v>
      </c>
      <c r="F224" s="22">
        <v>21.79209</v>
      </c>
      <c r="G224" s="22">
        <v>-0.22106</v>
      </c>
      <c r="H224" s="22">
        <v>55.52</v>
      </c>
      <c r="I224" s="22">
        <v>53.94</v>
      </c>
      <c r="J224" s="22">
        <v>18.1757</v>
      </c>
      <c r="K224" s="22">
        <v>12.1839</v>
      </c>
      <c r="L224" s="22">
        <v>80.3</v>
      </c>
      <c r="M224" s="22">
        <v>76.7</v>
      </c>
      <c r="N224" s="22">
        <v>3.01993</v>
      </c>
      <c r="O224" s="22">
        <v>3.30454</v>
      </c>
      <c r="P224" s="126">
        <v>3.156507499631293</v>
      </c>
      <c r="Q224" s="126">
        <v>8.537500467557877</v>
      </c>
    </row>
    <row r="225">
      <c r="A225" s="22">
        <v>2021.0</v>
      </c>
      <c r="B225" s="22" t="s">
        <v>1219</v>
      </c>
      <c r="C225" s="22">
        <v>6535.72</v>
      </c>
      <c r="D225" s="22">
        <v>0.0838081</v>
      </c>
      <c r="E225" s="22">
        <v>0.2888458</v>
      </c>
      <c r="F225" s="22">
        <v>22.04191</v>
      </c>
      <c r="G225" s="22">
        <v>-0.17513</v>
      </c>
      <c r="H225" s="22">
        <v>53.94</v>
      </c>
      <c r="I225" s="22">
        <v>54.56</v>
      </c>
      <c r="J225" s="22">
        <v>12.1839</v>
      </c>
      <c r="K225" s="22">
        <v>12.2739</v>
      </c>
      <c r="L225" s="22">
        <v>76.7</v>
      </c>
      <c r="M225" s="22">
        <v>73.7</v>
      </c>
      <c r="N225" s="22">
        <v>3.30454</v>
      </c>
      <c r="O225" s="22">
        <v>4.25676</v>
      </c>
      <c r="P225" s="126">
        <v>1.834715548104437</v>
      </c>
      <c r="Q225" s="126">
        <v>2.553728526481308</v>
      </c>
    </row>
    <row r="226">
      <c r="A226" s="22">
        <v>2020.0</v>
      </c>
      <c r="B226" s="22" t="s">
        <v>1219</v>
      </c>
      <c r="C226" s="22">
        <v>7705.92</v>
      </c>
      <c r="D226" s="22">
        <v>0.0828497</v>
      </c>
      <c r="E226" s="22">
        <v>0.4145383</v>
      </c>
      <c r="F226" s="22">
        <v>22.23444</v>
      </c>
      <c r="G226" s="22">
        <v>0.61091</v>
      </c>
      <c r="H226" s="22">
        <v>54.56</v>
      </c>
      <c r="I226" s="22">
        <v>52.92</v>
      </c>
      <c r="J226" s="22">
        <v>12.2739</v>
      </c>
      <c r="K226" s="22">
        <v>11.3076</v>
      </c>
      <c r="L226" s="22">
        <v>73.7</v>
      </c>
      <c r="M226" s="22">
        <v>68.3</v>
      </c>
      <c r="N226" s="22">
        <v>4.25676</v>
      </c>
      <c r="O226" s="22">
        <v>5.20128</v>
      </c>
      <c r="P226" s="126">
        <v>3.220934366525141</v>
      </c>
      <c r="Q226" s="126">
        <v>2.865413209122721</v>
      </c>
    </row>
    <row r="227">
      <c r="A227" s="22">
        <v>2019.0</v>
      </c>
      <c r="B227" s="22" t="s">
        <v>1219</v>
      </c>
      <c r="C227" s="22">
        <v>6401.86</v>
      </c>
      <c r="D227" s="22">
        <v>0.0692645</v>
      </c>
      <c r="E227" s="22">
        <v>0.4210038</v>
      </c>
      <c r="F227" s="22">
        <v>21.75764</v>
      </c>
      <c r="G227" s="22">
        <v>-0.0354</v>
      </c>
      <c r="H227" s="22">
        <v>52.92</v>
      </c>
      <c r="I227" s="22">
        <v>51.32</v>
      </c>
      <c r="J227" s="22">
        <v>11.3076</v>
      </c>
      <c r="K227" s="22">
        <v>11.3396</v>
      </c>
      <c r="L227" s="22">
        <v>68.3</v>
      </c>
      <c r="M227" s="22">
        <v>63.3</v>
      </c>
      <c r="N227" s="22">
        <v>5.20128</v>
      </c>
      <c r="O227" s="22">
        <v>3.73229</v>
      </c>
      <c r="P227" s="126">
        <v>2.795823674522497</v>
      </c>
      <c r="Q227" s="126">
        <v>7.359262701050056</v>
      </c>
    </row>
    <row r="228">
      <c r="A228" s="22">
        <v>2018.0</v>
      </c>
      <c r="B228" s="22" t="s">
        <v>1219</v>
      </c>
      <c r="C228" s="22">
        <v>3935.76</v>
      </c>
      <c r="D228" s="22">
        <v>0.0791554</v>
      </c>
      <c r="E228" s="22">
        <v>0.3254233</v>
      </c>
      <c r="F228" s="22">
        <v>21.79368</v>
      </c>
      <c r="G228" s="22">
        <v>-0.04525</v>
      </c>
      <c r="H228" s="22">
        <v>51.32</v>
      </c>
      <c r="I228" s="22">
        <v>50.65</v>
      </c>
      <c r="J228" s="22">
        <v>11.3396</v>
      </c>
      <c r="K228" s="22">
        <v>12.4741</v>
      </c>
      <c r="L228" s="22">
        <v>63.3</v>
      </c>
      <c r="M228" s="22">
        <v>61.0</v>
      </c>
      <c r="N228" s="22">
        <v>3.73229</v>
      </c>
      <c r="O228" s="22">
        <v>3.89743</v>
      </c>
      <c r="P228" s="126">
        <v>3.539628059426409</v>
      </c>
      <c r="Q228" s="126">
        <v>7.465006855727509</v>
      </c>
    </row>
    <row r="229">
      <c r="A229" s="22">
        <v>2017.0</v>
      </c>
      <c r="B229" s="22" t="s">
        <v>1219</v>
      </c>
      <c r="C229" s="22">
        <v>2288.24</v>
      </c>
      <c r="D229" s="22">
        <v>0.057519</v>
      </c>
      <c r="E229" s="22">
        <v>0.362855</v>
      </c>
      <c r="F229" s="22">
        <v>21.83998</v>
      </c>
      <c r="G229" s="22">
        <v>-0.22302</v>
      </c>
      <c r="H229" s="22">
        <v>50.65</v>
      </c>
      <c r="I229" s="22">
        <v>49.34</v>
      </c>
      <c r="J229" s="22">
        <v>12.4741</v>
      </c>
      <c r="K229" s="22">
        <v>14.0523</v>
      </c>
      <c r="L229" s="22">
        <v>61.0</v>
      </c>
      <c r="M229" s="22">
        <v>55.7</v>
      </c>
      <c r="N229" s="22">
        <v>3.89743</v>
      </c>
      <c r="O229" s="22">
        <v>6.37887</v>
      </c>
      <c r="P229" s="126">
        <v>3.520256888116174</v>
      </c>
      <c r="Q229" s="126">
        <v>6.94019037359206</v>
      </c>
    </row>
    <row r="230">
      <c r="A230" s="22">
        <v>2016.0</v>
      </c>
      <c r="B230" s="22" t="s">
        <v>1219</v>
      </c>
      <c r="C230" s="22">
        <v>5863.69</v>
      </c>
      <c r="D230" s="22">
        <v>0.0510723</v>
      </c>
      <c r="E230" s="22">
        <v>0.4459038</v>
      </c>
      <c r="F230" s="22">
        <v>22.09232</v>
      </c>
      <c r="G230" s="22">
        <v>2.74463</v>
      </c>
      <c r="H230" s="22">
        <v>49.34</v>
      </c>
      <c r="I230" s="22">
        <v>48.04</v>
      </c>
      <c r="J230" s="22">
        <v>14.0523</v>
      </c>
      <c r="K230" s="22">
        <v>19.6496</v>
      </c>
      <c r="L230" s="22">
        <v>55.7</v>
      </c>
      <c r="M230" s="22">
        <v>48.3</v>
      </c>
      <c r="N230" s="22">
        <v>6.37887</v>
      </c>
      <c r="O230" s="22">
        <v>6.23859</v>
      </c>
      <c r="P230" s="126">
        <v>2.668248169690822</v>
      </c>
      <c r="Q230" s="126">
        <v>6.690008926604236</v>
      </c>
    </row>
    <row r="231">
      <c r="A231" s="22">
        <v>2015.0</v>
      </c>
      <c r="B231" s="22" t="s">
        <v>1219</v>
      </c>
      <c r="C231" s="22">
        <v>2127.26</v>
      </c>
      <c r="D231" s="22">
        <v>0.0314228</v>
      </c>
      <c r="E231" s="22">
        <v>0.5115235</v>
      </c>
      <c r="F231" s="22">
        <v>20.772</v>
      </c>
      <c r="G231" s="22">
        <v>0.69051</v>
      </c>
      <c r="H231" s="22">
        <v>48.04</v>
      </c>
      <c r="I231" s="22">
        <v>46.98</v>
      </c>
      <c r="J231" s="22">
        <v>19.6496</v>
      </c>
      <c r="K231" s="22">
        <v>28.8466</v>
      </c>
      <c r="L231" s="22">
        <v>48.3</v>
      </c>
      <c r="M231" s="22">
        <v>43.3</v>
      </c>
      <c r="N231" s="22">
        <v>6.23859</v>
      </c>
      <c r="O231" s="32"/>
      <c r="P231" s="126">
        <v>0.6312009051757544</v>
      </c>
      <c r="Q231" s="126">
        <v>6.98715430598611</v>
      </c>
    </row>
    <row r="232">
      <c r="A232" s="22">
        <v>2014.0</v>
      </c>
      <c r="B232" s="22" t="s">
        <v>1219</v>
      </c>
      <c r="C232" s="22">
        <v>3468.11</v>
      </c>
      <c r="D232" s="22">
        <v>0.0201281</v>
      </c>
      <c r="E232" s="22">
        <v>0.5077071</v>
      </c>
      <c r="F232" s="22">
        <v>20.24697</v>
      </c>
      <c r="G232" s="22">
        <v>2.87318</v>
      </c>
      <c r="H232" s="22">
        <v>46.98</v>
      </c>
      <c r="I232" s="32"/>
      <c r="J232" s="22">
        <v>28.8466</v>
      </c>
      <c r="K232" s="32"/>
      <c r="L232" s="22">
        <v>43.3</v>
      </c>
      <c r="M232" s="32"/>
      <c r="N232" s="32"/>
      <c r="O232" s="32"/>
      <c r="P232" s="126">
        <v>4.084554466376173</v>
      </c>
      <c r="Q232" s="126">
        <v>6.422243121185673</v>
      </c>
    </row>
    <row r="233">
      <c r="A233" s="22">
        <v>2024.0</v>
      </c>
      <c r="B233" s="22" t="s">
        <v>1220</v>
      </c>
      <c r="C233" s="22">
        <v>13264.7</v>
      </c>
      <c r="D233" s="22">
        <v>0.0786886</v>
      </c>
      <c r="E233" s="22">
        <v>0.3555242</v>
      </c>
      <c r="F233" s="22">
        <v>18.89289</v>
      </c>
      <c r="G233" s="22">
        <v>1.19261</v>
      </c>
      <c r="H233" s="22">
        <v>57.56</v>
      </c>
      <c r="I233" s="22">
        <v>56.57</v>
      </c>
      <c r="J233" s="22">
        <v>23.6602</v>
      </c>
      <c r="K233" s="22">
        <v>21.6149</v>
      </c>
      <c r="L233" s="22">
        <v>59.3</v>
      </c>
      <c r="M233" s="22">
        <v>56.3</v>
      </c>
      <c r="N233" s="32"/>
      <c r="O233" s="22">
        <v>2.65769</v>
      </c>
      <c r="P233" s="126">
        <v>3.621092738858435</v>
      </c>
      <c r="Q233" s="126">
        <v>7.091187466339747</v>
      </c>
    </row>
    <row r="234">
      <c r="A234" s="22">
        <v>2023.0</v>
      </c>
      <c r="B234" s="22" t="s">
        <v>1220</v>
      </c>
      <c r="C234" s="22">
        <v>9191.49</v>
      </c>
      <c r="D234" s="22">
        <v>0.008607</v>
      </c>
      <c r="E234" s="22">
        <v>0.3675779</v>
      </c>
      <c r="F234" s="22">
        <v>18.1078</v>
      </c>
      <c r="G234" s="22">
        <v>-0.32456</v>
      </c>
      <c r="H234" s="22">
        <v>56.57</v>
      </c>
      <c r="I234" s="22">
        <v>55.52</v>
      </c>
      <c r="J234" s="22">
        <v>21.6149</v>
      </c>
      <c r="K234" s="22">
        <v>18.1757</v>
      </c>
      <c r="L234" s="22">
        <v>56.3</v>
      </c>
      <c r="M234" s="22">
        <v>54.0</v>
      </c>
      <c r="N234" s="22">
        <v>2.65769</v>
      </c>
      <c r="O234" s="22">
        <v>3.0271</v>
      </c>
      <c r="P234" s="126">
        <v>3.252892826676616</v>
      </c>
      <c r="Q234" s="126">
        <v>5.06502391455075</v>
      </c>
    </row>
    <row r="235">
      <c r="A235" s="22">
        <v>2022.0</v>
      </c>
      <c r="B235" s="22" t="s">
        <v>1220</v>
      </c>
      <c r="C235" s="22">
        <v>4233.24</v>
      </c>
      <c r="D235" s="22">
        <v>0.002686</v>
      </c>
      <c r="E235" s="22">
        <v>0.3872822</v>
      </c>
      <c r="F235" s="22">
        <v>18.50019</v>
      </c>
      <c r="G235" s="22">
        <v>-0.11595</v>
      </c>
      <c r="H235" s="22">
        <v>55.52</v>
      </c>
      <c r="I235" s="22">
        <v>53.94</v>
      </c>
      <c r="J235" s="22">
        <v>18.1757</v>
      </c>
      <c r="K235" s="22">
        <v>12.1839</v>
      </c>
      <c r="L235" s="22">
        <v>54.0</v>
      </c>
      <c r="M235" s="22">
        <v>50.3</v>
      </c>
      <c r="N235" s="22">
        <v>3.0271</v>
      </c>
      <c r="O235" s="22">
        <v>4.15812</v>
      </c>
      <c r="P235" s="126">
        <v>3.156507499631293</v>
      </c>
      <c r="Q235" s="126">
        <v>8.537500467557877</v>
      </c>
    </row>
    <row r="236">
      <c r="A236" s="22">
        <v>2021.0</v>
      </c>
      <c r="B236" s="22" t="s">
        <v>1220</v>
      </c>
      <c r="C236" s="22">
        <v>18615.0</v>
      </c>
      <c r="D236" s="22">
        <v>0.0047109</v>
      </c>
      <c r="E236" s="22">
        <v>0.438036</v>
      </c>
      <c r="F236" s="22">
        <v>18.62344</v>
      </c>
      <c r="G236" s="22">
        <v>-0.24194</v>
      </c>
      <c r="H236" s="22">
        <v>53.94</v>
      </c>
      <c r="I236" s="22">
        <v>54.56</v>
      </c>
      <c r="J236" s="22">
        <v>12.1839</v>
      </c>
      <c r="K236" s="22">
        <v>12.2739</v>
      </c>
      <c r="L236" s="22">
        <v>50.3</v>
      </c>
      <c r="M236" s="22">
        <v>45.7</v>
      </c>
      <c r="N236" s="22">
        <v>4.15812</v>
      </c>
      <c r="O236" s="22">
        <v>3.55715</v>
      </c>
      <c r="P236" s="126">
        <v>1.834715548104437</v>
      </c>
      <c r="Q236" s="126">
        <v>2.553728526481308</v>
      </c>
    </row>
    <row r="237">
      <c r="A237" s="22">
        <v>2020.0</v>
      </c>
      <c r="B237" s="22" t="s">
        <v>1220</v>
      </c>
      <c r="C237" s="22">
        <v>3734.48</v>
      </c>
      <c r="D237" s="22">
        <v>0.1134426</v>
      </c>
      <c r="E237" s="22">
        <v>0.1111233</v>
      </c>
      <c r="F237" s="22">
        <v>18.90043</v>
      </c>
      <c r="G237" s="22">
        <v>-0.04967</v>
      </c>
      <c r="H237" s="22">
        <v>54.56</v>
      </c>
      <c r="I237" s="22">
        <v>52.92</v>
      </c>
      <c r="J237" s="22">
        <v>12.2739</v>
      </c>
      <c r="K237" s="22">
        <v>11.3076</v>
      </c>
      <c r="L237" s="22">
        <v>45.7</v>
      </c>
      <c r="M237" s="22">
        <v>43.3</v>
      </c>
      <c r="N237" s="22">
        <v>3.55715</v>
      </c>
      <c r="O237" s="22">
        <v>2.50067</v>
      </c>
      <c r="P237" s="126">
        <v>3.220934366525141</v>
      </c>
      <c r="Q237" s="126">
        <v>2.865413209122721</v>
      </c>
    </row>
    <row r="238">
      <c r="A238" s="22">
        <v>2019.0</v>
      </c>
      <c r="B238" s="22" t="s">
        <v>1220</v>
      </c>
      <c r="C238" s="22">
        <v>801.993</v>
      </c>
      <c r="D238" s="22">
        <v>0.2538481</v>
      </c>
      <c r="E238" s="22">
        <v>0.0838525</v>
      </c>
      <c r="F238" s="22">
        <v>18.95138</v>
      </c>
      <c r="G238" s="22">
        <v>0.62419</v>
      </c>
      <c r="H238" s="22">
        <v>52.92</v>
      </c>
      <c r="I238" s="22">
        <v>51.32</v>
      </c>
      <c r="J238" s="22">
        <v>11.3076</v>
      </c>
      <c r="K238" s="22">
        <v>11.3396</v>
      </c>
      <c r="L238" s="22">
        <v>43.3</v>
      </c>
      <c r="M238" s="22">
        <v>40.7</v>
      </c>
      <c r="N238" s="22">
        <v>2.50067</v>
      </c>
      <c r="O238" s="22">
        <v>2.16564</v>
      </c>
      <c r="P238" s="126">
        <v>2.795823674522497</v>
      </c>
      <c r="Q238" s="126">
        <v>7.359262701050056</v>
      </c>
    </row>
    <row r="239">
      <c r="A239" s="22">
        <v>2018.0</v>
      </c>
      <c r="B239" s="22" t="s">
        <v>1220</v>
      </c>
      <c r="C239" s="22">
        <v>787.91</v>
      </c>
      <c r="D239" s="22">
        <v>0.1458979</v>
      </c>
      <c r="E239" s="22">
        <v>0.0501109</v>
      </c>
      <c r="F239" s="22">
        <v>18.46637</v>
      </c>
      <c r="G239" s="22">
        <v>0.13296</v>
      </c>
      <c r="H239" s="22">
        <v>51.32</v>
      </c>
      <c r="I239" s="22">
        <v>50.65</v>
      </c>
      <c r="J239" s="22">
        <v>11.3396</v>
      </c>
      <c r="K239" s="22">
        <v>12.4741</v>
      </c>
      <c r="L239" s="22">
        <v>40.7</v>
      </c>
      <c r="M239" s="22">
        <v>39.0</v>
      </c>
      <c r="N239" s="22">
        <v>2.16564</v>
      </c>
      <c r="O239" s="22">
        <v>1.50444</v>
      </c>
      <c r="P239" s="126">
        <v>3.539628059426409</v>
      </c>
      <c r="Q239" s="126">
        <v>7.465006855727509</v>
      </c>
    </row>
    <row r="240">
      <c r="A240" s="22">
        <v>2017.0</v>
      </c>
      <c r="B240" s="22" t="s">
        <v>1220</v>
      </c>
      <c r="C240" s="22">
        <v>1044.13</v>
      </c>
      <c r="D240" s="22">
        <v>0.1469781</v>
      </c>
      <c r="E240" s="22">
        <v>0.0454678</v>
      </c>
      <c r="F240" s="22">
        <v>18.34154</v>
      </c>
      <c r="G240" s="22">
        <v>-0.38277</v>
      </c>
      <c r="H240" s="22">
        <v>50.65</v>
      </c>
      <c r="I240" s="22">
        <v>49.34</v>
      </c>
      <c r="J240" s="22">
        <v>12.4741</v>
      </c>
      <c r="K240" s="22">
        <v>14.0523</v>
      </c>
      <c r="L240" s="22">
        <v>39.0</v>
      </c>
      <c r="M240" s="22">
        <v>37.7</v>
      </c>
      <c r="N240" s="22">
        <v>1.50444</v>
      </c>
      <c r="O240" s="22">
        <v>1.20139</v>
      </c>
      <c r="P240" s="126">
        <v>3.520256888116174</v>
      </c>
      <c r="Q240" s="126">
        <v>6.94019037359206</v>
      </c>
    </row>
    <row r="241">
      <c r="A241" s="22">
        <v>2016.0</v>
      </c>
      <c r="B241" s="22" t="s">
        <v>1220</v>
      </c>
      <c r="C241" s="22">
        <v>1347.68</v>
      </c>
      <c r="D241" s="22">
        <v>0.1137686</v>
      </c>
      <c r="E241" s="22">
        <v>0.0733761</v>
      </c>
      <c r="F241" s="22">
        <v>18.82406</v>
      </c>
      <c r="G241" s="22">
        <v>0.00691</v>
      </c>
      <c r="H241" s="22">
        <v>49.34</v>
      </c>
      <c r="I241" s="22">
        <v>48.04</v>
      </c>
      <c r="J241" s="22">
        <v>14.0523</v>
      </c>
      <c r="K241" s="22">
        <v>19.6496</v>
      </c>
      <c r="L241" s="22">
        <v>37.7</v>
      </c>
      <c r="M241" s="22">
        <v>36.6</v>
      </c>
      <c r="N241" s="22">
        <v>1.20139</v>
      </c>
      <c r="O241" s="22">
        <v>3.19427</v>
      </c>
      <c r="P241" s="126">
        <v>2.668248169690822</v>
      </c>
      <c r="Q241" s="126">
        <v>6.690008926604236</v>
      </c>
    </row>
    <row r="242">
      <c r="A242" s="22">
        <v>2015.0</v>
      </c>
      <c r="B242" s="22" t="s">
        <v>1220</v>
      </c>
      <c r="C242" s="22">
        <v>933.07</v>
      </c>
      <c r="D242" s="22">
        <v>0.0943067</v>
      </c>
      <c r="E242" s="22">
        <v>0.3207643</v>
      </c>
      <c r="F242" s="22">
        <v>18.81717</v>
      </c>
      <c r="G242" s="22">
        <v>1.58287</v>
      </c>
      <c r="H242" s="22">
        <v>48.04</v>
      </c>
      <c r="I242" s="22">
        <v>46.98</v>
      </c>
      <c r="J242" s="22">
        <v>19.6496</v>
      </c>
      <c r="K242" s="22">
        <v>28.8466</v>
      </c>
      <c r="L242" s="22">
        <v>36.6</v>
      </c>
      <c r="M242" s="22">
        <v>31.7</v>
      </c>
      <c r="N242" s="22">
        <v>3.19427</v>
      </c>
      <c r="O242" s="32"/>
      <c r="P242" s="126">
        <v>0.6312009051757544</v>
      </c>
      <c r="Q242" s="126">
        <v>6.98715430598611</v>
      </c>
    </row>
    <row r="243">
      <c r="A243" s="22">
        <v>2014.0</v>
      </c>
      <c r="B243" s="22" t="s">
        <v>1220</v>
      </c>
      <c r="C243" s="22">
        <v>783.065</v>
      </c>
      <c r="D243" s="22">
        <v>0.0450726</v>
      </c>
      <c r="E243" s="22">
        <v>0.2030983</v>
      </c>
      <c r="F243" s="22">
        <v>17.86827</v>
      </c>
      <c r="G243" s="22">
        <v>-0.95395</v>
      </c>
      <c r="H243" s="22">
        <v>46.98</v>
      </c>
      <c r="I243" s="32"/>
      <c r="J243" s="22">
        <v>28.8466</v>
      </c>
      <c r="K243" s="32"/>
      <c r="L243" s="22">
        <v>31.7</v>
      </c>
      <c r="M243" s="32"/>
      <c r="N243" s="32"/>
      <c r="O243" s="32"/>
      <c r="P243" s="126">
        <v>4.084554466376173</v>
      </c>
      <c r="Q243" s="126">
        <v>6.422243121185673</v>
      </c>
    </row>
    <row r="244">
      <c r="A244" s="22">
        <v>2024.0</v>
      </c>
      <c r="B244" s="22" t="s">
        <v>1224</v>
      </c>
      <c r="C244" s="22">
        <v>213.407</v>
      </c>
      <c r="D244" s="22">
        <v>0.0196689</v>
      </c>
      <c r="E244" s="22">
        <v>0.65205</v>
      </c>
      <c r="F244" s="22">
        <v>20.9463</v>
      </c>
      <c r="G244" s="22">
        <v>-0.64733</v>
      </c>
      <c r="H244" s="22">
        <v>57.56</v>
      </c>
      <c r="I244" s="22">
        <v>56.57</v>
      </c>
      <c r="J244" s="22">
        <v>23.6602</v>
      </c>
      <c r="K244" s="22">
        <v>21.6149</v>
      </c>
      <c r="L244" s="22">
        <v>71.3</v>
      </c>
      <c r="M244" s="22">
        <v>68.6</v>
      </c>
      <c r="N244" s="32"/>
      <c r="O244" s="22">
        <v>3.53034</v>
      </c>
      <c r="P244" s="126">
        <v>3.621092738858435</v>
      </c>
      <c r="Q244" s="126">
        <v>7.091187466339747</v>
      </c>
    </row>
    <row r="245">
      <c r="A245" s="22">
        <v>2023.0</v>
      </c>
      <c r="B245" s="22" t="s">
        <v>1224</v>
      </c>
      <c r="C245" s="22">
        <v>127.668</v>
      </c>
      <c r="D245" s="22">
        <v>0.0168065</v>
      </c>
      <c r="E245" s="22">
        <v>0.7715374</v>
      </c>
      <c r="F245" s="22">
        <v>21.98852</v>
      </c>
      <c r="G245" s="22">
        <v>-0.49898</v>
      </c>
      <c r="H245" s="22">
        <v>56.57</v>
      </c>
      <c r="I245" s="22">
        <v>55.52</v>
      </c>
      <c r="J245" s="22">
        <v>21.6149</v>
      </c>
      <c r="K245" s="22">
        <v>18.1757</v>
      </c>
      <c r="L245" s="22">
        <v>68.6</v>
      </c>
      <c r="M245" s="22">
        <v>64.3</v>
      </c>
      <c r="N245" s="22">
        <v>3.53034</v>
      </c>
      <c r="O245" s="22">
        <v>4.3</v>
      </c>
      <c r="P245" s="126">
        <v>3.252892826676616</v>
      </c>
      <c r="Q245" s="126">
        <v>5.06502391455075</v>
      </c>
    </row>
    <row r="246">
      <c r="A246" s="22">
        <v>2022.0</v>
      </c>
      <c r="B246" s="22" t="s">
        <v>1224</v>
      </c>
      <c r="C246" s="22">
        <v>86.979</v>
      </c>
      <c r="D246" s="22">
        <v>0.0115127</v>
      </c>
      <c r="E246" s="22">
        <v>0.8628789</v>
      </c>
      <c r="F246" s="22">
        <v>22.67962</v>
      </c>
      <c r="G246" s="22">
        <v>-0.42547</v>
      </c>
      <c r="H246" s="22">
        <v>55.52</v>
      </c>
      <c r="I246" s="22">
        <v>53.94</v>
      </c>
      <c r="J246" s="22">
        <v>18.1757</v>
      </c>
      <c r="K246" s="22">
        <v>12.1839</v>
      </c>
      <c r="L246" s="22">
        <v>64.3</v>
      </c>
      <c r="M246" s="22">
        <v>60.0</v>
      </c>
      <c r="N246" s="22">
        <v>4.3</v>
      </c>
      <c r="O246" s="22">
        <v>2.40069</v>
      </c>
      <c r="P246" s="126">
        <v>3.156507499631293</v>
      </c>
      <c r="Q246" s="126">
        <v>8.537500467557877</v>
      </c>
    </row>
    <row r="247">
      <c r="A247" s="22">
        <v>2021.0</v>
      </c>
      <c r="B247" s="22" t="s">
        <v>1224</v>
      </c>
      <c r="C247" s="22">
        <v>77.2345</v>
      </c>
      <c r="D247" s="22">
        <v>0.0037316</v>
      </c>
      <c r="E247" s="22">
        <v>0.9279854</v>
      </c>
      <c r="F247" s="22">
        <v>23.23383</v>
      </c>
      <c r="G247" s="22">
        <v>-0.32138</v>
      </c>
      <c r="H247" s="22">
        <v>53.94</v>
      </c>
      <c r="I247" s="22">
        <v>54.56</v>
      </c>
      <c r="J247" s="22">
        <v>12.1839</v>
      </c>
      <c r="K247" s="22">
        <v>12.2739</v>
      </c>
      <c r="L247" s="22">
        <v>60.0</v>
      </c>
      <c r="M247" s="22">
        <v>60.3</v>
      </c>
      <c r="N247" s="22">
        <v>2.40069</v>
      </c>
      <c r="O247" s="22">
        <v>1.25033</v>
      </c>
      <c r="P247" s="126">
        <v>1.834715548104437</v>
      </c>
      <c r="Q247" s="126">
        <v>2.553728526481308</v>
      </c>
    </row>
    <row r="248">
      <c r="A248" s="22">
        <v>2020.0</v>
      </c>
      <c r="B248" s="22" t="s">
        <v>1224</v>
      </c>
      <c r="C248" s="22">
        <v>29.874</v>
      </c>
      <c r="D248" s="22">
        <v>0.0044968</v>
      </c>
      <c r="E248" s="22">
        <v>0.9562017</v>
      </c>
      <c r="F248" s="22">
        <v>23.62152</v>
      </c>
      <c r="G248" s="22">
        <v>-0.0053</v>
      </c>
      <c r="H248" s="22">
        <v>54.56</v>
      </c>
      <c r="I248" s="22">
        <v>52.92</v>
      </c>
      <c r="J248" s="22">
        <v>12.2739</v>
      </c>
      <c r="K248" s="22">
        <v>11.3076</v>
      </c>
      <c r="L248" s="22">
        <v>60.3</v>
      </c>
      <c r="M248" s="22">
        <v>58.0</v>
      </c>
      <c r="N248" s="22">
        <v>1.25033</v>
      </c>
      <c r="O248" s="22">
        <v>3.0271</v>
      </c>
      <c r="P248" s="126">
        <v>3.220934366525141</v>
      </c>
      <c r="Q248" s="126">
        <v>2.865413209122721</v>
      </c>
    </row>
    <row r="249">
      <c r="A249" s="22">
        <v>2019.0</v>
      </c>
      <c r="B249" s="22" t="s">
        <v>1224</v>
      </c>
      <c r="C249" s="22">
        <v>29.2292</v>
      </c>
      <c r="D249" s="22">
        <v>0.0035535</v>
      </c>
      <c r="E249" s="22">
        <v>0.9622722</v>
      </c>
      <c r="F249" s="22">
        <v>23.62684</v>
      </c>
      <c r="G249" s="22">
        <v>0.20153</v>
      </c>
      <c r="H249" s="22">
        <v>52.92</v>
      </c>
      <c r="I249" s="22">
        <v>51.32</v>
      </c>
      <c r="J249" s="22">
        <v>11.3076</v>
      </c>
      <c r="K249" s="22">
        <v>11.3396</v>
      </c>
      <c r="L249" s="22">
        <v>58.0</v>
      </c>
      <c r="M249" s="22">
        <v>54.3</v>
      </c>
      <c r="N249" s="22">
        <v>3.0271</v>
      </c>
      <c r="O249" s="22">
        <v>2.89194</v>
      </c>
      <c r="P249" s="126">
        <v>2.795823674522497</v>
      </c>
      <c r="Q249" s="126">
        <v>7.359262701050056</v>
      </c>
    </row>
    <row r="250">
      <c r="A250" s="22">
        <v>2018.0</v>
      </c>
      <c r="B250" s="22" t="s">
        <v>1224</v>
      </c>
      <c r="C250" s="22">
        <v>21.8249</v>
      </c>
      <c r="D250" s="22">
        <v>0.0033479</v>
      </c>
      <c r="E250" s="22">
        <v>0.9650412</v>
      </c>
      <c r="F250" s="22">
        <v>23.44324</v>
      </c>
      <c r="G250" s="22">
        <v>0.03915</v>
      </c>
      <c r="H250" s="22">
        <v>51.32</v>
      </c>
      <c r="I250" s="22">
        <v>50.65</v>
      </c>
      <c r="J250" s="22">
        <v>11.3396</v>
      </c>
      <c r="K250" s="22">
        <v>12.4741</v>
      </c>
      <c r="L250" s="22">
        <v>54.3</v>
      </c>
      <c r="M250" s="22">
        <v>52.3</v>
      </c>
      <c r="N250" s="22">
        <v>2.89194</v>
      </c>
      <c r="O250" s="22">
        <v>2.30651</v>
      </c>
      <c r="P250" s="126">
        <v>3.539628059426409</v>
      </c>
      <c r="Q250" s="126">
        <v>7.465006855727509</v>
      </c>
    </row>
    <row r="251">
      <c r="A251" s="22">
        <v>2017.0</v>
      </c>
      <c r="B251" s="22" t="s">
        <v>1224</v>
      </c>
      <c r="C251" s="22">
        <v>19.4704</v>
      </c>
      <c r="D251" s="22">
        <v>0.0032702</v>
      </c>
      <c r="E251" s="22">
        <v>0.9640096</v>
      </c>
      <c r="F251" s="22">
        <v>23.40484</v>
      </c>
      <c r="G251" s="22">
        <v>0.12437</v>
      </c>
      <c r="H251" s="22">
        <v>50.65</v>
      </c>
      <c r="I251" s="22">
        <v>49.34</v>
      </c>
      <c r="J251" s="22">
        <v>12.4741</v>
      </c>
      <c r="K251" s="22">
        <v>14.0523</v>
      </c>
      <c r="L251" s="22">
        <v>52.3</v>
      </c>
      <c r="M251" s="22">
        <v>49.7</v>
      </c>
      <c r="N251" s="22">
        <v>2.30651</v>
      </c>
      <c r="O251" s="22">
        <v>2.02978</v>
      </c>
      <c r="P251" s="126">
        <v>3.520256888116174</v>
      </c>
      <c r="Q251" s="126">
        <v>6.94019037359206</v>
      </c>
    </row>
    <row r="252">
      <c r="A252" s="22">
        <v>2016.0</v>
      </c>
      <c r="B252" s="22" t="s">
        <v>1224</v>
      </c>
      <c r="C252" s="22">
        <v>19.9003</v>
      </c>
      <c r="D252" s="22">
        <v>0.0032114</v>
      </c>
      <c r="E252" s="22">
        <v>0.9650876</v>
      </c>
      <c r="F252" s="22">
        <v>23.28762</v>
      </c>
      <c r="G252" s="22">
        <v>0.10595</v>
      </c>
      <c r="H252" s="22">
        <v>49.34</v>
      </c>
      <c r="I252" s="22">
        <v>48.04</v>
      </c>
      <c r="J252" s="22">
        <v>14.0523</v>
      </c>
      <c r="K252" s="22">
        <v>19.6496</v>
      </c>
      <c r="L252" s="22">
        <v>49.7</v>
      </c>
      <c r="M252" s="22">
        <v>48.3</v>
      </c>
      <c r="N252" s="22">
        <v>2.02978</v>
      </c>
      <c r="O252" s="22">
        <v>3.93107</v>
      </c>
      <c r="P252" s="126">
        <v>2.668248169690822</v>
      </c>
      <c r="Q252" s="126">
        <v>6.690008926604236</v>
      </c>
    </row>
    <row r="253">
      <c r="A253" s="22">
        <v>2015.0</v>
      </c>
      <c r="B253" s="22" t="s">
        <v>1224</v>
      </c>
      <c r="C253" s="22">
        <v>20.7752</v>
      </c>
      <c r="D253" s="22">
        <v>0.0035929</v>
      </c>
      <c r="E253" s="22">
        <v>0.9705893</v>
      </c>
      <c r="F253" s="22">
        <v>23.18691</v>
      </c>
      <c r="G253" s="22">
        <v>0.03345</v>
      </c>
      <c r="H253" s="22">
        <v>48.04</v>
      </c>
      <c r="I253" s="22">
        <v>46.98</v>
      </c>
      <c r="J253" s="22">
        <v>19.6496</v>
      </c>
      <c r="K253" s="22">
        <v>28.8466</v>
      </c>
      <c r="L253" s="22">
        <v>48.3</v>
      </c>
      <c r="M253" s="22">
        <v>42.3</v>
      </c>
      <c r="N253" s="22">
        <v>3.93107</v>
      </c>
      <c r="O253" s="32"/>
      <c r="P253" s="126">
        <v>0.6312009051757544</v>
      </c>
      <c r="Q253" s="126">
        <v>6.98715430598611</v>
      </c>
    </row>
    <row r="254">
      <c r="A254" s="22">
        <v>2014.0</v>
      </c>
      <c r="B254" s="22" t="s">
        <v>1224</v>
      </c>
      <c r="C254" s="22">
        <v>13.9546</v>
      </c>
      <c r="D254" s="22">
        <v>0.0052057</v>
      </c>
      <c r="E254" s="22">
        <v>0.9678675</v>
      </c>
      <c r="F254" s="22">
        <v>23.15401</v>
      </c>
      <c r="G254" s="22">
        <v>1.03858</v>
      </c>
      <c r="H254" s="22">
        <v>46.98</v>
      </c>
      <c r="I254" s="32"/>
      <c r="J254" s="22">
        <v>28.8466</v>
      </c>
      <c r="K254" s="32"/>
      <c r="L254" s="22">
        <v>42.3</v>
      </c>
      <c r="M254" s="32"/>
      <c r="N254" s="32"/>
      <c r="O254" s="32"/>
      <c r="P254" s="126">
        <v>4.084554466376173</v>
      </c>
      <c r="Q254" s="126">
        <v>6.422243121185673</v>
      </c>
    </row>
    <row r="255">
      <c r="A255" s="22">
        <v>2024.0</v>
      </c>
      <c r="B255" s="22" t="s">
        <v>1280</v>
      </c>
      <c r="C255" s="22">
        <v>766.552</v>
      </c>
      <c r="D255" s="22">
        <v>0.1159575</v>
      </c>
      <c r="E255" s="22">
        <v>0.3120745</v>
      </c>
      <c r="F255" s="22">
        <v>22.44176</v>
      </c>
      <c r="G255" s="22">
        <v>0.74939</v>
      </c>
      <c r="H255" s="22">
        <v>57.56</v>
      </c>
      <c r="I255" s="22">
        <v>56.57</v>
      </c>
      <c r="J255" s="22">
        <v>23.6602</v>
      </c>
      <c r="K255" s="22">
        <v>21.6149</v>
      </c>
      <c r="L255" s="22">
        <v>64.1</v>
      </c>
      <c r="M255" s="22">
        <v>60.0</v>
      </c>
      <c r="N255" s="32"/>
      <c r="O255" s="22">
        <v>4.11</v>
      </c>
      <c r="P255" s="126">
        <v>3.621092738858435</v>
      </c>
      <c r="Q255" s="126">
        <v>7.091187466339747</v>
      </c>
    </row>
    <row r="256">
      <c r="A256" s="22">
        <v>2023.0</v>
      </c>
      <c r="B256" s="22" t="s">
        <v>1280</v>
      </c>
      <c r="C256" s="22">
        <v>547.532</v>
      </c>
      <c r="D256" s="22">
        <v>0.0572239</v>
      </c>
      <c r="E256" s="22">
        <v>0.3841428</v>
      </c>
      <c r="F256" s="22">
        <v>21.88249</v>
      </c>
      <c r="G256" s="22">
        <v>0.31691</v>
      </c>
      <c r="H256" s="22">
        <v>56.57</v>
      </c>
      <c r="I256" s="22">
        <v>55.52</v>
      </c>
      <c r="J256" s="22">
        <v>21.6149</v>
      </c>
      <c r="K256" s="22">
        <v>18.1757</v>
      </c>
      <c r="L256" s="22">
        <v>60.0</v>
      </c>
      <c r="M256" s="22">
        <v>55.9</v>
      </c>
      <c r="N256" s="22">
        <v>4.11</v>
      </c>
      <c r="O256" s="22">
        <v>3.8527</v>
      </c>
      <c r="P256" s="126">
        <v>3.252892826676616</v>
      </c>
      <c r="Q256" s="126">
        <v>5.06502391455075</v>
      </c>
    </row>
    <row r="257">
      <c r="A257" s="22">
        <v>2022.0</v>
      </c>
      <c r="B257" s="22" t="s">
        <v>1280</v>
      </c>
      <c r="C257" s="22">
        <v>569.744</v>
      </c>
      <c r="D257" s="22">
        <v>0.1821973</v>
      </c>
      <c r="E257" s="22">
        <v>0.4294253</v>
      </c>
      <c r="F257" s="22">
        <v>21.60721</v>
      </c>
      <c r="G257" s="22">
        <v>0.69991</v>
      </c>
      <c r="H257" s="22">
        <v>55.52</v>
      </c>
      <c r="I257" s="22">
        <v>53.94</v>
      </c>
      <c r="J257" s="22">
        <v>18.1757</v>
      </c>
      <c r="K257" s="22">
        <v>12.1839</v>
      </c>
      <c r="L257" s="22">
        <v>55.9</v>
      </c>
      <c r="M257" s="22">
        <v>52.3</v>
      </c>
      <c r="N257" s="22">
        <v>3.8527</v>
      </c>
      <c r="O257" s="22">
        <v>4.9034</v>
      </c>
      <c r="P257" s="126">
        <v>3.156507499631293</v>
      </c>
      <c r="Q257" s="126">
        <v>8.537500467557877</v>
      </c>
    </row>
    <row r="258">
      <c r="A258" s="22">
        <v>2021.0</v>
      </c>
      <c r="B258" s="22" t="s">
        <v>1280</v>
      </c>
      <c r="C258" s="22">
        <v>902.096</v>
      </c>
      <c r="D258" s="22">
        <v>0.1785119</v>
      </c>
      <c r="E258" s="22">
        <v>0.632599</v>
      </c>
      <c r="F258" s="22">
        <v>21.07663</v>
      </c>
      <c r="G258" s="22">
        <v>0.11476</v>
      </c>
      <c r="H258" s="22">
        <v>53.94</v>
      </c>
      <c r="I258" s="22">
        <v>54.56</v>
      </c>
      <c r="J258" s="22">
        <v>12.1839</v>
      </c>
      <c r="K258" s="22">
        <v>12.2739</v>
      </c>
      <c r="L258" s="22">
        <v>52.3</v>
      </c>
      <c r="M258" s="22">
        <v>46.2</v>
      </c>
      <c r="N258" s="22">
        <v>4.9034</v>
      </c>
      <c r="O258" s="22">
        <v>4.38216</v>
      </c>
      <c r="P258" s="126">
        <v>1.834715548104437</v>
      </c>
      <c r="Q258" s="126">
        <v>2.553728526481308</v>
      </c>
    </row>
    <row r="259">
      <c r="A259" s="22">
        <v>2020.0</v>
      </c>
      <c r="B259" s="22" t="s">
        <v>1280</v>
      </c>
      <c r="C259" s="22">
        <v>108.017</v>
      </c>
      <c r="D259" s="22">
        <v>-0.0669746</v>
      </c>
      <c r="E259" s="22">
        <v>0.8181311</v>
      </c>
      <c r="F259" s="22">
        <v>20.96799</v>
      </c>
      <c r="G259" s="22">
        <v>-0.16974</v>
      </c>
      <c r="H259" s="22">
        <v>54.56</v>
      </c>
      <c r="I259" s="22">
        <v>52.92</v>
      </c>
      <c r="J259" s="22">
        <v>12.2739</v>
      </c>
      <c r="K259" s="22">
        <v>11.3076</v>
      </c>
      <c r="L259" s="22">
        <v>46.2</v>
      </c>
      <c r="M259" s="22">
        <v>43.8</v>
      </c>
      <c r="N259" s="22">
        <v>4.38216</v>
      </c>
      <c r="O259" s="22">
        <v>2.50067</v>
      </c>
      <c r="P259" s="126">
        <v>3.220934366525141</v>
      </c>
      <c r="Q259" s="126">
        <v>2.865413209122721</v>
      </c>
    </row>
    <row r="260">
      <c r="A260" s="22">
        <v>2019.0</v>
      </c>
      <c r="B260" s="22" t="s">
        <v>1280</v>
      </c>
      <c r="C260" s="22">
        <v>69.6833</v>
      </c>
      <c r="D260" s="22">
        <v>0.0156126</v>
      </c>
      <c r="E260" s="22">
        <v>0.7732289</v>
      </c>
      <c r="F260" s="22">
        <v>21.154</v>
      </c>
      <c r="G260" s="22">
        <v>-0.08589</v>
      </c>
      <c r="H260" s="22">
        <v>52.92</v>
      </c>
      <c r="I260" s="22">
        <v>51.32</v>
      </c>
      <c r="J260" s="22">
        <v>11.3076</v>
      </c>
      <c r="K260" s="22">
        <v>11.3396</v>
      </c>
      <c r="L260" s="22">
        <v>43.8</v>
      </c>
      <c r="M260" s="22">
        <v>41.2</v>
      </c>
      <c r="N260" s="22">
        <v>2.50067</v>
      </c>
      <c r="O260" s="22">
        <v>2.65016</v>
      </c>
      <c r="P260" s="126">
        <v>2.795823674522497</v>
      </c>
      <c r="Q260" s="126">
        <v>7.359262701050056</v>
      </c>
    </row>
    <row r="261">
      <c r="A261" s="22">
        <v>2018.0</v>
      </c>
      <c r="B261" s="22" t="s">
        <v>1280</v>
      </c>
      <c r="C261" s="22">
        <v>59.0911</v>
      </c>
      <c r="D261" s="22">
        <v>0.0047014</v>
      </c>
      <c r="E261" s="22">
        <v>0.8204628</v>
      </c>
      <c r="F261" s="22">
        <v>21.2438</v>
      </c>
      <c r="G261" s="22">
        <v>0.04404</v>
      </c>
      <c r="H261" s="22">
        <v>51.32</v>
      </c>
      <c r="I261" s="22">
        <v>50.65</v>
      </c>
      <c r="J261" s="22">
        <v>11.3396</v>
      </c>
      <c r="K261" s="22">
        <v>12.4741</v>
      </c>
      <c r="L261" s="22">
        <v>41.2</v>
      </c>
      <c r="M261" s="22">
        <v>38.5</v>
      </c>
      <c r="N261" s="22">
        <v>2.65016</v>
      </c>
      <c r="O261" s="22">
        <v>2.75015</v>
      </c>
      <c r="P261" s="126">
        <v>3.539628059426409</v>
      </c>
      <c r="Q261" s="126">
        <v>7.465006855727509</v>
      </c>
    </row>
    <row r="262">
      <c r="A262" s="22">
        <v>2017.0</v>
      </c>
      <c r="B262" s="22" t="s">
        <v>1280</v>
      </c>
      <c r="C262" s="22">
        <v>114.148</v>
      </c>
      <c r="D262" s="22">
        <v>0.0027785</v>
      </c>
      <c r="E262" s="22">
        <v>0.8347911</v>
      </c>
      <c r="F262" s="22">
        <v>21.20071</v>
      </c>
      <c r="G262" s="22">
        <v>0.28123</v>
      </c>
      <c r="H262" s="22">
        <v>50.65</v>
      </c>
      <c r="I262" s="22">
        <v>49.34</v>
      </c>
      <c r="J262" s="22">
        <v>12.4741</v>
      </c>
      <c r="K262" s="22">
        <v>14.0523</v>
      </c>
      <c r="L262" s="22">
        <v>38.5</v>
      </c>
      <c r="M262" s="22">
        <v>35.7</v>
      </c>
      <c r="N262" s="22">
        <v>2.75015</v>
      </c>
      <c r="O262" s="22">
        <v>2.55408</v>
      </c>
      <c r="P262" s="126">
        <v>3.520256888116174</v>
      </c>
      <c r="Q262" s="126">
        <v>6.94019037359206</v>
      </c>
    </row>
    <row r="263">
      <c r="A263" s="22">
        <v>2016.0</v>
      </c>
      <c r="B263" s="22" t="s">
        <v>1280</v>
      </c>
      <c r="C263" s="22">
        <v>32.2104</v>
      </c>
      <c r="D263" s="22">
        <v>-0.0847381</v>
      </c>
      <c r="E263" s="22">
        <v>0.8516532</v>
      </c>
      <c r="F263" s="22">
        <v>20.95288</v>
      </c>
      <c r="G263" s="22">
        <v>-0.24884</v>
      </c>
      <c r="H263" s="22">
        <v>49.34</v>
      </c>
      <c r="I263" s="22">
        <v>48.04</v>
      </c>
      <c r="J263" s="22">
        <v>14.0523</v>
      </c>
      <c r="K263" s="22">
        <v>19.6496</v>
      </c>
      <c r="L263" s="22">
        <v>35.7</v>
      </c>
      <c r="M263" s="22">
        <v>33.4</v>
      </c>
      <c r="N263" s="22">
        <v>2.55408</v>
      </c>
      <c r="O263" s="22">
        <v>1.73494</v>
      </c>
      <c r="P263" s="126">
        <v>2.668248169690822</v>
      </c>
      <c r="Q263" s="126">
        <v>6.690008926604236</v>
      </c>
    </row>
    <row r="264">
      <c r="A264" s="22">
        <v>2015.0</v>
      </c>
      <c r="B264" s="22" t="s">
        <v>1280</v>
      </c>
      <c r="C264" s="22">
        <v>76.6328</v>
      </c>
      <c r="D264" s="22">
        <v>-0.063818</v>
      </c>
      <c r="E264" s="22">
        <v>0.7825128</v>
      </c>
      <c r="F264" s="22">
        <v>21.23902</v>
      </c>
      <c r="G264" s="22">
        <v>-0.17777</v>
      </c>
      <c r="H264" s="22">
        <v>48.04</v>
      </c>
      <c r="I264" s="22">
        <v>46.98</v>
      </c>
      <c r="J264" s="22">
        <v>19.6496</v>
      </c>
      <c r="K264" s="22">
        <v>28.8466</v>
      </c>
      <c r="L264" s="22">
        <v>33.4</v>
      </c>
      <c r="M264" s="22">
        <v>32.3</v>
      </c>
      <c r="N264" s="22">
        <v>1.73494</v>
      </c>
      <c r="O264" s="32"/>
      <c r="P264" s="126">
        <v>0.6312009051757544</v>
      </c>
      <c r="Q264" s="126">
        <v>6.98715430598611</v>
      </c>
    </row>
    <row r="265">
      <c r="A265" s="22">
        <v>2014.0</v>
      </c>
      <c r="B265" s="22" t="s">
        <v>1280</v>
      </c>
      <c r="C265" s="22">
        <v>157.057</v>
      </c>
      <c r="D265" s="22">
        <v>0.0142921</v>
      </c>
      <c r="E265" s="22">
        <v>0.747196</v>
      </c>
      <c r="F265" s="22">
        <v>21.43476</v>
      </c>
      <c r="G265" s="22">
        <v>133.842</v>
      </c>
      <c r="H265" s="22">
        <v>46.98</v>
      </c>
      <c r="I265" s="32"/>
      <c r="J265" s="22">
        <v>28.8466</v>
      </c>
      <c r="K265" s="32"/>
      <c r="L265" s="22">
        <v>32.3</v>
      </c>
      <c r="M265" s="32"/>
      <c r="N265" s="32"/>
      <c r="O265" s="32"/>
      <c r="P265" s="126">
        <v>4.084554466376173</v>
      </c>
      <c r="Q265" s="126">
        <v>6.422243121185673</v>
      </c>
    </row>
    <row r="266">
      <c r="A266" s="22">
        <v>2024.0</v>
      </c>
      <c r="B266" s="22" t="s">
        <v>1336</v>
      </c>
      <c r="C266" s="22">
        <v>333.701</v>
      </c>
      <c r="D266" s="22">
        <v>0.0010159</v>
      </c>
      <c r="E266" s="22">
        <v>0.2747569</v>
      </c>
      <c r="F266" s="22">
        <v>16.53065</v>
      </c>
      <c r="G266" s="22">
        <v>2.8619</v>
      </c>
      <c r="H266" s="22">
        <v>57.56</v>
      </c>
      <c r="I266" s="22">
        <v>56.57</v>
      </c>
      <c r="J266" s="22">
        <v>23.6602</v>
      </c>
      <c r="K266" s="22">
        <v>21.6149</v>
      </c>
      <c r="L266" s="22">
        <v>54.9</v>
      </c>
      <c r="M266" s="22">
        <v>51.6</v>
      </c>
      <c r="N266" s="32"/>
      <c r="O266" s="22">
        <v>3.00347</v>
      </c>
      <c r="P266" s="126">
        <v>3.621092738858435</v>
      </c>
      <c r="Q266" s="126">
        <v>7.091187466339747</v>
      </c>
    </row>
    <row r="267">
      <c r="A267" s="22">
        <v>2023.0</v>
      </c>
      <c r="B267" s="22" t="s">
        <v>1336</v>
      </c>
      <c r="C267" s="22">
        <v>234.393</v>
      </c>
      <c r="D267" s="22">
        <v>2.342E-4</v>
      </c>
      <c r="E267" s="22">
        <v>0.2671966</v>
      </c>
      <c r="F267" s="22">
        <v>15.1795</v>
      </c>
      <c r="G267" s="22">
        <v>0.07217</v>
      </c>
      <c r="H267" s="22">
        <v>56.57</v>
      </c>
      <c r="I267" s="22">
        <v>55.52</v>
      </c>
      <c r="J267" s="22">
        <v>21.6149</v>
      </c>
      <c r="K267" s="22">
        <v>18.1757</v>
      </c>
      <c r="L267" s="22">
        <v>51.6</v>
      </c>
      <c r="M267" s="22">
        <v>48.9</v>
      </c>
      <c r="N267" s="22">
        <v>3.00347</v>
      </c>
      <c r="O267" s="22">
        <v>2.26844</v>
      </c>
      <c r="P267" s="126">
        <v>3.252892826676616</v>
      </c>
      <c r="Q267" s="126">
        <v>5.06502391455075</v>
      </c>
    </row>
    <row r="268">
      <c r="A268" s="22">
        <v>2022.0</v>
      </c>
      <c r="B268" s="22" t="s">
        <v>1336</v>
      </c>
      <c r="C268" s="22">
        <v>259.202</v>
      </c>
      <c r="D268" s="22">
        <v>0.0104304</v>
      </c>
      <c r="E268" s="22">
        <v>0.2140471</v>
      </c>
      <c r="F268" s="22">
        <v>15.10981</v>
      </c>
      <c r="G268" s="22">
        <v>0.05017</v>
      </c>
      <c r="H268" s="22">
        <v>55.52</v>
      </c>
      <c r="I268" s="22">
        <v>53.94</v>
      </c>
      <c r="J268" s="22">
        <v>18.1757</v>
      </c>
      <c r="K268" s="22">
        <v>12.1839</v>
      </c>
      <c r="L268" s="22">
        <v>48.9</v>
      </c>
      <c r="M268" s="22">
        <v>47.1</v>
      </c>
      <c r="N268" s="22">
        <v>2.26844</v>
      </c>
      <c r="O268" s="22">
        <v>1.6266</v>
      </c>
      <c r="P268" s="126">
        <v>3.156507499631293</v>
      </c>
      <c r="Q268" s="126">
        <v>8.537500467557877</v>
      </c>
    </row>
    <row r="269">
      <c r="A269" s="22">
        <v>2021.0</v>
      </c>
      <c r="B269" s="22" t="s">
        <v>1336</v>
      </c>
      <c r="C269" s="22">
        <v>834.521</v>
      </c>
      <c r="D269" s="22">
        <v>2.644E-4</v>
      </c>
      <c r="E269" s="22">
        <v>0.3207759</v>
      </c>
      <c r="F269" s="22">
        <v>15.06085</v>
      </c>
      <c r="G269" s="22">
        <v>-0.63241</v>
      </c>
      <c r="H269" s="22">
        <v>53.94</v>
      </c>
      <c r="I269" s="22">
        <v>54.56</v>
      </c>
      <c r="J269" s="22">
        <v>12.1839</v>
      </c>
      <c r="K269" s="22">
        <v>12.2739</v>
      </c>
      <c r="L269" s="22">
        <v>47.1</v>
      </c>
      <c r="M269" s="22">
        <v>45.6</v>
      </c>
      <c r="N269" s="22">
        <v>1.6266</v>
      </c>
      <c r="O269" s="22">
        <v>2.02073</v>
      </c>
      <c r="P269" s="126">
        <v>1.834715548104437</v>
      </c>
      <c r="Q269" s="126">
        <v>2.553728526481308</v>
      </c>
    </row>
    <row r="270">
      <c r="A270" s="22">
        <v>2020.0</v>
      </c>
      <c r="B270" s="22" t="s">
        <v>1336</v>
      </c>
      <c r="C270" s="22">
        <v>283.991</v>
      </c>
      <c r="D270" s="22">
        <v>2.607E-4</v>
      </c>
      <c r="E270" s="22">
        <v>0.2511453</v>
      </c>
      <c r="F270" s="22">
        <v>16.06164</v>
      </c>
      <c r="G270" s="22">
        <v>-0.1109</v>
      </c>
      <c r="H270" s="22">
        <v>54.56</v>
      </c>
      <c r="I270" s="22">
        <v>52.92</v>
      </c>
      <c r="J270" s="22">
        <v>12.2739</v>
      </c>
      <c r="K270" s="22">
        <v>11.3076</v>
      </c>
      <c r="L270" s="22">
        <v>45.6</v>
      </c>
      <c r="M270" s="22">
        <v>43.1</v>
      </c>
      <c r="N270" s="22">
        <v>2.02073</v>
      </c>
      <c r="O270" s="22">
        <v>2.3126</v>
      </c>
      <c r="P270" s="126">
        <v>3.220934366525141</v>
      </c>
      <c r="Q270" s="126">
        <v>2.865413209122721</v>
      </c>
    </row>
    <row r="271">
      <c r="A271" s="22">
        <v>2019.0</v>
      </c>
      <c r="B271" s="22" t="s">
        <v>1336</v>
      </c>
      <c r="C271" s="22">
        <v>500.205</v>
      </c>
      <c r="D271" s="22">
        <v>0.0148995</v>
      </c>
      <c r="E271" s="22">
        <v>0.2471591</v>
      </c>
      <c r="F271" s="22">
        <v>16.17919</v>
      </c>
      <c r="G271" s="22">
        <v>-0.71242</v>
      </c>
      <c r="H271" s="22">
        <v>52.92</v>
      </c>
      <c r="I271" s="22">
        <v>51.32</v>
      </c>
      <c r="J271" s="22">
        <v>11.3076</v>
      </c>
      <c r="K271" s="22">
        <v>11.3396</v>
      </c>
      <c r="L271" s="22">
        <v>43.1</v>
      </c>
      <c r="M271" s="22">
        <v>41.0</v>
      </c>
      <c r="N271" s="22">
        <v>2.3126</v>
      </c>
      <c r="O271" s="22">
        <v>2.64114</v>
      </c>
      <c r="P271" s="126">
        <v>2.795823674522497</v>
      </c>
      <c r="Q271" s="126">
        <v>7.359262701050056</v>
      </c>
    </row>
    <row r="272">
      <c r="A272" s="22">
        <v>2018.0</v>
      </c>
      <c r="B272" s="22" t="s">
        <v>1336</v>
      </c>
      <c r="C272" s="22">
        <v>641.544</v>
      </c>
      <c r="D272" s="22">
        <v>0.1976183</v>
      </c>
      <c r="E272" s="22">
        <v>0.2851674</v>
      </c>
      <c r="F272" s="22">
        <v>17.42546</v>
      </c>
      <c r="G272" s="22">
        <v>-0.54369</v>
      </c>
      <c r="H272" s="22">
        <v>51.32</v>
      </c>
      <c r="I272" s="22">
        <v>50.65</v>
      </c>
      <c r="J272" s="22">
        <v>11.3396</v>
      </c>
      <c r="K272" s="22">
        <v>12.4741</v>
      </c>
      <c r="L272" s="22">
        <v>41.0</v>
      </c>
      <c r="M272" s="22">
        <v>37.9</v>
      </c>
      <c r="N272" s="22">
        <v>2.64114</v>
      </c>
      <c r="O272" s="22">
        <v>3.31672</v>
      </c>
      <c r="P272" s="126">
        <v>3.539628059426409</v>
      </c>
      <c r="Q272" s="126">
        <v>7.465006855727509</v>
      </c>
    </row>
    <row r="273">
      <c r="A273" s="22">
        <v>2017.0</v>
      </c>
      <c r="B273" s="22" t="s">
        <v>1336</v>
      </c>
      <c r="C273" s="22">
        <v>241.202</v>
      </c>
      <c r="D273" s="22">
        <v>0.0757945</v>
      </c>
      <c r="E273" s="22">
        <v>0.2769388</v>
      </c>
      <c r="F273" s="22">
        <v>18.21005</v>
      </c>
      <c r="G273" s="22">
        <v>0.7009</v>
      </c>
      <c r="H273" s="22">
        <v>50.65</v>
      </c>
      <c r="I273" s="22">
        <v>49.34</v>
      </c>
      <c r="J273" s="22">
        <v>12.4741</v>
      </c>
      <c r="K273" s="22">
        <v>14.0523</v>
      </c>
      <c r="L273" s="22">
        <v>37.9</v>
      </c>
      <c r="M273" s="22">
        <v>34.4</v>
      </c>
      <c r="N273" s="22">
        <v>3.31672</v>
      </c>
      <c r="O273" s="22">
        <v>2.95307</v>
      </c>
      <c r="P273" s="126">
        <v>3.520256888116174</v>
      </c>
      <c r="Q273" s="126">
        <v>6.94019037359206</v>
      </c>
    </row>
    <row r="274">
      <c r="A274" s="22">
        <v>2016.0</v>
      </c>
      <c r="B274" s="22" t="s">
        <v>1336</v>
      </c>
      <c r="C274" s="22">
        <v>773.491</v>
      </c>
      <c r="D274" s="22">
        <v>0.0088343</v>
      </c>
      <c r="E274" s="22">
        <v>0.3062523</v>
      </c>
      <c r="F274" s="22">
        <v>17.67889</v>
      </c>
      <c r="G274" s="22">
        <v>-0.64264</v>
      </c>
      <c r="H274" s="22">
        <v>49.34</v>
      </c>
      <c r="I274" s="22">
        <v>48.04</v>
      </c>
      <c r="J274" s="22">
        <v>14.0523</v>
      </c>
      <c r="K274" s="22">
        <v>19.6496</v>
      </c>
      <c r="L274" s="22">
        <v>34.4</v>
      </c>
      <c r="M274" s="22">
        <v>32.0</v>
      </c>
      <c r="N274" s="22">
        <v>2.95307</v>
      </c>
      <c r="O274" s="22">
        <v>3.62569</v>
      </c>
      <c r="P274" s="126">
        <v>2.668248169690822</v>
      </c>
      <c r="Q274" s="126">
        <v>6.690008926604236</v>
      </c>
    </row>
    <row r="275">
      <c r="A275" s="22">
        <v>2015.0</v>
      </c>
      <c r="B275" s="22" t="s">
        <v>1336</v>
      </c>
      <c r="C275" s="22">
        <v>315.386</v>
      </c>
      <c r="D275" s="22">
        <v>-0.0266903</v>
      </c>
      <c r="E275" s="22">
        <v>0.2524464</v>
      </c>
      <c r="F275" s="22">
        <v>18.70791</v>
      </c>
      <c r="G275" s="22">
        <v>1.99581</v>
      </c>
      <c r="H275" s="22">
        <v>48.04</v>
      </c>
      <c r="I275" s="22">
        <v>46.98</v>
      </c>
      <c r="J275" s="22">
        <v>19.6496</v>
      </c>
      <c r="K275" s="22">
        <v>28.8466</v>
      </c>
      <c r="L275" s="22">
        <v>32.0</v>
      </c>
      <c r="M275" s="22">
        <v>27.3</v>
      </c>
      <c r="N275" s="22">
        <v>3.62569</v>
      </c>
      <c r="O275" s="32"/>
      <c r="P275" s="126">
        <v>0.6312009051757544</v>
      </c>
      <c r="Q275" s="126">
        <v>6.98715430598611</v>
      </c>
    </row>
    <row r="276">
      <c r="A276" s="22">
        <v>2014.0</v>
      </c>
      <c r="B276" s="22" t="s">
        <v>1336</v>
      </c>
      <c r="C276" s="22">
        <v>215.025</v>
      </c>
      <c r="D276" s="22">
        <v>0.0026344</v>
      </c>
      <c r="E276" s="22">
        <v>0.4746003</v>
      </c>
      <c r="F276" s="22">
        <v>17.6107</v>
      </c>
      <c r="G276" s="22">
        <v>-0.98776</v>
      </c>
      <c r="H276" s="22">
        <v>46.98</v>
      </c>
      <c r="I276" s="32"/>
      <c r="J276" s="22">
        <v>28.8466</v>
      </c>
      <c r="K276" s="32"/>
      <c r="L276" s="22">
        <v>27.3</v>
      </c>
      <c r="M276" s="32"/>
      <c r="N276" s="32"/>
      <c r="O276" s="32"/>
      <c r="P276" s="126">
        <v>4.084554466376173</v>
      </c>
      <c r="Q276" s="126">
        <v>6.422243121185673</v>
      </c>
    </row>
    <row r="277">
      <c r="A277" s="22">
        <v>2024.0</v>
      </c>
      <c r="B277" s="22" t="s">
        <v>1392</v>
      </c>
      <c r="C277" s="22">
        <v>336.386</v>
      </c>
      <c r="D277" s="22">
        <v>0.0387952</v>
      </c>
      <c r="E277" s="22">
        <v>0.5549121</v>
      </c>
      <c r="F277" s="22">
        <v>22.01388</v>
      </c>
      <c r="G277" s="22">
        <v>-0.12832</v>
      </c>
      <c r="H277" s="22">
        <v>57.56</v>
      </c>
      <c r="I277" s="22">
        <v>56.57</v>
      </c>
      <c r="J277" s="22">
        <v>23.6602</v>
      </c>
      <c r="K277" s="22">
        <v>21.6149</v>
      </c>
      <c r="L277" s="22">
        <v>82.3</v>
      </c>
      <c r="M277" s="22">
        <v>79.0</v>
      </c>
      <c r="N277" s="32"/>
      <c r="O277" s="22">
        <v>2.54231</v>
      </c>
      <c r="P277" s="126">
        <v>3.621092738858435</v>
      </c>
      <c r="Q277" s="126">
        <v>7.091187466339747</v>
      </c>
    </row>
    <row r="278">
      <c r="A278" s="22">
        <v>2023.0</v>
      </c>
      <c r="B278" s="22" t="s">
        <v>1392</v>
      </c>
      <c r="C278" s="22">
        <v>509.761</v>
      </c>
      <c r="D278" s="22">
        <v>0.0484463</v>
      </c>
      <c r="E278" s="22">
        <v>0.6045282</v>
      </c>
      <c r="F278" s="22">
        <v>22.15122</v>
      </c>
      <c r="G278" s="22">
        <v>0.02417</v>
      </c>
      <c r="H278" s="22">
        <v>56.57</v>
      </c>
      <c r="I278" s="22">
        <v>55.52</v>
      </c>
      <c r="J278" s="22">
        <v>21.6149</v>
      </c>
      <c r="K278" s="22">
        <v>18.1757</v>
      </c>
      <c r="L278" s="22">
        <v>79.0</v>
      </c>
      <c r="M278" s="22">
        <v>77.3</v>
      </c>
      <c r="N278" s="22">
        <v>2.54231</v>
      </c>
      <c r="O278" s="22">
        <v>2.81603</v>
      </c>
      <c r="P278" s="126">
        <v>3.252892826676616</v>
      </c>
      <c r="Q278" s="126">
        <v>5.06502391455075</v>
      </c>
    </row>
    <row r="279">
      <c r="A279" s="22">
        <v>2022.0</v>
      </c>
      <c r="B279" s="22" t="s">
        <v>1392</v>
      </c>
      <c r="C279" s="22">
        <v>119.108</v>
      </c>
      <c r="D279" s="22">
        <v>0.0313934</v>
      </c>
      <c r="E279" s="22">
        <v>0.6265901</v>
      </c>
      <c r="F279" s="22">
        <v>22.12733</v>
      </c>
      <c r="G279" s="22">
        <v>0.25472</v>
      </c>
      <c r="H279" s="22">
        <v>55.52</v>
      </c>
      <c r="I279" s="22">
        <v>53.94</v>
      </c>
      <c r="J279" s="22">
        <v>18.1757</v>
      </c>
      <c r="K279" s="22">
        <v>12.1839</v>
      </c>
      <c r="L279" s="22">
        <v>77.3</v>
      </c>
      <c r="M279" s="22">
        <v>73.5</v>
      </c>
      <c r="N279" s="22">
        <v>2.81603</v>
      </c>
      <c r="O279" s="22">
        <v>3.75011</v>
      </c>
      <c r="P279" s="126">
        <v>3.156507499631293</v>
      </c>
      <c r="Q279" s="126">
        <v>8.537500467557877</v>
      </c>
    </row>
    <row r="280">
      <c r="A280" s="22">
        <v>2021.0</v>
      </c>
      <c r="B280" s="22" t="s">
        <v>1392</v>
      </c>
      <c r="C280" s="22">
        <v>152.675</v>
      </c>
      <c r="D280" s="22">
        <v>0.0642388</v>
      </c>
      <c r="E280" s="22">
        <v>0.7352058</v>
      </c>
      <c r="F280" s="22">
        <v>21.90042</v>
      </c>
      <c r="G280" s="22">
        <v>1.25471</v>
      </c>
      <c r="H280" s="22">
        <v>53.94</v>
      </c>
      <c r="I280" s="22">
        <v>54.56</v>
      </c>
      <c r="J280" s="22">
        <v>12.1839</v>
      </c>
      <c r="K280" s="22">
        <v>12.2739</v>
      </c>
      <c r="L280" s="22">
        <v>73.5</v>
      </c>
      <c r="M280" s="22">
        <v>69.8</v>
      </c>
      <c r="N280" s="22">
        <v>3.75011</v>
      </c>
      <c r="O280" s="22">
        <v>3.65011</v>
      </c>
      <c r="P280" s="126">
        <v>1.834715548104437</v>
      </c>
      <c r="Q280" s="126">
        <v>2.553728526481308</v>
      </c>
    </row>
    <row r="281">
      <c r="A281" s="22">
        <v>2020.0</v>
      </c>
      <c r="B281" s="22" t="s">
        <v>1392</v>
      </c>
      <c r="C281" s="22">
        <v>85.7121</v>
      </c>
      <c r="D281" s="22">
        <v>0.0462582</v>
      </c>
      <c r="E281" s="22">
        <v>0.7449771</v>
      </c>
      <c r="F281" s="22">
        <v>21.08741</v>
      </c>
      <c r="G281" s="22">
        <v>0.15261</v>
      </c>
      <c r="H281" s="22">
        <v>54.56</v>
      </c>
      <c r="I281" s="22">
        <v>52.92</v>
      </c>
      <c r="J281" s="22">
        <v>12.2739</v>
      </c>
      <c r="K281" s="22">
        <v>11.3076</v>
      </c>
      <c r="L281" s="22">
        <v>69.8</v>
      </c>
      <c r="M281" s="22">
        <v>66.2</v>
      </c>
      <c r="N281" s="22">
        <v>3.65011</v>
      </c>
      <c r="O281" s="22">
        <v>4.3715</v>
      </c>
      <c r="P281" s="126">
        <v>3.220934366525141</v>
      </c>
      <c r="Q281" s="126">
        <v>2.865413209122721</v>
      </c>
    </row>
    <row r="282">
      <c r="A282" s="22">
        <v>2019.0</v>
      </c>
      <c r="B282" s="22" t="s">
        <v>1392</v>
      </c>
      <c r="C282" s="22">
        <v>51.0346</v>
      </c>
      <c r="D282" s="22">
        <v>0.0327134</v>
      </c>
      <c r="E282" s="22">
        <v>0.7219589</v>
      </c>
      <c r="F282" s="22">
        <v>20.94538</v>
      </c>
      <c r="G282" s="22">
        <v>0.02949</v>
      </c>
      <c r="H282" s="22">
        <v>52.92</v>
      </c>
      <c r="I282" s="22">
        <v>51.32</v>
      </c>
      <c r="J282" s="22">
        <v>11.3076</v>
      </c>
      <c r="K282" s="22">
        <v>11.3396</v>
      </c>
      <c r="L282" s="22">
        <v>66.2</v>
      </c>
      <c r="M282" s="22">
        <v>61.1</v>
      </c>
      <c r="N282" s="22">
        <v>4.3715</v>
      </c>
      <c r="O282" s="22">
        <v>4.70567</v>
      </c>
      <c r="P282" s="126">
        <v>2.795823674522497</v>
      </c>
      <c r="Q282" s="126">
        <v>7.359262701050056</v>
      </c>
    </row>
    <row r="283">
      <c r="A283" s="22">
        <v>2018.0</v>
      </c>
      <c r="B283" s="22" t="s">
        <v>1392</v>
      </c>
      <c r="C283" s="22">
        <v>43.9995</v>
      </c>
      <c r="D283" s="22">
        <v>0.0354199</v>
      </c>
      <c r="E283" s="22">
        <v>0.7168456</v>
      </c>
      <c r="F283" s="22">
        <v>20.91632</v>
      </c>
      <c r="G283" s="22">
        <v>0.29498</v>
      </c>
      <c r="H283" s="22">
        <v>51.32</v>
      </c>
      <c r="I283" s="22">
        <v>50.65</v>
      </c>
      <c r="J283" s="22">
        <v>11.3396</v>
      </c>
      <c r="K283" s="22">
        <v>12.4741</v>
      </c>
      <c r="L283" s="22">
        <v>61.1</v>
      </c>
      <c r="M283" s="22">
        <v>56.8</v>
      </c>
      <c r="N283" s="22">
        <v>4.70567</v>
      </c>
      <c r="O283" s="22">
        <v>3.48473</v>
      </c>
      <c r="P283" s="126">
        <v>3.539628059426409</v>
      </c>
      <c r="Q283" s="126">
        <v>7.465006855727509</v>
      </c>
    </row>
    <row r="284">
      <c r="A284" s="22">
        <v>2017.0</v>
      </c>
      <c r="B284" s="22" t="s">
        <v>1392</v>
      </c>
      <c r="C284" s="22">
        <v>68.3906</v>
      </c>
      <c r="D284" s="22">
        <v>0.0596142</v>
      </c>
      <c r="E284" s="22">
        <v>0.688213</v>
      </c>
      <c r="F284" s="22">
        <v>20.65782</v>
      </c>
      <c r="G284" s="22">
        <v>0.92234</v>
      </c>
      <c r="H284" s="22">
        <v>50.65</v>
      </c>
      <c r="I284" s="22">
        <v>49.34</v>
      </c>
      <c r="J284" s="22">
        <v>12.4741</v>
      </c>
      <c r="K284" s="22">
        <v>14.0523</v>
      </c>
      <c r="L284" s="22">
        <v>56.8</v>
      </c>
      <c r="M284" s="22">
        <v>54.2</v>
      </c>
      <c r="N284" s="22">
        <v>3.48473</v>
      </c>
      <c r="O284" s="22">
        <v>2.90517</v>
      </c>
      <c r="P284" s="126">
        <v>3.520256888116174</v>
      </c>
      <c r="Q284" s="126">
        <v>6.94019037359206</v>
      </c>
    </row>
    <row r="285">
      <c r="A285" s="22">
        <v>2016.0</v>
      </c>
      <c r="B285" s="22" t="s">
        <v>1392</v>
      </c>
      <c r="C285" s="22">
        <v>53.0125</v>
      </c>
      <c r="D285" s="22">
        <v>0.0360039</v>
      </c>
      <c r="E285" s="22">
        <v>0.623458</v>
      </c>
      <c r="F285" s="22">
        <v>20.00428</v>
      </c>
      <c r="G285" s="22">
        <v>-0.00199</v>
      </c>
      <c r="H285" s="22">
        <v>49.34</v>
      </c>
      <c r="I285" s="22">
        <v>48.04</v>
      </c>
      <c r="J285" s="22">
        <v>14.0523</v>
      </c>
      <c r="K285" s="22">
        <v>19.6496</v>
      </c>
      <c r="L285" s="22">
        <v>54.2</v>
      </c>
      <c r="M285" s="22">
        <v>51.0</v>
      </c>
      <c r="N285" s="22">
        <v>2.90517</v>
      </c>
      <c r="O285" s="22">
        <v>4.1328</v>
      </c>
      <c r="P285" s="126">
        <v>2.668248169690822</v>
      </c>
      <c r="Q285" s="126">
        <v>6.690008926604236</v>
      </c>
    </row>
    <row r="286">
      <c r="A286" s="22">
        <v>2015.0</v>
      </c>
      <c r="B286" s="22" t="s">
        <v>1392</v>
      </c>
      <c r="C286" s="22">
        <v>52.1888</v>
      </c>
      <c r="D286" s="22">
        <v>0.0389762</v>
      </c>
      <c r="E286" s="22">
        <v>0.5850089</v>
      </c>
      <c r="F286" s="22">
        <v>20.00628</v>
      </c>
      <c r="G286" s="22">
        <v>0.2525</v>
      </c>
      <c r="H286" s="22">
        <v>48.04</v>
      </c>
      <c r="I286" s="22">
        <v>46.98</v>
      </c>
      <c r="J286" s="22">
        <v>19.6496</v>
      </c>
      <c r="K286" s="22">
        <v>28.8466</v>
      </c>
      <c r="L286" s="22">
        <v>51.0</v>
      </c>
      <c r="M286" s="22">
        <v>46.0</v>
      </c>
      <c r="N286" s="22">
        <v>4.1328</v>
      </c>
      <c r="O286" s="32"/>
      <c r="P286" s="126">
        <v>0.6312009051757544</v>
      </c>
      <c r="Q286" s="126">
        <v>6.98715430598611</v>
      </c>
    </row>
    <row r="287">
      <c r="A287" s="22">
        <v>2014.0</v>
      </c>
      <c r="B287" s="22" t="s">
        <v>1392</v>
      </c>
      <c r="C287" s="22">
        <v>53.0685</v>
      </c>
      <c r="D287" s="22">
        <v>0.0534884</v>
      </c>
      <c r="E287" s="22">
        <v>0.3761145</v>
      </c>
      <c r="F287" s="22">
        <v>19.78113</v>
      </c>
      <c r="G287" s="124">
        <v>0.0</v>
      </c>
      <c r="H287" s="22">
        <v>46.98</v>
      </c>
      <c r="I287" s="32"/>
      <c r="J287" s="22">
        <v>28.8466</v>
      </c>
      <c r="K287" s="32"/>
      <c r="L287" s="22">
        <v>46.0</v>
      </c>
      <c r="M287" s="32"/>
      <c r="N287" s="32"/>
      <c r="O287" s="32"/>
      <c r="P287" s="126">
        <v>4.084554466376173</v>
      </c>
      <c r="Q287" s="126">
        <v>6.422243121185673</v>
      </c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7" t="s">
        <v>1508</v>
      </c>
      <c r="B1" s="127" t="s">
        <v>1509</v>
      </c>
      <c r="C1" s="127" t="s">
        <v>1506</v>
      </c>
      <c r="D1" s="127" t="s">
        <v>1513</v>
      </c>
      <c r="E1" s="127" t="s">
        <v>1514</v>
      </c>
      <c r="F1" s="127" t="s">
        <v>1515</v>
      </c>
      <c r="G1" s="127" t="s">
        <v>1504</v>
      </c>
      <c r="H1" s="127" t="s">
        <v>1517</v>
      </c>
      <c r="I1" s="127" t="s">
        <v>1518</v>
      </c>
      <c r="J1" s="127" t="s">
        <v>1519</v>
      </c>
      <c r="K1" s="127" t="s">
        <v>1520</v>
      </c>
      <c r="L1" s="127" t="s">
        <v>1521</v>
      </c>
      <c r="M1" s="127" t="s">
        <v>1522</v>
      </c>
      <c r="N1" s="127" t="s">
        <v>1523</v>
      </c>
      <c r="O1" s="127" t="s">
        <v>1524</v>
      </c>
      <c r="P1" s="127" t="s">
        <v>1527</v>
      </c>
      <c r="Q1" s="127" t="s">
        <v>1528</v>
      </c>
      <c r="R1" s="127" t="s">
        <v>1529</v>
      </c>
    </row>
    <row r="2">
      <c r="A2" s="127">
        <v>2015.0</v>
      </c>
      <c r="B2" s="127" t="s">
        <v>660</v>
      </c>
      <c r="C2" s="127">
        <v>127.0</v>
      </c>
      <c r="D2" s="127">
        <v>0.0207</v>
      </c>
      <c r="E2" s="127">
        <v>0.580775</v>
      </c>
      <c r="F2" s="127">
        <v>21.2023</v>
      </c>
      <c r="G2" s="127">
        <v>0.03454</v>
      </c>
      <c r="H2" s="127">
        <v>48.04</v>
      </c>
      <c r="I2" s="127">
        <v>46.98</v>
      </c>
      <c r="J2" s="127">
        <v>19.6496</v>
      </c>
      <c r="K2" s="127">
        <v>28.8466</v>
      </c>
      <c r="L2" s="127">
        <v>48.7</v>
      </c>
      <c r="M2" s="127">
        <v>44.0</v>
      </c>
      <c r="N2" s="127">
        <v>3.7899</v>
      </c>
      <c r="O2" s="128"/>
      <c r="P2" s="127">
        <v>0.631201</v>
      </c>
      <c r="Q2" s="127">
        <v>6.98715</v>
      </c>
      <c r="R2" s="127" t="s">
        <v>660</v>
      </c>
    </row>
    <row r="3">
      <c r="A3" s="127">
        <v>2016.0</v>
      </c>
      <c r="B3" s="127" t="s">
        <v>660</v>
      </c>
      <c r="C3" s="127">
        <v>208.0</v>
      </c>
      <c r="D3" s="127">
        <v>0.0464</v>
      </c>
      <c r="E3" s="127">
        <v>0.689775</v>
      </c>
      <c r="F3" s="127">
        <v>21.4858</v>
      </c>
      <c r="G3" s="127">
        <v>0.32778</v>
      </c>
      <c r="H3" s="127">
        <v>49.34</v>
      </c>
      <c r="I3" s="127">
        <v>48.04</v>
      </c>
      <c r="J3" s="127">
        <v>14.0523</v>
      </c>
      <c r="K3" s="127">
        <v>19.6496</v>
      </c>
      <c r="L3" s="127">
        <v>51.5</v>
      </c>
      <c r="M3" s="127">
        <v>48.7</v>
      </c>
      <c r="N3" s="127">
        <v>2.70062</v>
      </c>
      <c r="O3" s="127">
        <v>3.7899</v>
      </c>
      <c r="P3" s="127">
        <v>2.66825</v>
      </c>
      <c r="Q3" s="127">
        <v>6.69001</v>
      </c>
      <c r="R3" s="127" t="s">
        <v>660</v>
      </c>
    </row>
    <row r="4">
      <c r="A4" s="127">
        <v>2017.0</v>
      </c>
      <c r="B4" s="127" t="s">
        <v>660</v>
      </c>
      <c r="C4" s="127">
        <v>240.0</v>
      </c>
      <c r="D4" s="127">
        <v>0.0576</v>
      </c>
      <c r="E4" s="127">
        <v>0.644905</v>
      </c>
      <c r="F4" s="127">
        <v>22.1268</v>
      </c>
      <c r="G4" s="127">
        <v>0.89834</v>
      </c>
      <c r="H4" s="127">
        <v>50.65</v>
      </c>
      <c r="I4" s="127">
        <v>49.34</v>
      </c>
      <c r="J4" s="127">
        <v>12.4741</v>
      </c>
      <c r="K4" s="127">
        <v>14.0523</v>
      </c>
      <c r="L4" s="127">
        <v>54.1</v>
      </c>
      <c r="M4" s="127">
        <v>51.5</v>
      </c>
      <c r="N4" s="127">
        <v>7.50355</v>
      </c>
      <c r="O4" s="127">
        <v>2.70062</v>
      </c>
      <c r="P4" s="127">
        <v>3.52026</v>
      </c>
      <c r="Q4" s="127">
        <v>6.94019</v>
      </c>
      <c r="R4" s="127" t="s">
        <v>660</v>
      </c>
    </row>
    <row r="5">
      <c r="A5" s="127">
        <v>2018.0</v>
      </c>
      <c r="B5" s="127" t="s">
        <v>660</v>
      </c>
      <c r="C5" s="127">
        <v>124.0</v>
      </c>
      <c r="D5" s="127">
        <v>0.0282</v>
      </c>
      <c r="E5" s="127">
        <v>0.604173</v>
      </c>
      <c r="F5" s="127">
        <v>22.8041</v>
      </c>
      <c r="G5" s="127">
        <v>0.96863</v>
      </c>
      <c r="H5" s="127">
        <v>51.32</v>
      </c>
      <c r="I5" s="127">
        <v>50.65</v>
      </c>
      <c r="J5" s="127">
        <v>11.3396</v>
      </c>
      <c r="K5" s="127">
        <v>12.4741</v>
      </c>
      <c r="L5" s="127">
        <v>65.6</v>
      </c>
      <c r="M5" s="127">
        <v>54.1</v>
      </c>
      <c r="N5" s="127">
        <v>8.89288</v>
      </c>
      <c r="O5" s="127">
        <v>7.50355</v>
      </c>
      <c r="P5" s="127">
        <v>3.53963</v>
      </c>
      <c r="Q5" s="127">
        <v>7.46501</v>
      </c>
      <c r="R5" s="127" t="s">
        <v>660</v>
      </c>
    </row>
    <row r="6">
      <c r="A6" s="127">
        <v>2019.0</v>
      </c>
      <c r="B6" s="127" t="s">
        <v>660</v>
      </c>
      <c r="C6" s="127">
        <v>212.0</v>
      </c>
      <c r="D6" s="127">
        <v>0.0615</v>
      </c>
      <c r="E6" s="127">
        <v>0.592456</v>
      </c>
      <c r="F6" s="127">
        <v>22.9488</v>
      </c>
      <c r="G6" s="127">
        <v>0.15559</v>
      </c>
      <c r="H6" s="127">
        <v>52.92</v>
      </c>
      <c r="I6" s="127">
        <v>51.32</v>
      </c>
      <c r="J6" s="127">
        <v>11.3076</v>
      </c>
      <c r="K6" s="127">
        <v>11.3396</v>
      </c>
      <c r="L6" s="127">
        <v>71.6</v>
      </c>
      <c r="M6" s="127">
        <v>65.6</v>
      </c>
      <c r="N6" s="127">
        <v>6.86756</v>
      </c>
      <c r="O6" s="127">
        <v>8.89288</v>
      </c>
      <c r="P6" s="127">
        <v>2.79582</v>
      </c>
      <c r="Q6" s="127">
        <v>7.35926</v>
      </c>
      <c r="R6" s="127" t="s">
        <v>660</v>
      </c>
    </row>
    <row r="7">
      <c r="A7" s="127">
        <v>2020.0</v>
      </c>
      <c r="B7" s="127" t="s">
        <v>660</v>
      </c>
      <c r="C7" s="127">
        <v>245.0</v>
      </c>
      <c r="D7" s="127">
        <v>0.033</v>
      </c>
      <c r="E7" s="127">
        <v>0.530427</v>
      </c>
      <c r="F7" s="127">
        <v>22.7286</v>
      </c>
      <c r="G7" s="127">
        <v>-0.19761</v>
      </c>
      <c r="H7" s="127">
        <v>54.56</v>
      </c>
      <c r="I7" s="127">
        <v>52.92</v>
      </c>
      <c r="J7" s="127">
        <v>12.2739</v>
      </c>
      <c r="K7" s="127">
        <v>11.3076</v>
      </c>
      <c r="L7" s="127">
        <v>79.3</v>
      </c>
      <c r="M7" s="127">
        <v>71.6</v>
      </c>
      <c r="N7" s="127">
        <v>5.27668</v>
      </c>
      <c r="O7" s="127">
        <v>6.86756</v>
      </c>
      <c r="P7" s="127">
        <v>3.22093</v>
      </c>
      <c r="Q7" s="127">
        <v>2.86541</v>
      </c>
      <c r="R7" s="127" t="s">
        <v>660</v>
      </c>
    </row>
    <row r="8">
      <c r="A8" s="127">
        <v>2021.0</v>
      </c>
      <c r="B8" s="127" t="s">
        <v>660</v>
      </c>
      <c r="C8" s="127">
        <v>430.0</v>
      </c>
      <c r="D8" s="127">
        <v>0.0324</v>
      </c>
      <c r="E8" s="127">
        <v>0.455081</v>
      </c>
      <c r="F8" s="127">
        <v>23.2992</v>
      </c>
      <c r="G8" s="127">
        <v>0.76927</v>
      </c>
      <c r="H8" s="127">
        <v>53.94</v>
      </c>
      <c r="I8" s="127">
        <v>54.56</v>
      </c>
      <c r="J8" s="127">
        <v>12.1839</v>
      </c>
      <c r="K8" s="127">
        <v>12.2739</v>
      </c>
      <c r="L8" s="127">
        <v>81.7</v>
      </c>
      <c r="M8" s="127">
        <v>79.3</v>
      </c>
      <c r="N8" s="127">
        <v>2.80951</v>
      </c>
      <c r="O8" s="127">
        <v>5.27668</v>
      </c>
      <c r="P8" s="127">
        <v>1.83472</v>
      </c>
      <c r="Q8" s="127">
        <v>2.55373</v>
      </c>
      <c r="R8" s="127" t="s">
        <v>660</v>
      </c>
    </row>
    <row r="9">
      <c r="A9" s="127">
        <v>2022.0</v>
      </c>
      <c r="B9" s="127" t="s">
        <v>660</v>
      </c>
      <c r="C9" s="127">
        <v>199.0</v>
      </c>
      <c r="D9" s="127">
        <v>0.0109</v>
      </c>
      <c r="E9" s="127">
        <v>0.428373</v>
      </c>
      <c r="F9" s="127">
        <v>23.4505</v>
      </c>
      <c r="G9" s="127">
        <v>0.16337</v>
      </c>
      <c r="H9" s="127">
        <v>55.52</v>
      </c>
      <c r="I9" s="127">
        <v>53.94</v>
      </c>
      <c r="J9" s="127">
        <v>18.1757</v>
      </c>
      <c r="K9" s="127">
        <v>12.1839</v>
      </c>
      <c r="L9" s="127">
        <v>84.9</v>
      </c>
      <c r="M9" s="127">
        <v>81.7</v>
      </c>
      <c r="N9" s="127">
        <v>2.80951</v>
      </c>
      <c r="O9" s="127">
        <v>2.80951</v>
      </c>
      <c r="P9" s="127">
        <v>3.15651</v>
      </c>
      <c r="Q9" s="127">
        <v>8.5375</v>
      </c>
      <c r="R9" s="127" t="s">
        <v>660</v>
      </c>
    </row>
    <row r="10">
      <c r="A10" s="127">
        <v>2023.0</v>
      </c>
      <c r="B10" s="127" t="s">
        <v>660</v>
      </c>
      <c r="C10" s="127">
        <v>300.0</v>
      </c>
      <c r="D10" s="127">
        <v>0.0267</v>
      </c>
      <c r="E10" s="127">
        <v>0.485138</v>
      </c>
      <c r="F10" s="127">
        <v>23.2587</v>
      </c>
      <c r="G10" s="127">
        <v>-0.17454</v>
      </c>
      <c r="H10" s="127">
        <v>56.57</v>
      </c>
      <c r="I10" s="127">
        <v>55.52</v>
      </c>
      <c r="J10" s="127">
        <v>21.6149</v>
      </c>
      <c r="K10" s="127">
        <v>18.1757</v>
      </c>
      <c r="L10" s="127">
        <v>87.3</v>
      </c>
      <c r="M10" s="127">
        <v>84.9</v>
      </c>
      <c r="N10" s="127">
        <v>2.91433</v>
      </c>
      <c r="O10" s="127">
        <v>2.80951</v>
      </c>
      <c r="P10" s="127">
        <v>3.25289</v>
      </c>
      <c r="Q10" s="127">
        <v>5.06502</v>
      </c>
      <c r="R10" s="127" t="s">
        <v>660</v>
      </c>
    </row>
    <row r="11">
      <c r="A11" s="127">
        <v>2024.0</v>
      </c>
      <c r="B11" s="127" t="s">
        <v>660</v>
      </c>
      <c r="C11" s="127">
        <v>233.0</v>
      </c>
      <c r="D11" s="127">
        <v>0.0232</v>
      </c>
      <c r="E11" s="127">
        <v>0.547053</v>
      </c>
      <c r="F11" s="127">
        <v>23.2713</v>
      </c>
      <c r="G11" s="127">
        <v>0.01273</v>
      </c>
      <c r="H11" s="127">
        <v>57.56</v>
      </c>
      <c r="I11" s="127">
        <v>56.57</v>
      </c>
      <c r="J11" s="127">
        <v>23.6602</v>
      </c>
      <c r="K11" s="127">
        <v>21.6149</v>
      </c>
      <c r="L11" s="127">
        <v>90.7</v>
      </c>
      <c r="M11" s="127">
        <v>87.3</v>
      </c>
      <c r="N11" s="127"/>
      <c r="O11" s="127">
        <v>2.91433</v>
      </c>
      <c r="P11" s="127">
        <v>3.62109</v>
      </c>
      <c r="Q11" s="127">
        <v>7.09119</v>
      </c>
      <c r="R11" s="127" t="s">
        <v>660</v>
      </c>
    </row>
    <row r="12">
      <c r="A12" s="127">
        <v>2015.0</v>
      </c>
      <c r="B12" s="127" t="s">
        <v>37</v>
      </c>
      <c r="C12" s="127">
        <v>16.2</v>
      </c>
      <c r="D12" s="127">
        <v>0.0051</v>
      </c>
      <c r="E12" s="127">
        <v>0.936525</v>
      </c>
      <c r="F12" s="127">
        <v>22.5077</v>
      </c>
      <c r="G12" s="127">
        <v>0.01182</v>
      </c>
      <c r="H12" s="127">
        <v>48.04</v>
      </c>
      <c r="I12" s="127">
        <v>46.98</v>
      </c>
      <c r="J12" s="127">
        <v>19.6496</v>
      </c>
      <c r="K12" s="127">
        <v>28.8466</v>
      </c>
      <c r="L12" s="127">
        <v>41.0</v>
      </c>
      <c r="M12" s="127">
        <v>39.0</v>
      </c>
      <c r="N12" s="127">
        <v>2.51661</v>
      </c>
      <c r="O12" s="128"/>
      <c r="P12" s="127">
        <v>0.631201</v>
      </c>
      <c r="Q12" s="127">
        <v>6.98715</v>
      </c>
      <c r="R12" s="127" t="s">
        <v>37</v>
      </c>
    </row>
    <row r="13">
      <c r="A13" s="127">
        <v>2016.0</v>
      </c>
      <c r="B13" s="127" t="s">
        <v>37</v>
      </c>
      <c r="C13" s="127">
        <v>13.8</v>
      </c>
      <c r="D13" s="127">
        <v>0.00567</v>
      </c>
      <c r="E13" s="127">
        <v>0.939821</v>
      </c>
      <c r="F13" s="127">
        <v>22.7046</v>
      </c>
      <c r="G13" s="127">
        <v>0.21761</v>
      </c>
      <c r="H13" s="127">
        <v>49.34</v>
      </c>
      <c r="I13" s="127">
        <v>48.04</v>
      </c>
      <c r="J13" s="127">
        <v>14.0523</v>
      </c>
      <c r="K13" s="127">
        <v>19.6496</v>
      </c>
      <c r="L13" s="127">
        <v>44.0</v>
      </c>
      <c r="M13" s="127">
        <v>41.0</v>
      </c>
      <c r="N13" s="127">
        <v>7.37111</v>
      </c>
      <c r="O13" s="127">
        <v>2.51661</v>
      </c>
      <c r="P13" s="127">
        <v>2.66825</v>
      </c>
      <c r="Q13" s="127">
        <v>6.69001</v>
      </c>
      <c r="R13" s="127" t="s">
        <v>37</v>
      </c>
    </row>
    <row r="14">
      <c r="A14" s="127">
        <v>2017.0</v>
      </c>
      <c r="B14" s="127" t="s">
        <v>37</v>
      </c>
      <c r="C14" s="127">
        <v>23.2</v>
      </c>
      <c r="D14" s="127">
        <v>0.00745</v>
      </c>
      <c r="E14" s="127">
        <v>0.943616</v>
      </c>
      <c r="F14" s="127">
        <v>23.0757</v>
      </c>
      <c r="G14" s="127">
        <v>0.44932</v>
      </c>
      <c r="H14" s="127">
        <v>50.65</v>
      </c>
      <c r="I14" s="127">
        <v>49.34</v>
      </c>
      <c r="J14" s="127">
        <v>12.4741</v>
      </c>
      <c r="K14" s="127">
        <v>14.0523</v>
      </c>
      <c r="L14" s="127">
        <v>55.0</v>
      </c>
      <c r="M14" s="127">
        <v>44.0</v>
      </c>
      <c r="N14" s="127">
        <v>7.21942</v>
      </c>
      <c r="O14" s="127">
        <v>7.37111</v>
      </c>
      <c r="P14" s="127">
        <v>3.52026</v>
      </c>
      <c r="Q14" s="127">
        <v>6.94019</v>
      </c>
      <c r="R14" s="127" t="s">
        <v>37</v>
      </c>
    </row>
    <row r="15">
      <c r="A15" s="127">
        <v>2018.0</v>
      </c>
      <c r="B15" s="127" t="s">
        <v>37</v>
      </c>
      <c r="C15" s="127">
        <v>22.3</v>
      </c>
      <c r="D15" s="127">
        <v>0.0156</v>
      </c>
      <c r="E15" s="127">
        <v>0.93618</v>
      </c>
      <c r="F15" s="127">
        <v>23.2237</v>
      </c>
      <c r="G15" s="127">
        <v>0.15954</v>
      </c>
      <c r="H15" s="127">
        <v>51.32</v>
      </c>
      <c r="I15" s="127">
        <v>50.65</v>
      </c>
      <c r="J15" s="127">
        <v>11.3396</v>
      </c>
      <c r="K15" s="127">
        <v>12.4741</v>
      </c>
      <c r="L15" s="127">
        <v>57.6</v>
      </c>
      <c r="M15" s="127">
        <v>55.0</v>
      </c>
      <c r="N15" s="127">
        <v>4.08085</v>
      </c>
      <c r="O15" s="127">
        <v>7.21942</v>
      </c>
      <c r="P15" s="127">
        <v>3.53963</v>
      </c>
      <c r="Q15" s="127">
        <v>7.46501</v>
      </c>
      <c r="R15" s="127" t="s">
        <v>37</v>
      </c>
    </row>
    <row r="16">
      <c r="A16" s="127">
        <v>2019.0</v>
      </c>
      <c r="B16" s="127" t="s">
        <v>37</v>
      </c>
      <c r="C16" s="127">
        <v>23.9</v>
      </c>
      <c r="D16" s="127">
        <v>0.0157</v>
      </c>
      <c r="E16" s="127">
        <v>0.927603</v>
      </c>
      <c r="F16" s="127">
        <v>23.4021</v>
      </c>
      <c r="G16" s="127">
        <v>0.1953</v>
      </c>
      <c r="H16" s="127">
        <v>52.92</v>
      </c>
      <c r="I16" s="127">
        <v>51.32</v>
      </c>
      <c r="J16" s="127">
        <v>11.3076</v>
      </c>
      <c r="K16" s="127">
        <v>11.3396</v>
      </c>
      <c r="L16" s="127">
        <v>63.0</v>
      </c>
      <c r="M16" s="127">
        <v>57.6</v>
      </c>
      <c r="N16" s="127">
        <v>3.82797</v>
      </c>
      <c r="O16" s="127">
        <v>4.08085</v>
      </c>
      <c r="P16" s="127">
        <v>2.79582</v>
      </c>
      <c r="Q16" s="127">
        <v>7.35926</v>
      </c>
      <c r="R16" s="127" t="s">
        <v>37</v>
      </c>
    </row>
    <row r="17">
      <c r="A17" s="127">
        <v>2020.0</v>
      </c>
      <c r="B17" s="127" t="s">
        <v>37</v>
      </c>
      <c r="C17" s="127">
        <v>42.0</v>
      </c>
      <c r="D17" s="127">
        <v>0.0173</v>
      </c>
      <c r="E17" s="127">
        <v>0.920257</v>
      </c>
      <c r="F17" s="127">
        <v>23.606</v>
      </c>
      <c r="G17" s="127">
        <v>0.22611</v>
      </c>
      <c r="H17" s="127">
        <v>54.56</v>
      </c>
      <c r="I17" s="127">
        <v>52.92</v>
      </c>
      <c r="J17" s="127">
        <v>12.2739</v>
      </c>
      <c r="K17" s="127">
        <v>11.3076</v>
      </c>
      <c r="L17" s="127">
        <v>65.0</v>
      </c>
      <c r="M17" s="127">
        <v>63.0</v>
      </c>
      <c r="N17" s="127">
        <v>4.16333</v>
      </c>
      <c r="O17" s="127">
        <v>3.82797</v>
      </c>
      <c r="P17" s="127">
        <v>3.22093</v>
      </c>
      <c r="Q17" s="127">
        <v>2.86541</v>
      </c>
      <c r="R17" s="127" t="s">
        <v>37</v>
      </c>
    </row>
    <row r="18">
      <c r="A18" s="127">
        <v>2021.0</v>
      </c>
      <c r="B18" s="127" t="s">
        <v>37</v>
      </c>
      <c r="C18" s="127">
        <v>69.9</v>
      </c>
      <c r="D18" s="127">
        <v>0.0182</v>
      </c>
      <c r="E18" s="127">
        <v>0.914923</v>
      </c>
      <c r="F18" s="127">
        <v>23.8762</v>
      </c>
      <c r="G18" s="127">
        <v>0.31024</v>
      </c>
      <c r="H18" s="127">
        <v>53.94</v>
      </c>
      <c r="I18" s="127">
        <v>54.56</v>
      </c>
      <c r="J18" s="127">
        <v>12.1839</v>
      </c>
      <c r="K18" s="127">
        <v>12.2739</v>
      </c>
      <c r="L18" s="127">
        <v>71.0</v>
      </c>
      <c r="M18" s="127">
        <v>65.0</v>
      </c>
      <c r="N18" s="127">
        <v>6.50641</v>
      </c>
      <c r="O18" s="127">
        <v>4.16333</v>
      </c>
      <c r="P18" s="127">
        <v>1.83472</v>
      </c>
      <c r="Q18" s="127">
        <v>2.55373</v>
      </c>
      <c r="R18" s="127" t="s">
        <v>37</v>
      </c>
    </row>
    <row r="19">
      <c r="A19" s="127">
        <v>2022.0</v>
      </c>
      <c r="B19" s="127" t="s">
        <v>37</v>
      </c>
      <c r="C19" s="127">
        <v>60.3</v>
      </c>
      <c r="D19" s="127">
        <v>0.0225</v>
      </c>
      <c r="E19" s="127">
        <v>0.903864</v>
      </c>
      <c r="F19" s="127">
        <v>24.0462</v>
      </c>
      <c r="G19" s="127">
        <v>0.18529</v>
      </c>
      <c r="H19" s="127">
        <v>55.52</v>
      </c>
      <c r="I19" s="127">
        <v>53.94</v>
      </c>
      <c r="J19" s="127">
        <v>18.1757</v>
      </c>
      <c r="K19" s="127">
        <v>12.1839</v>
      </c>
      <c r="L19" s="127">
        <v>78.0</v>
      </c>
      <c r="M19" s="127">
        <v>71.0</v>
      </c>
      <c r="N19" s="127">
        <v>9.18041</v>
      </c>
      <c r="O19" s="127">
        <v>6.50641</v>
      </c>
      <c r="P19" s="127">
        <v>3.15651</v>
      </c>
      <c r="Q19" s="127">
        <v>8.5375</v>
      </c>
      <c r="R19" s="127" t="s">
        <v>37</v>
      </c>
    </row>
    <row r="20">
      <c r="A20" s="127">
        <v>2023.0</v>
      </c>
      <c r="B20" s="127" t="s">
        <v>37</v>
      </c>
      <c r="C20" s="127">
        <v>82.9</v>
      </c>
      <c r="D20" s="127">
        <v>0.0223</v>
      </c>
      <c r="E20" s="127">
        <v>0.901285</v>
      </c>
      <c r="F20" s="127">
        <v>24.183</v>
      </c>
      <c r="G20" s="127">
        <v>0.14659</v>
      </c>
      <c r="H20" s="127">
        <v>56.57</v>
      </c>
      <c r="I20" s="127">
        <v>55.52</v>
      </c>
      <c r="J20" s="127">
        <v>21.6149</v>
      </c>
      <c r="K20" s="127">
        <v>18.1757</v>
      </c>
      <c r="L20" s="127">
        <v>89.2</v>
      </c>
      <c r="M20" s="127">
        <v>78.0</v>
      </c>
      <c r="N20" s="127">
        <v>7.04367</v>
      </c>
      <c r="O20" s="127">
        <v>9.18041</v>
      </c>
      <c r="P20" s="127">
        <v>3.25289</v>
      </c>
      <c r="Q20" s="127">
        <v>5.06502</v>
      </c>
      <c r="R20" s="127" t="s">
        <v>37</v>
      </c>
    </row>
    <row r="21">
      <c r="A21" s="127">
        <v>2024.0</v>
      </c>
      <c r="B21" s="127" t="s">
        <v>37</v>
      </c>
      <c r="C21" s="127">
        <v>98.3</v>
      </c>
      <c r="D21" s="127">
        <v>0.0194</v>
      </c>
      <c r="E21" s="127">
        <v>0.903401</v>
      </c>
      <c r="F21" s="127">
        <v>24.2154</v>
      </c>
      <c r="G21" s="127">
        <v>0.03293</v>
      </c>
      <c r="H21" s="127">
        <v>57.56</v>
      </c>
      <c r="I21" s="127">
        <v>56.57</v>
      </c>
      <c r="J21" s="127">
        <v>23.6602</v>
      </c>
      <c r="K21" s="127">
        <v>21.6149</v>
      </c>
      <c r="L21" s="127">
        <v>91.0</v>
      </c>
      <c r="M21" s="127">
        <v>89.2</v>
      </c>
      <c r="N21" s="127"/>
      <c r="O21" s="127">
        <v>7.04367</v>
      </c>
      <c r="P21" s="127">
        <v>3.62109</v>
      </c>
      <c r="Q21" s="127">
        <v>7.09119</v>
      </c>
      <c r="R21" s="127" t="s">
        <v>37</v>
      </c>
    </row>
    <row r="22">
      <c r="A22" s="127">
        <v>2015.0</v>
      </c>
      <c r="B22" s="127" t="s">
        <v>780</v>
      </c>
      <c r="C22" s="127">
        <v>35.1</v>
      </c>
      <c r="D22" s="127">
        <v>0.0075</v>
      </c>
      <c r="E22" s="127">
        <v>0.950233</v>
      </c>
      <c r="F22" s="127">
        <v>23.8095</v>
      </c>
      <c r="G22" s="127">
        <v>0.09792</v>
      </c>
      <c r="H22" s="127">
        <v>48.04</v>
      </c>
      <c r="I22" s="127">
        <v>46.98</v>
      </c>
      <c r="J22" s="127">
        <v>19.6496</v>
      </c>
      <c r="K22" s="127">
        <v>28.8466</v>
      </c>
      <c r="L22" s="127">
        <v>65.0</v>
      </c>
      <c r="M22" s="127">
        <v>60.0</v>
      </c>
      <c r="N22" s="127">
        <v>3.36452</v>
      </c>
      <c r="O22" s="128"/>
      <c r="P22" s="127">
        <v>0.631201</v>
      </c>
      <c r="Q22" s="127">
        <v>6.98715</v>
      </c>
      <c r="R22" s="127" t="s">
        <v>780</v>
      </c>
    </row>
    <row r="23">
      <c r="A23" s="127">
        <v>2016.0</v>
      </c>
      <c r="B23" s="127" t="s">
        <v>780</v>
      </c>
      <c r="C23" s="127">
        <v>26.5</v>
      </c>
      <c r="D23" s="127">
        <v>0.00616</v>
      </c>
      <c r="E23" s="127">
        <v>0.956165</v>
      </c>
      <c r="F23" s="127">
        <v>24.0302</v>
      </c>
      <c r="G23" s="127">
        <v>0.24702</v>
      </c>
      <c r="H23" s="127">
        <v>49.34</v>
      </c>
      <c r="I23" s="127">
        <v>48.04</v>
      </c>
      <c r="J23" s="127">
        <v>14.0523</v>
      </c>
      <c r="K23" s="127">
        <v>19.6496</v>
      </c>
      <c r="L23" s="127">
        <v>66.4</v>
      </c>
      <c r="M23" s="127">
        <v>65.0</v>
      </c>
      <c r="N23" s="127">
        <v>2.85832</v>
      </c>
      <c r="O23" s="127">
        <v>3.36452</v>
      </c>
      <c r="P23" s="127">
        <v>2.66825</v>
      </c>
      <c r="Q23" s="127">
        <v>6.69001</v>
      </c>
      <c r="R23" s="127" t="s">
        <v>780</v>
      </c>
    </row>
    <row r="24">
      <c r="A24" s="127">
        <v>2017.0</v>
      </c>
      <c r="B24" s="127" t="s">
        <v>780</v>
      </c>
      <c r="C24" s="127">
        <v>40.5</v>
      </c>
      <c r="D24" s="127">
        <v>0.00578</v>
      </c>
      <c r="E24" s="127">
        <v>0.959382</v>
      </c>
      <c r="F24" s="127">
        <v>24.29</v>
      </c>
      <c r="G24" s="127">
        <v>0.29669</v>
      </c>
      <c r="H24" s="127">
        <v>50.65</v>
      </c>
      <c r="I24" s="127">
        <v>49.34</v>
      </c>
      <c r="J24" s="127">
        <v>12.4741</v>
      </c>
      <c r="K24" s="127">
        <v>14.0523</v>
      </c>
      <c r="L24" s="127">
        <v>70.5</v>
      </c>
      <c r="M24" s="127">
        <v>66.4</v>
      </c>
      <c r="N24" s="127">
        <v>4.1</v>
      </c>
      <c r="O24" s="127">
        <v>2.85832</v>
      </c>
      <c r="P24" s="127">
        <v>3.52026</v>
      </c>
      <c r="Q24" s="127">
        <v>6.94019</v>
      </c>
      <c r="R24" s="127" t="s">
        <v>780</v>
      </c>
    </row>
    <row r="25">
      <c r="A25" s="127">
        <v>2018.0</v>
      </c>
      <c r="B25" s="127" t="s">
        <v>780</v>
      </c>
      <c r="C25" s="127">
        <v>49.9</v>
      </c>
      <c r="D25" s="127">
        <v>0.0057</v>
      </c>
      <c r="E25" s="127">
        <v>0.958496</v>
      </c>
      <c r="F25" s="127">
        <v>24.417</v>
      </c>
      <c r="G25" s="127">
        <v>0.13541</v>
      </c>
      <c r="H25" s="127">
        <v>51.32</v>
      </c>
      <c r="I25" s="127">
        <v>50.65</v>
      </c>
      <c r="J25" s="127">
        <v>11.3396</v>
      </c>
      <c r="K25" s="127">
        <v>12.4741</v>
      </c>
      <c r="L25" s="127">
        <v>74.6</v>
      </c>
      <c r="M25" s="127">
        <v>70.5</v>
      </c>
      <c r="N25" s="127">
        <v>5.82838</v>
      </c>
      <c r="O25" s="127">
        <v>4.1</v>
      </c>
      <c r="P25" s="127">
        <v>3.53963</v>
      </c>
      <c r="Q25" s="127">
        <v>7.46501</v>
      </c>
      <c r="R25" s="127" t="s">
        <v>780</v>
      </c>
    </row>
    <row r="26">
      <c r="A26" s="127">
        <v>2019.0</v>
      </c>
      <c r="B26" s="127" t="s">
        <v>780</v>
      </c>
      <c r="C26" s="127">
        <v>60.7</v>
      </c>
      <c r="D26" s="127">
        <v>0.00574</v>
      </c>
      <c r="E26" s="127">
        <v>0.947882</v>
      </c>
      <c r="F26" s="127">
        <v>24.4738</v>
      </c>
      <c r="G26" s="127">
        <v>0.05846</v>
      </c>
      <c r="H26" s="127">
        <v>52.92</v>
      </c>
      <c r="I26" s="127">
        <v>51.32</v>
      </c>
      <c r="J26" s="127">
        <v>11.3076</v>
      </c>
      <c r="K26" s="127">
        <v>11.3396</v>
      </c>
      <c r="L26" s="127">
        <v>82.0</v>
      </c>
      <c r="M26" s="127">
        <v>74.6</v>
      </c>
      <c r="N26" s="127">
        <v>5.69561</v>
      </c>
      <c r="O26" s="127">
        <v>5.82838</v>
      </c>
      <c r="P26" s="127">
        <v>2.79582</v>
      </c>
      <c r="Q26" s="127">
        <v>7.35926</v>
      </c>
      <c r="R26" s="127" t="s">
        <v>780</v>
      </c>
    </row>
    <row r="27">
      <c r="A27" s="127">
        <v>2020.0</v>
      </c>
      <c r="B27" s="127" t="s">
        <v>780</v>
      </c>
      <c r="C27" s="127">
        <v>73.9</v>
      </c>
      <c r="D27" s="127">
        <v>0.00476</v>
      </c>
      <c r="E27" s="127">
        <v>0.947486</v>
      </c>
      <c r="F27" s="127">
        <v>24.5253</v>
      </c>
      <c r="G27" s="127">
        <v>0.05276</v>
      </c>
      <c r="H27" s="127">
        <v>54.56</v>
      </c>
      <c r="I27" s="127">
        <v>52.92</v>
      </c>
      <c r="J27" s="127">
        <v>12.2739</v>
      </c>
      <c r="K27" s="127">
        <v>11.3076</v>
      </c>
      <c r="L27" s="127">
        <v>85.8</v>
      </c>
      <c r="M27" s="127">
        <v>82.0</v>
      </c>
      <c r="N27" s="127">
        <v>2.81603</v>
      </c>
      <c r="O27" s="127">
        <v>5.69561</v>
      </c>
      <c r="P27" s="127">
        <v>3.22093</v>
      </c>
      <c r="Q27" s="127">
        <v>2.86541</v>
      </c>
      <c r="R27" s="127" t="s">
        <v>780</v>
      </c>
    </row>
    <row r="28">
      <c r="A28" s="127">
        <v>2021.0</v>
      </c>
      <c r="B28" s="127" t="s">
        <v>780</v>
      </c>
      <c r="C28" s="127">
        <v>62.4</v>
      </c>
      <c r="D28" s="127">
        <v>0.00615</v>
      </c>
      <c r="E28" s="127">
        <v>0.950997</v>
      </c>
      <c r="F28" s="127">
        <v>24.7509</v>
      </c>
      <c r="G28" s="127">
        <v>0.25312</v>
      </c>
      <c r="H28" s="127">
        <v>53.94</v>
      </c>
      <c r="I28" s="127">
        <v>54.56</v>
      </c>
      <c r="J28" s="127">
        <v>12.1839</v>
      </c>
      <c r="K28" s="127">
        <v>12.2739</v>
      </c>
      <c r="L28" s="127">
        <v>87.5</v>
      </c>
      <c r="M28" s="127">
        <v>85.8</v>
      </c>
      <c r="N28" s="127">
        <v>1.75024</v>
      </c>
      <c r="O28" s="127">
        <v>2.81603</v>
      </c>
      <c r="P28" s="127">
        <v>1.83472</v>
      </c>
      <c r="Q28" s="127">
        <v>2.55373</v>
      </c>
      <c r="R28" s="127" t="s">
        <v>780</v>
      </c>
    </row>
    <row r="29">
      <c r="A29" s="127">
        <v>2022.0</v>
      </c>
      <c r="B29" s="127" t="s">
        <v>780</v>
      </c>
      <c r="C29" s="127">
        <v>67.7</v>
      </c>
      <c r="D29" s="127">
        <v>0.00869</v>
      </c>
      <c r="E29" s="127">
        <v>0.950868</v>
      </c>
      <c r="F29" s="127">
        <v>24.8989</v>
      </c>
      <c r="G29" s="127">
        <v>0.15953</v>
      </c>
      <c r="H29" s="127">
        <v>55.52</v>
      </c>
      <c r="I29" s="127">
        <v>53.94</v>
      </c>
      <c r="J29" s="127">
        <v>18.1757</v>
      </c>
      <c r="K29" s="127">
        <v>12.1839</v>
      </c>
      <c r="L29" s="127">
        <v>89.3</v>
      </c>
      <c r="M29" s="127">
        <v>87.5</v>
      </c>
      <c r="N29" s="127">
        <v>2.37136</v>
      </c>
      <c r="O29" s="127">
        <v>1.75024</v>
      </c>
      <c r="P29" s="127">
        <v>3.15651</v>
      </c>
      <c r="Q29" s="127">
        <v>8.5375</v>
      </c>
      <c r="R29" s="127" t="s">
        <v>780</v>
      </c>
    </row>
    <row r="30">
      <c r="A30" s="127">
        <v>2023.0</v>
      </c>
      <c r="B30" s="127" t="s">
        <v>780</v>
      </c>
      <c r="C30" s="127">
        <v>78.9</v>
      </c>
      <c r="D30" s="127">
        <v>0.00955</v>
      </c>
      <c r="E30" s="127">
        <v>0.9466</v>
      </c>
      <c r="F30" s="127">
        <v>24.9802</v>
      </c>
      <c r="G30" s="127">
        <v>0.08464</v>
      </c>
      <c r="H30" s="127">
        <v>56.57</v>
      </c>
      <c r="I30" s="127">
        <v>55.52</v>
      </c>
      <c r="J30" s="127">
        <v>21.6149</v>
      </c>
      <c r="K30" s="127">
        <v>18.1757</v>
      </c>
      <c r="L30" s="127">
        <v>92.2</v>
      </c>
      <c r="M30" s="127">
        <v>89.3</v>
      </c>
      <c r="N30" s="127">
        <v>2.32594</v>
      </c>
      <c r="O30" s="127">
        <v>2.37136</v>
      </c>
      <c r="P30" s="127">
        <v>3.25289</v>
      </c>
      <c r="Q30" s="127">
        <v>5.06502</v>
      </c>
      <c r="R30" s="127" t="s">
        <v>780</v>
      </c>
    </row>
    <row r="31">
      <c r="A31" s="127">
        <v>2024.0</v>
      </c>
      <c r="B31" s="127" t="s">
        <v>780</v>
      </c>
      <c r="C31" s="127">
        <v>77.6</v>
      </c>
      <c r="D31" s="127">
        <v>0.00927</v>
      </c>
      <c r="E31" s="127">
        <v>0.947511</v>
      </c>
      <c r="F31" s="127">
        <v>25.0491</v>
      </c>
      <c r="G31" s="127">
        <v>0.07138</v>
      </c>
      <c r="H31" s="127">
        <v>57.56</v>
      </c>
      <c r="I31" s="127">
        <v>56.57</v>
      </c>
      <c r="J31" s="127">
        <v>23.6602</v>
      </c>
      <c r="K31" s="127">
        <v>21.6149</v>
      </c>
      <c r="L31" s="127">
        <v>93.9</v>
      </c>
      <c r="M31" s="127">
        <v>92.2</v>
      </c>
      <c r="N31" s="127"/>
      <c r="O31" s="127">
        <v>2.32594</v>
      </c>
      <c r="P31" s="127">
        <v>3.62109</v>
      </c>
      <c r="Q31" s="127">
        <v>7.09119</v>
      </c>
      <c r="R31" s="127" t="s">
        <v>780</v>
      </c>
    </row>
    <row r="32">
      <c r="A32" s="127">
        <v>2015.0</v>
      </c>
      <c r="B32" s="127" t="s">
        <v>964</v>
      </c>
      <c r="C32" s="127">
        <v>114.0</v>
      </c>
      <c r="D32" s="127">
        <v>0.0379</v>
      </c>
      <c r="E32" s="127">
        <v>0.643576</v>
      </c>
      <c r="F32" s="127">
        <v>19.7353</v>
      </c>
      <c r="G32" s="127">
        <v>-0.26564</v>
      </c>
      <c r="H32" s="127">
        <v>48.04</v>
      </c>
      <c r="I32" s="127">
        <v>46.98</v>
      </c>
      <c r="J32" s="127">
        <v>19.6496</v>
      </c>
      <c r="K32" s="127">
        <v>28.8466</v>
      </c>
      <c r="L32" s="127">
        <v>51.6</v>
      </c>
      <c r="M32" s="127">
        <v>48.3</v>
      </c>
      <c r="N32" s="127">
        <v>2.49867</v>
      </c>
      <c r="O32" s="128"/>
      <c r="P32" s="127">
        <v>0.631201</v>
      </c>
      <c r="Q32" s="127">
        <v>6.98715</v>
      </c>
      <c r="R32" s="127" t="s">
        <v>964</v>
      </c>
    </row>
    <row r="33">
      <c r="A33" s="127">
        <v>2016.0</v>
      </c>
      <c r="B33" s="127" t="s">
        <v>964</v>
      </c>
      <c r="C33" s="127">
        <v>136.0</v>
      </c>
      <c r="D33" s="127">
        <v>0.04</v>
      </c>
      <c r="E33" s="127">
        <v>0.602297</v>
      </c>
      <c r="F33" s="127">
        <v>19.4989</v>
      </c>
      <c r="G33" s="127">
        <v>-0.21052</v>
      </c>
      <c r="H33" s="127">
        <v>49.34</v>
      </c>
      <c r="I33" s="127">
        <v>48.04</v>
      </c>
      <c r="J33" s="127">
        <v>14.0523</v>
      </c>
      <c r="K33" s="127">
        <v>19.6496</v>
      </c>
      <c r="L33" s="127">
        <v>53.2</v>
      </c>
      <c r="M33" s="127">
        <v>51.6</v>
      </c>
      <c r="N33" s="127">
        <v>1.96044</v>
      </c>
      <c r="O33" s="127">
        <v>2.49867</v>
      </c>
      <c r="P33" s="127">
        <v>2.66825</v>
      </c>
      <c r="Q33" s="127">
        <v>6.69001</v>
      </c>
      <c r="R33" s="127" t="s">
        <v>964</v>
      </c>
    </row>
    <row r="34">
      <c r="A34" s="127">
        <v>2017.0</v>
      </c>
      <c r="B34" s="127" t="s">
        <v>964</v>
      </c>
      <c r="C34" s="127">
        <v>238.0</v>
      </c>
      <c r="D34" s="127">
        <v>0.0419</v>
      </c>
      <c r="E34" s="127">
        <v>0.607679</v>
      </c>
      <c r="F34" s="127">
        <v>19.6297</v>
      </c>
      <c r="G34" s="127">
        <v>0.13972</v>
      </c>
      <c r="H34" s="127">
        <v>50.65</v>
      </c>
      <c r="I34" s="127">
        <v>49.34</v>
      </c>
      <c r="J34" s="127">
        <v>12.4741</v>
      </c>
      <c r="K34" s="127">
        <v>14.0523</v>
      </c>
      <c r="L34" s="127">
        <v>55.5</v>
      </c>
      <c r="M34" s="127">
        <v>53.2</v>
      </c>
      <c r="N34" s="127">
        <v>2.15174</v>
      </c>
      <c r="O34" s="127">
        <v>1.96044</v>
      </c>
      <c r="P34" s="127">
        <v>3.52026</v>
      </c>
      <c r="Q34" s="127">
        <v>6.94019</v>
      </c>
      <c r="R34" s="127" t="s">
        <v>964</v>
      </c>
    </row>
    <row r="35">
      <c r="A35" s="127">
        <v>2018.0</v>
      </c>
      <c r="B35" s="127" t="s">
        <v>964</v>
      </c>
      <c r="C35" s="127">
        <v>193.0</v>
      </c>
      <c r="D35" s="127">
        <v>0.0425</v>
      </c>
      <c r="E35" s="127">
        <v>0.606844</v>
      </c>
      <c r="F35" s="127">
        <v>19.8032</v>
      </c>
      <c r="G35" s="127">
        <v>0.18946</v>
      </c>
      <c r="H35" s="127">
        <v>51.32</v>
      </c>
      <c r="I35" s="127">
        <v>50.65</v>
      </c>
      <c r="J35" s="127">
        <v>11.3396</v>
      </c>
      <c r="K35" s="127">
        <v>12.4741</v>
      </c>
      <c r="L35" s="127">
        <v>57.5</v>
      </c>
      <c r="M35" s="127">
        <v>55.5</v>
      </c>
      <c r="N35" s="127">
        <v>2.67644</v>
      </c>
      <c r="O35" s="127">
        <v>2.15174</v>
      </c>
      <c r="P35" s="127">
        <v>3.53963</v>
      </c>
      <c r="Q35" s="127">
        <v>7.46501</v>
      </c>
      <c r="R35" s="127" t="s">
        <v>964</v>
      </c>
    </row>
    <row r="36">
      <c r="A36" s="127">
        <v>2019.0</v>
      </c>
      <c r="B36" s="127" t="s">
        <v>964</v>
      </c>
      <c r="C36" s="127">
        <v>278.0</v>
      </c>
      <c r="D36" s="127">
        <v>0.0428</v>
      </c>
      <c r="E36" s="127">
        <v>0.605298</v>
      </c>
      <c r="F36" s="127">
        <v>19.7677</v>
      </c>
      <c r="G36" s="127">
        <v>-0.03491</v>
      </c>
      <c r="H36" s="127">
        <v>52.92</v>
      </c>
      <c r="I36" s="127">
        <v>51.32</v>
      </c>
      <c r="J36" s="127">
        <v>11.3076</v>
      </c>
      <c r="K36" s="127">
        <v>11.3396</v>
      </c>
      <c r="L36" s="127">
        <v>60.8</v>
      </c>
      <c r="M36" s="127">
        <v>57.5</v>
      </c>
      <c r="N36" s="127">
        <v>3.25013</v>
      </c>
      <c r="O36" s="127">
        <v>2.67644</v>
      </c>
      <c r="P36" s="127">
        <v>2.79582</v>
      </c>
      <c r="Q36" s="127">
        <v>7.35926</v>
      </c>
      <c r="R36" s="127" t="s">
        <v>964</v>
      </c>
    </row>
    <row r="37">
      <c r="A37" s="127">
        <v>2020.0</v>
      </c>
      <c r="B37" s="127" t="s">
        <v>964</v>
      </c>
      <c r="C37" s="127">
        <v>353.0</v>
      </c>
      <c r="D37" s="127">
        <v>0.0435</v>
      </c>
      <c r="E37" s="127">
        <v>0.602509</v>
      </c>
      <c r="F37" s="127">
        <v>19.4866</v>
      </c>
      <c r="G37" s="127">
        <v>-0.24498</v>
      </c>
      <c r="H37" s="127">
        <v>54.56</v>
      </c>
      <c r="I37" s="127">
        <v>52.92</v>
      </c>
      <c r="J37" s="127">
        <v>12.2739</v>
      </c>
      <c r="K37" s="127">
        <v>11.3076</v>
      </c>
      <c r="L37" s="127">
        <v>64.0</v>
      </c>
      <c r="M37" s="127">
        <v>60.8</v>
      </c>
      <c r="N37" s="127">
        <v>3.10054</v>
      </c>
      <c r="O37" s="127">
        <v>3.25013</v>
      </c>
      <c r="P37" s="127">
        <v>3.22093</v>
      </c>
      <c r="Q37" s="127">
        <v>2.86541</v>
      </c>
      <c r="R37" s="127" t="s">
        <v>964</v>
      </c>
    </row>
    <row r="38">
      <c r="A38" s="127">
        <v>2021.0</v>
      </c>
      <c r="B38" s="127" t="s">
        <v>964</v>
      </c>
      <c r="C38" s="127">
        <v>519.0</v>
      </c>
      <c r="D38" s="127">
        <v>0.0473</v>
      </c>
      <c r="E38" s="127">
        <v>0.593578</v>
      </c>
      <c r="F38" s="127">
        <v>19.5165</v>
      </c>
      <c r="G38" s="127">
        <v>0.03028</v>
      </c>
      <c r="H38" s="127">
        <v>53.94</v>
      </c>
      <c r="I38" s="127">
        <v>54.56</v>
      </c>
      <c r="J38" s="127">
        <v>12.1839</v>
      </c>
      <c r="K38" s="127">
        <v>12.2739</v>
      </c>
      <c r="L38" s="127">
        <v>67.0</v>
      </c>
      <c r="M38" s="127">
        <v>64.0</v>
      </c>
      <c r="N38" s="127">
        <v>2.75379</v>
      </c>
      <c r="O38" s="127">
        <v>3.10054</v>
      </c>
      <c r="P38" s="127">
        <v>1.83472</v>
      </c>
      <c r="Q38" s="127">
        <v>2.55373</v>
      </c>
      <c r="R38" s="127" t="s">
        <v>964</v>
      </c>
    </row>
    <row r="39">
      <c r="A39" s="127">
        <v>2022.0</v>
      </c>
      <c r="B39" s="127" t="s">
        <v>964</v>
      </c>
      <c r="C39" s="127">
        <v>555.0</v>
      </c>
      <c r="D39" s="127">
        <v>0.032</v>
      </c>
      <c r="E39" s="127">
        <v>0.659964</v>
      </c>
      <c r="F39" s="127">
        <v>19.9771</v>
      </c>
      <c r="G39" s="127">
        <v>0.58503</v>
      </c>
      <c r="H39" s="127">
        <v>55.52</v>
      </c>
      <c r="I39" s="127">
        <v>53.94</v>
      </c>
      <c r="J39" s="127">
        <v>18.1757</v>
      </c>
      <c r="K39" s="127">
        <v>12.1839</v>
      </c>
      <c r="L39" s="127">
        <v>69.5</v>
      </c>
      <c r="M39" s="127">
        <v>67.0</v>
      </c>
      <c r="N39" s="127">
        <v>3.11929</v>
      </c>
      <c r="O39" s="127">
        <v>2.75379</v>
      </c>
      <c r="P39" s="127">
        <v>3.15651</v>
      </c>
      <c r="Q39" s="127">
        <v>8.5375</v>
      </c>
      <c r="R39" s="127" t="s">
        <v>964</v>
      </c>
    </row>
    <row r="40">
      <c r="A40" s="127">
        <v>2023.0</v>
      </c>
      <c r="B40" s="127" t="s">
        <v>964</v>
      </c>
      <c r="C40" s="127">
        <v>534.0</v>
      </c>
      <c r="D40" s="127">
        <v>0.0321</v>
      </c>
      <c r="E40" s="127">
        <v>0.661917</v>
      </c>
      <c r="F40" s="127">
        <v>19.8679</v>
      </c>
      <c r="G40" s="127">
        <v>-0.10343</v>
      </c>
      <c r="H40" s="127">
        <v>56.57</v>
      </c>
      <c r="I40" s="127">
        <v>55.52</v>
      </c>
      <c r="J40" s="127">
        <v>21.6149</v>
      </c>
      <c r="K40" s="127">
        <v>18.1757</v>
      </c>
      <c r="L40" s="127">
        <v>73.2</v>
      </c>
      <c r="M40" s="127">
        <v>69.5</v>
      </c>
      <c r="N40" s="127">
        <v>3.35609</v>
      </c>
      <c r="O40" s="127">
        <v>3.11929</v>
      </c>
      <c r="P40" s="127">
        <v>3.25289</v>
      </c>
      <c r="Q40" s="127">
        <v>5.06502</v>
      </c>
      <c r="R40" s="127" t="s">
        <v>964</v>
      </c>
    </row>
    <row r="41">
      <c r="A41" s="127">
        <v>2024.0</v>
      </c>
      <c r="B41" s="127" t="s">
        <v>964</v>
      </c>
      <c r="C41" s="127">
        <v>527.0</v>
      </c>
      <c r="D41" s="127">
        <v>0.0413</v>
      </c>
      <c r="E41" s="127">
        <v>0.657068</v>
      </c>
      <c r="F41" s="127">
        <v>19.8647</v>
      </c>
      <c r="G41" s="127">
        <v>-0.00324</v>
      </c>
      <c r="H41" s="127">
        <v>57.56</v>
      </c>
      <c r="I41" s="127">
        <v>56.57</v>
      </c>
      <c r="J41" s="127">
        <v>23.6602</v>
      </c>
      <c r="K41" s="127">
        <v>21.6149</v>
      </c>
      <c r="L41" s="127">
        <v>76.2</v>
      </c>
      <c r="M41" s="127">
        <v>73.2</v>
      </c>
      <c r="N41" s="127"/>
      <c r="O41" s="127">
        <v>3.35609</v>
      </c>
      <c r="P41" s="127">
        <v>3.62109</v>
      </c>
      <c r="Q41" s="127">
        <v>7.09119</v>
      </c>
      <c r="R41" s="127" t="s">
        <v>964</v>
      </c>
    </row>
    <row r="42">
      <c r="A42" s="127">
        <v>2015.0</v>
      </c>
      <c r="B42" s="127" t="s">
        <v>908</v>
      </c>
      <c r="C42" s="127">
        <v>196.0</v>
      </c>
      <c r="D42" s="127">
        <v>0.0525</v>
      </c>
      <c r="E42" s="127">
        <v>0.691927</v>
      </c>
      <c r="F42" s="127">
        <v>21.2834</v>
      </c>
      <c r="G42" s="127">
        <v>-0.32823</v>
      </c>
      <c r="H42" s="127">
        <v>48.04</v>
      </c>
      <c r="I42" s="127">
        <v>46.98</v>
      </c>
      <c r="J42" s="127">
        <v>19.6496</v>
      </c>
      <c r="K42" s="127">
        <v>28.8466</v>
      </c>
      <c r="L42" s="127">
        <v>48.7</v>
      </c>
      <c r="M42" s="127">
        <v>46.0</v>
      </c>
      <c r="N42" s="127">
        <v>3.005</v>
      </c>
      <c r="O42" s="128"/>
      <c r="P42" s="127">
        <v>0.631201</v>
      </c>
      <c r="Q42" s="127">
        <v>6.98715</v>
      </c>
      <c r="R42" s="127" t="s">
        <v>908</v>
      </c>
    </row>
    <row r="43">
      <c r="A43" s="127">
        <v>2016.0</v>
      </c>
      <c r="B43" s="127" t="s">
        <v>908</v>
      </c>
      <c r="C43" s="127">
        <v>484.0</v>
      </c>
      <c r="D43" s="127">
        <v>0.0985</v>
      </c>
      <c r="E43" s="127">
        <v>0.576303</v>
      </c>
      <c r="F43" s="127">
        <v>20.9145</v>
      </c>
      <c r="G43" s="127">
        <v>-0.30851</v>
      </c>
      <c r="H43" s="127">
        <v>49.34</v>
      </c>
      <c r="I43" s="127">
        <v>48.04</v>
      </c>
      <c r="J43" s="127">
        <v>14.0523</v>
      </c>
      <c r="K43" s="127">
        <v>19.6496</v>
      </c>
      <c r="L43" s="127">
        <v>52.0</v>
      </c>
      <c r="M43" s="127">
        <v>48.7</v>
      </c>
      <c r="N43" s="127">
        <v>3.65559</v>
      </c>
      <c r="O43" s="127">
        <v>3.005</v>
      </c>
      <c r="P43" s="127">
        <v>2.66825</v>
      </c>
      <c r="Q43" s="127">
        <v>6.69001</v>
      </c>
      <c r="R43" s="127" t="s">
        <v>908</v>
      </c>
    </row>
    <row r="44">
      <c r="A44" s="127">
        <v>2017.0</v>
      </c>
      <c r="B44" s="127" t="s">
        <v>908</v>
      </c>
      <c r="C44" s="127">
        <v>362.0</v>
      </c>
      <c r="D44" s="127">
        <v>0.0779</v>
      </c>
      <c r="E44" s="127">
        <v>0.631523</v>
      </c>
      <c r="F44" s="127">
        <v>21.4368</v>
      </c>
      <c r="G44" s="127">
        <v>0.68586</v>
      </c>
      <c r="H44" s="127">
        <v>50.65</v>
      </c>
      <c r="I44" s="127">
        <v>49.34</v>
      </c>
      <c r="J44" s="127">
        <v>12.4741</v>
      </c>
      <c r="K44" s="127">
        <v>14.0523</v>
      </c>
      <c r="L44" s="127">
        <v>56.0</v>
      </c>
      <c r="M44" s="127">
        <v>52.0</v>
      </c>
      <c r="N44" s="127">
        <v>3.37095</v>
      </c>
      <c r="O44" s="127">
        <v>3.65559</v>
      </c>
      <c r="P44" s="127">
        <v>3.52026</v>
      </c>
      <c r="Q44" s="127">
        <v>6.94019</v>
      </c>
      <c r="R44" s="127" t="s">
        <v>908</v>
      </c>
    </row>
    <row r="45">
      <c r="A45" s="127">
        <v>2018.0</v>
      </c>
      <c r="B45" s="127" t="s">
        <v>908</v>
      </c>
      <c r="C45" s="127">
        <v>257.0</v>
      </c>
      <c r="D45" s="127">
        <v>0.00966</v>
      </c>
      <c r="E45" s="127">
        <v>0.653665</v>
      </c>
      <c r="F45" s="127">
        <v>21.7113</v>
      </c>
      <c r="G45" s="127">
        <v>0.31592</v>
      </c>
      <c r="H45" s="127">
        <v>51.32</v>
      </c>
      <c r="I45" s="127">
        <v>50.65</v>
      </c>
      <c r="J45" s="127">
        <v>11.3396</v>
      </c>
      <c r="K45" s="127">
        <v>12.4741</v>
      </c>
      <c r="L45" s="127">
        <v>58.7</v>
      </c>
      <c r="M45" s="127">
        <v>56.0</v>
      </c>
      <c r="N45" s="127">
        <v>3.53034</v>
      </c>
      <c r="O45" s="127">
        <v>3.37095</v>
      </c>
      <c r="P45" s="127">
        <v>3.53963</v>
      </c>
      <c r="Q45" s="127">
        <v>7.46501</v>
      </c>
      <c r="R45" s="127" t="s">
        <v>908</v>
      </c>
    </row>
    <row r="46">
      <c r="A46" s="127">
        <v>2019.0</v>
      </c>
      <c r="B46" s="127" t="s">
        <v>908</v>
      </c>
      <c r="C46" s="127">
        <v>170.0</v>
      </c>
      <c r="D46" s="127">
        <v>0.0157</v>
      </c>
      <c r="E46" s="127">
        <v>0.705121</v>
      </c>
      <c r="F46" s="127">
        <v>21.3183</v>
      </c>
      <c r="G46" s="127">
        <v>-0.32496</v>
      </c>
      <c r="H46" s="127">
        <v>52.92</v>
      </c>
      <c r="I46" s="127">
        <v>51.32</v>
      </c>
      <c r="J46" s="127">
        <v>11.3076</v>
      </c>
      <c r="K46" s="127">
        <v>11.3396</v>
      </c>
      <c r="L46" s="127">
        <v>63.0</v>
      </c>
      <c r="M46" s="127">
        <v>58.7</v>
      </c>
      <c r="N46" s="127">
        <v>4.00375</v>
      </c>
      <c r="O46" s="127">
        <v>3.53034</v>
      </c>
      <c r="P46" s="127">
        <v>2.79582</v>
      </c>
      <c r="Q46" s="127">
        <v>7.35926</v>
      </c>
      <c r="R46" s="127" t="s">
        <v>908</v>
      </c>
    </row>
    <row r="47">
      <c r="A47" s="127">
        <v>2020.0</v>
      </c>
      <c r="B47" s="127" t="s">
        <v>908</v>
      </c>
      <c r="C47" s="127">
        <v>160.0</v>
      </c>
      <c r="D47" s="127">
        <v>0.016</v>
      </c>
      <c r="E47" s="127">
        <v>0.736501</v>
      </c>
      <c r="F47" s="127">
        <v>22.4049</v>
      </c>
      <c r="G47" s="127">
        <v>1.96393</v>
      </c>
      <c r="H47" s="127">
        <v>54.56</v>
      </c>
      <c r="I47" s="127">
        <v>52.92</v>
      </c>
      <c r="J47" s="127">
        <v>12.2739</v>
      </c>
      <c r="K47" s="127">
        <v>11.3076</v>
      </c>
      <c r="L47" s="127">
        <v>66.7</v>
      </c>
      <c r="M47" s="127">
        <v>63.0</v>
      </c>
      <c r="N47" s="127">
        <v>4.00375</v>
      </c>
      <c r="O47" s="127">
        <v>4.00375</v>
      </c>
      <c r="P47" s="127">
        <v>3.22093</v>
      </c>
      <c r="Q47" s="127">
        <v>2.86541</v>
      </c>
      <c r="R47" s="127" t="s">
        <v>908</v>
      </c>
    </row>
    <row r="48">
      <c r="A48" s="127">
        <v>2021.0</v>
      </c>
      <c r="B48" s="127" t="s">
        <v>908</v>
      </c>
      <c r="C48" s="127">
        <v>331.0</v>
      </c>
      <c r="D48" s="127">
        <v>-0.00784</v>
      </c>
      <c r="E48" s="127">
        <v>0.72858</v>
      </c>
      <c r="F48" s="127">
        <v>21.7741</v>
      </c>
      <c r="G48" s="127">
        <v>-0.46781</v>
      </c>
      <c r="H48" s="127">
        <v>53.94</v>
      </c>
      <c r="I48" s="127">
        <v>54.56</v>
      </c>
      <c r="J48" s="127">
        <v>12.1839</v>
      </c>
      <c r="K48" s="127">
        <v>12.2739</v>
      </c>
      <c r="L48" s="127">
        <v>71.0</v>
      </c>
      <c r="M48" s="127">
        <v>66.7</v>
      </c>
      <c r="N48" s="127">
        <v>3.81095</v>
      </c>
      <c r="O48" s="127">
        <v>4.00375</v>
      </c>
      <c r="P48" s="127">
        <v>1.83472</v>
      </c>
      <c r="Q48" s="127">
        <v>2.55373</v>
      </c>
      <c r="R48" s="127" t="s">
        <v>908</v>
      </c>
    </row>
    <row r="49">
      <c r="A49" s="127">
        <v>2022.0</v>
      </c>
      <c r="B49" s="127" t="s">
        <v>908</v>
      </c>
      <c r="C49" s="127">
        <v>100.0</v>
      </c>
      <c r="D49" s="127">
        <v>0.0301</v>
      </c>
      <c r="E49" s="127">
        <v>0.709343</v>
      </c>
      <c r="F49" s="127">
        <v>22.4721</v>
      </c>
      <c r="G49" s="127">
        <v>1.00976</v>
      </c>
      <c r="H49" s="127">
        <v>55.52</v>
      </c>
      <c r="I49" s="127">
        <v>53.94</v>
      </c>
      <c r="J49" s="127">
        <v>18.1757</v>
      </c>
      <c r="K49" s="127">
        <v>12.1839</v>
      </c>
      <c r="L49" s="127">
        <v>74.3</v>
      </c>
      <c r="M49" s="127">
        <v>71.0</v>
      </c>
      <c r="N49" s="127">
        <v>3.15119</v>
      </c>
      <c r="O49" s="127">
        <v>3.81095</v>
      </c>
      <c r="P49" s="127">
        <v>3.15651</v>
      </c>
      <c r="Q49" s="127">
        <v>8.5375</v>
      </c>
      <c r="R49" s="127" t="s">
        <v>908</v>
      </c>
    </row>
    <row r="50">
      <c r="A50" s="127">
        <v>2023.0</v>
      </c>
      <c r="B50" s="127" t="s">
        <v>908</v>
      </c>
      <c r="C50" s="127">
        <v>118.0</v>
      </c>
      <c r="D50" s="127">
        <v>0.0111</v>
      </c>
      <c r="E50" s="127">
        <v>0.743693</v>
      </c>
      <c r="F50" s="127">
        <v>21.8513</v>
      </c>
      <c r="G50" s="127">
        <v>-0.46247</v>
      </c>
      <c r="H50" s="127">
        <v>56.57</v>
      </c>
      <c r="I50" s="127">
        <v>55.52</v>
      </c>
      <c r="J50" s="127">
        <v>21.6149</v>
      </c>
      <c r="K50" s="127">
        <v>18.1757</v>
      </c>
      <c r="L50" s="127">
        <v>77.3</v>
      </c>
      <c r="M50" s="127">
        <v>74.3</v>
      </c>
      <c r="N50" s="127">
        <v>3.0</v>
      </c>
      <c r="O50" s="127">
        <v>3.15119</v>
      </c>
      <c r="P50" s="127">
        <v>3.25289</v>
      </c>
      <c r="Q50" s="127">
        <v>5.06502</v>
      </c>
      <c r="R50" s="127" t="s">
        <v>908</v>
      </c>
    </row>
    <row r="51">
      <c r="A51" s="127">
        <v>2024.0</v>
      </c>
      <c r="B51" s="127" t="s">
        <v>908</v>
      </c>
      <c r="C51" s="127">
        <v>105.0</v>
      </c>
      <c r="D51" s="127">
        <v>0.0169</v>
      </c>
      <c r="E51" s="127">
        <v>0.751185</v>
      </c>
      <c r="F51" s="127">
        <v>21.8311</v>
      </c>
      <c r="G51" s="127">
        <v>-0.02006</v>
      </c>
      <c r="H51" s="127">
        <v>57.56</v>
      </c>
      <c r="I51" s="127">
        <v>56.57</v>
      </c>
      <c r="J51" s="127">
        <v>23.6602</v>
      </c>
      <c r="K51" s="127">
        <v>21.6149</v>
      </c>
      <c r="L51" s="127">
        <v>80.3</v>
      </c>
      <c r="M51" s="127">
        <v>77.3</v>
      </c>
      <c r="N51" s="127"/>
      <c r="O51" s="127">
        <v>3.0</v>
      </c>
      <c r="P51" s="127">
        <v>3.62109</v>
      </c>
      <c r="Q51" s="127">
        <v>7.09119</v>
      </c>
      <c r="R51" s="127" t="s">
        <v>908</v>
      </c>
    </row>
    <row r="52">
      <c r="A52" s="127">
        <v>2015.0</v>
      </c>
      <c r="B52" s="127" t="s">
        <v>292</v>
      </c>
      <c r="C52" s="127">
        <v>44.9</v>
      </c>
      <c r="D52" s="127">
        <v>0.00733</v>
      </c>
      <c r="E52" s="127">
        <v>0.928016</v>
      </c>
      <c r="F52" s="127">
        <v>23.7437</v>
      </c>
      <c r="G52" s="127">
        <v>0.05313</v>
      </c>
      <c r="H52" s="127">
        <v>48.04</v>
      </c>
      <c r="I52" s="127">
        <v>46.98</v>
      </c>
      <c r="J52" s="127">
        <v>19.6496</v>
      </c>
      <c r="K52" s="127">
        <v>28.8466</v>
      </c>
      <c r="L52" s="127">
        <v>69.4</v>
      </c>
      <c r="M52" s="127">
        <v>65.0</v>
      </c>
      <c r="N52" s="127">
        <v>4.25088</v>
      </c>
      <c r="O52" s="128"/>
      <c r="P52" s="127">
        <v>0.631201</v>
      </c>
      <c r="Q52" s="127">
        <v>6.98715</v>
      </c>
      <c r="R52" s="127" t="s">
        <v>292</v>
      </c>
    </row>
    <row r="53">
      <c r="A53" s="127">
        <v>2016.0</v>
      </c>
      <c r="B53" s="127" t="s">
        <v>292</v>
      </c>
      <c r="C53" s="127">
        <v>45.6</v>
      </c>
      <c r="D53" s="127">
        <v>0.00713</v>
      </c>
      <c r="E53" s="127">
        <v>0.936334</v>
      </c>
      <c r="F53" s="127">
        <v>23.9386</v>
      </c>
      <c r="G53" s="127">
        <v>0.21518</v>
      </c>
      <c r="H53" s="127">
        <v>49.34</v>
      </c>
      <c r="I53" s="127">
        <v>48.04</v>
      </c>
      <c r="J53" s="127">
        <v>14.0523</v>
      </c>
      <c r="K53" s="127">
        <v>19.6496</v>
      </c>
      <c r="L53" s="127">
        <v>73.5</v>
      </c>
      <c r="M53" s="127">
        <v>69.4</v>
      </c>
      <c r="N53" s="127">
        <v>3.5171</v>
      </c>
      <c r="O53" s="127">
        <v>4.25088</v>
      </c>
      <c r="P53" s="127">
        <v>2.66825</v>
      </c>
      <c r="Q53" s="127">
        <v>6.69001</v>
      </c>
      <c r="R53" s="127" t="s">
        <v>292</v>
      </c>
    </row>
    <row r="54">
      <c r="A54" s="127">
        <v>2017.0</v>
      </c>
      <c r="B54" s="127" t="s">
        <v>292</v>
      </c>
      <c r="C54" s="127">
        <v>44.4</v>
      </c>
      <c r="D54" s="127">
        <v>0.00681</v>
      </c>
      <c r="E54" s="127">
        <v>0.94177</v>
      </c>
      <c r="F54" s="127">
        <v>24.1205</v>
      </c>
      <c r="G54" s="127">
        <v>0.1995</v>
      </c>
      <c r="H54" s="127">
        <v>50.65</v>
      </c>
      <c r="I54" s="127">
        <v>49.34</v>
      </c>
      <c r="J54" s="127">
        <v>12.4741</v>
      </c>
      <c r="K54" s="127">
        <v>14.0523</v>
      </c>
      <c r="L54" s="127">
        <v>76.4</v>
      </c>
      <c r="M54" s="127">
        <v>73.5</v>
      </c>
      <c r="N54" s="127">
        <v>2.75136</v>
      </c>
      <c r="O54" s="127">
        <v>3.5171</v>
      </c>
      <c r="P54" s="127">
        <v>3.52026</v>
      </c>
      <c r="Q54" s="127">
        <v>6.94019</v>
      </c>
      <c r="R54" s="127" t="s">
        <v>292</v>
      </c>
    </row>
    <row r="55">
      <c r="A55" s="127">
        <v>2018.0</v>
      </c>
      <c r="B55" s="127" t="s">
        <v>292</v>
      </c>
      <c r="C55" s="127">
        <v>45.2</v>
      </c>
      <c r="D55" s="127">
        <v>0.00453</v>
      </c>
      <c r="E55" s="127">
        <v>0.942182</v>
      </c>
      <c r="F55" s="127">
        <v>23.9883</v>
      </c>
      <c r="G55" s="127">
        <v>-0.12381</v>
      </c>
      <c r="H55" s="127">
        <v>51.32</v>
      </c>
      <c r="I55" s="127">
        <v>50.65</v>
      </c>
      <c r="J55" s="127">
        <v>11.3396</v>
      </c>
      <c r="K55" s="127">
        <v>12.4741</v>
      </c>
      <c r="L55" s="127">
        <v>79.0</v>
      </c>
      <c r="M55" s="127">
        <v>76.4</v>
      </c>
      <c r="N55" s="127">
        <v>3.06105</v>
      </c>
      <c r="O55" s="127">
        <v>2.75136</v>
      </c>
      <c r="P55" s="127">
        <v>3.53963</v>
      </c>
      <c r="Q55" s="127">
        <v>7.46501</v>
      </c>
      <c r="R55" s="127" t="s">
        <v>292</v>
      </c>
    </row>
    <row r="56">
      <c r="A56" s="127">
        <v>2019.0</v>
      </c>
      <c r="B56" s="127" t="s">
        <v>292</v>
      </c>
      <c r="C56" s="127">
        <v>49.0</v>
      </c>
      <c r="D56" s="127">
        <v>0.00764</v>
      </c>
      <c r="E56" s="127">
        <v>0.937653</v>
      </c>
      <c r="F56" s="127">
        <v>24.3711</v>
      </c>
      <c r="G56" s="127">
        <v>0.46639</v>
      </c>
      <c r="H56" s="127">
        <v>52.92</v>
      </c>
      <c r="I56" s="127">
        <v>51.32</v>
      </c>
      <c r="J56" s="127">
        <v>11.3076</v>
      </c>
      <c r="K56" s="127">
        <v>11.3396</v>
      </c>
      <c r="L56" s="127">
        <v>82.5</v>
      </c>
      <c r="M56" s="127">
        <v>79.0</v>
      </c>
      <c r="N56" s="127">
        <v>3.95854</v>
      </c>
      <c r="O56" s="127">
        <v>3.06105</v>
      </c>
      <c r="P56" s="127">
        <v>2.79582</v>
      </c>
      <c r="Q56" s="127">
        <v>7.35926</v>
      </c>
      <c r="R56" s="127" t="s">
        <v>292</v>
      </c>
    </row>
    <row r="57">
      <c r="A57" s="127">
        <v>2020.0</v>
      </c>
      <c r="B57" s="127" t="s">
        <v>292</v>
      </c>
      <c r="C57" s="127">
        <v>65.3</v>
      </c>
      <c r="D57" s="127">
        <v>0.0103</v>
      </c>
      <c r="E57" s="127">
        <v>0.936311</v>
      </c>
      <c r="F57" s="127">
        <v>24.4822</v>
      </c>
      <c r="G57" s="127">
        <v>0.11748</v>
      </c>
      <c r="H57" s="127">
        <v>54.56</v>
      </c>
      <c r="I57" s="127">
        <v>52.92</v>
      </c>
      <c r="J57" s="127">
        <v>12.2739</v>
      </c>
      <c r="K57" s="127">
        <v>11.3076</v>
      </c>
      <c r="L57" s="127">
        <v>86.9</v>
      </c>
      <c r="M57" s="127">
        <v>82.5</v>
      </c>
      <c r="N57" s="127">
        <v>2.91033</v>
      </c>
      <c r="O57" s="127">
        <v>3.95854</v>
      </c>
      <c r="P57" s="127">
        <v>3.22093</v>
      </c>
      <c r="Q57" s="127">
        <v>2.86541</v>
      </c>
      <c r="R57" s="127" t="s">
        <v>292</v>
      </c>
    </row>
    <row r="58">
      <c r="A58" s="127">
        <v>2021.0</v>
      </c>
      <c r="B58" s="127" t="s">
        <v>292</v>
      </c>
      <c r="C58" s="127">
        <v>76.8</v>
      </c>
      <c r="D58" s="127">
        <v>0.00928</v>
      </c>
      <c r="E58" s="127">
        <v>0.938855</v>
      </c>
      <c r="F58" s="127">
        <v>24.6208</v>
      </c>
      <c r="G58" s="127">
        <v>0.14864</v>
      </c>
      <c r="H58" s="127">
        <v>53.94</v>
      </c>
      <c r="I58" s="127">
        <v>54.56</v>
      </c>
      <c r="J58" s="127">
        <v>12.1839</v>
      </c>
      <c r="K58" s="127">
        <v>12.2739</v>
      </c>
      <c r="L58" s="127">
        <v>88.0</v>
      </c>
      <c r="M58" s="127">
        <v>86.9</v>
      </c>
      <c r="N58" s="127">
        <v>2.0108</v>
      </c>
      <c r="O58" s="127">
        <v>2.91033</v>
      </c>
      <c r="P58" s="127">
        <v>1.83472</v>
      </c>
      <c r="Q58" s="127">
        <v>2.55373</v>
      </c>
      <c r="R58" s="127" t="s">
        <v>292</v>
      </c>
    </row>
    <row r="59">
      <c r="A59" s="127">
        <v>2022.0</v>
      </c>
      <c r="B59" s="127" t="s">
        <v>292</v>
      </c>
      <c r="C59" s="127">
        <v>72.4</v>
      </c>
      <c r="D59" s="127">
        <v>0.00939</v>
      </c>
      <c r="E59" s="127">
        <v>0.940117</v>
      </c>
      <c r="F59" s="127">
        <v>24.7675</v>
      </c>
      <c r="G59" s="127">
        <v>0.15799</v>
      </c>
      <c r="H59" s="127">
        <v>55.52</v>
      </c>
      <c r="I59" s="127">
        <v>53.94</v>
      </c>
      <c r="J59" s="127">
        <v>18.1757</v>
      </c>
      <c r="K59" s="127">
        <v>12.1839</v>
      </c>
      <c r="L59" s="127">
        <v>90.8</v>
      </c>
      <c r="M59" s="127">
        <v>88.0</v>
      </c>
      <c r="N59" s="127">
        <v>2.13854</v>
      </c>
      <c r="O59" s="127">
        <v>2.0108</v>
      </c>
      <c r="P59" s="127">
        <v>3.15651</v>
      </c>
      <c r="Q59" s="127">
        <v>8.5375</v>
      </c>
      <c r="R59" s="127" t="s">
        <v>292</v>
      </c>
    </row>
    <row r="60">
      <c r="A60" s="127">
        <v>2023.0</v>
      </c>
      <c r="B60" s="127" t="s">
        <v>292</v>
      </c>
      <c r="C60" s="127">
        <v>56.1</v>
      </c>
      <c r="D60" s="127">
        <v>0.00986</v>
      </c>
      <c r="E60" s="127">
        <v>0.938074</v>
      </c>
      <c r="F60" s="127">
        <v>24.8893</v>
      </c>
      <c r="G60" s="127">
        <v>0.12951</v>
      </c>
      <c r="H60" s="127">
        <v>56.57</v>
      </c>
      <c r="I60" s="127">
        <v>55.52</v>
      </c>
      <c r="J60" s="127">
        <v>21.6149</v>
      </c>
      <c r="K60" s="127">
        <v>18.1757</v>
      </c>
      <c r="L60" s="127">
        <v>92.2</v>
      </c>
      <c r="M60" s="127">
        <v>90.8</v>
      </c>
      <c r="N60" s="127">
        <v>1.86815</v>
      </c>
      <c r="O60" s="127">
        <v>2.13854</v>
      </c>
      <c r="P60" s="127">
        <v>3.25289</v>
      </c>
      <c r="Q60" s="127">
        <v>5.06502</v>
      </c>
      <c r="R60" s="127" t="s">
        <v>292</v>
      </c>
    </row>
    <row r="61">
      <c r="A61" s="127">
        <v>2024.0</v>
      </c>
      <c r="B61" s="127" t="s">
        <v>292</v>
      </c>
      <c r="C61" s="127">
        <v>85.3</v>
      </c>
      <c r="D61" s="127">
        <v>0.0107</v>
      </c>
      <c r="E61" s="127">
        <v>0.937744</v>
      </c>
      <c r="F61" s="127">
        <v>25.0151</v>
      </c>
      <c r="G61" s="127">
        <v>0.13406</v>
      </c>
      <c r="H61" s="127">
        <v>57.56</v>
      </c>
      <c r="I61" s="127">
        <v>56.57</v>
      </c>
      <c r="J61" s="127">
        <v>23.6602</v>
      </c>
      <c r="K61" s="127">
        <v>21.6149</v>
      </c>
      <c r="L61" s="127">
        <v>94.5</v>
      </c>
      <c r="M61" s="127">
        <v>92.2</v>
      </c>
      <c r="N61" s="127"/>
      <c r="O61" s="127">
        <v>1.86815</v>
      </c>
      <c r="P61" s="127">
        <v>3.62109</v>
      </c>
      <c r="Q61" s="127">
        <v>7.09119</v>
      </c>
      <c r="R61" s="127" t="s">
        <v>292</v>
      </c>
    </row>
    <row r="62">
      <c r="A62" s="127">
        <v>2015.0</v>
      </c>
      <c r="B62" s="127" t="s">
        <v>1188</v>
      </c>
      <c r="C62" s="127">
        <v>1661.07</v>
      </c>
      <c r="D62" s="127">
        <v>3.28E-4</v>
      </c>
      <c r="E62" s="127">
        <v>0.561985</v>
      </c>
      <c r="F62" s="127">
        <v>17.3961</v>
      </c>
      <c r="G62" s="127">
        <v>0.2791</v>
      </c>
      <c r="H62" s="127">
        <v>48.04</v>
      </c>
      <c r="I62" s="127">
        <v>46.98</v>
      </c>
      <c r="J62" s="127">
        <v>19.6496</v>
      </c>
      <c r="K62" s="127">
        <v>28.8466</v>
      </c>
      <c r="L62" s="127">
        <v>39.0</v>
      </c>
      <c r="M62" s="127">
        <v>36.7</v>
      </c>
      <c r="N62" s="127">
        <v>2.65769</v>
      </c>
      <c r="O62" s="128"/>
      <c r="P62" s="127">
        <v>0.631201</v>
      </c>
      <c r="Q62" s="127">
        <v>6.98715</v>
      </c>
      <c r="R62" s="127" t="s">
        <v>1188</v>
      </c>
    </row>
    <row r="63">
      <c r="A63" s="127">
        <v>2016.0</v>
      </c>
      <c r="B63" s="127" t="s">
        <v>1188</v>
      </c>
      <c r="C63" s="127">
        <v>876.817</v>
      </c>
      <c r="D63" s="127">
        <v>6.79E-4</v>
      </c>
      <c r="E63" s="127">
        <v>0.475126</v>
      </c>
      <c r="F63" s="127">
        <v>16.9568</v>
      </c>
      <c r="G63" s="127">
        <v>-0.35549</v>
      </c>
      <c r="H63" s="127">
        <v>49.34</v>
      </c>
      <c r="I63" s="127">
        <v>48.04</v>
      </c>
      <c r="J63" s="127">
        <v>14.0523</v>
      </c>
      <c r="K63" s="127">
        <v>19.6496</v>
      </c>
      <c r="L63" s="127">
        <v>42.0</v>
      </c>
      <c r="M63" s="127">
        <v>39.0</v>
      </c>
      <c r="N63" s="127">
        <v>1.96554</v>
      </c>
      <c r="O63" s="127">
        <v>2.65769</v>
      </c>
      <c r="P63" s="127">
        <v>2.66825</v>
      </c>
      <c r="Q63" s="127">
        <v>6.69001</v>
      </c>
      <c r="R63" s="127" t="s">
        <v>1188</v>
      </c>
    </row>
    <row r="64">
      <c r="A64" s="127">
        <v>2017.0</v>
      </c>
      <c r="B64" s="127" t="s">
        <v>1188</v>
      </c>
      <c r="C64" s="127">
        <v>4778.19</v>
      </c>
      <c r="D64" s="127">
        <v>0.01179</v>
      </c>
      <c r="E64" s="127">
        <v>0.510187</v>
      </c>
      <c r="F64" s="127">
        <v>16.6892</v>
      </c>
      <c r="G64" s="127">
        <v>-0.23476</v>
      </c>
      <c r="H64" s="127">
        <v>50.65</v>
      </c>
      <c r="I64" s="127">
        <v>49.34</v>
      </c>
      <c r="J64" s="127">
        <v>12.4741</v>
      </c>
      <c r="K64" s="127">
        <v>14.0523</v>
      </c>
      <c r="L64" s="127">
        <v>42.7</v>
      </c>
      <c r="M64" s="127">
        <v>42.0</v>
      </c>
      <c r="N64" s="127">
        <v>1.17898</v>
      </c>
      <c r="O64" s="127">
        <v>1.96554</v>
      </c>
      <c r="P64" s="127">
        <v>3.52026</v>
      </c>
      <c r="Q64" s="127">
        <v>6.94019</v>
      </c>
      <c r="R64" s="127" t="s">
        <v>1188</v>
      </c>
    </row>
    <row r="65">
      <c r="A65" s="127">
        <v>2018.0</v>
      </c>
      <c r="B65" s="127" t="s">
        <v>1188</v>
      </c>
      <c r="C65" s="127">
        <v>3059.66</v>
      </c>
      <c r="D65" s="127">
        <v>0.010428</v>
      </c>
      <c r="E65" s="127">
        <v>0.539752</v>
      </c>
      <c r="F65" s="127">
        <v>17.2467</v>
      </c>
      <c r="G65" s="127">
        <v>0.74633</v>
      </c>
      <c r="H65" s="127">
        <v>51.32</v>
      </c>
      <c r="I65" s="127">
        <v>50.65</v>
      </c>
      <c r="J65" s="127">
        <v>11.3396</v>
      </c>
      <c r="K65" s="127">
        <v>12.4741</v>
      </c>
      <c r="L65" s="127">
        <v>44.3</v>
      </c>
      <c r="M65" s="127">
        <v>42.7</v>
      </c>
      <c r="N65" s="127">
        <v>2.01329</v>
      </c>
      <c r="O65" s="127">
        <v>1.17898</v>
      </c>
      <c r="P65" s="127">
        <v>3.53963</v>
      </c>
      <c r="Q65" s="127">
        <v>7.46501</v>
      </c>
      <c r="R65" s="127" t="s">
        <v>1188</v>
      </c>
    </row>
    <row r="66">
      <c r="A66" s="127">
        <v>2019.0</v>
      </c>
      <c r="B66" s="127" t="s">
        <v>1188</v>
      </c>
      <c r="C66" s="127">
        <v>2760.82</v>
      </c>
      <c r="D66" s="127">
        <v>0.013552</v>
      </c>
      <c r="E66" s="127">
        <v>0.594859</v>
      </c>
      <c r="F66" s="127">
        <v>17.787</v>
      </c>
      <c r="G66" s="127">
        <v>0.71643</v>
      </c>
      <c r="H66" s="127">
        <v>52.92</v>
      </c>
      <c r="I66" s="127">
        <v>51.32</v>
      </c>
      <c r="J66" s="127">
        <v>11.3076</v>
      </c>
      <c r="K66" s="127">
        <v>11.3396</v>
      </c>
      <c r="L66" s="127">
        <v>46.7</v>
      </c>
      <c r="M66" s="127">
        <v>44.3</v>
      </c>
      <c r="N66" s="127">
        <v>3.55715</v>
      </c>
      <c r="O66" s="127">
        <v>2.01329</v>
      </c>
      <c r="P66" s="127">
        <v>2.79582</v>
      </c>
      <c r="Q66" s="127">
        <v>7.35926</v>
      </c>
      <c r="R66" s="127" t="s">
        <v>1188</v>
      </c>
    </row>
    <row r="67">
      <c r="A67" s="127">
        <v>2020.0</v>
      </c>
      <c r="B67" s="127" t="s">
        <v>1188</v>
      </c>
      <c r="C67" s="127">
        <v>1568.89</v>
      </c>
      <c r="D67" s="127">
        <v>-0.007128</v>
      </c>
      <c r="E67" s="127">
        <v>0.656142</v>
      </c>
      <c r="F67" s="127">
        <v>17.5801</v>
      </c>
      <c r="G67" s="127">
        <v>-0.18687</v>
      </c>
      <c r="H67" s="127">
        <v>54.56</v>
      </c>
      <c r="I67" s="127">
        <v>52.92</v>
      </c>
      <c r="J67" s="127">
        <v>12.2739</v>
      </c>
      <c r="K67" s="127">
        <v>11.3076</v>
      </c>
      <c r="L67" s="127">
        <v>51.3</v>
      </c>
      <c r="M67" s="127">
        <v>46.7</v>
      </c>
      <c r="N67" s="127">
        <v>4.15812</v>
      </c>
      <c r="O67" s="127">
        <v>3.55715</v>
      </c>
      <c r="P67" s="127">
        <v>3.22093</v>
      </c>
      <c r="Q67" s="127">
        <v>2.86541</v>
      </c>
      <c r="R67" s="127" t="s">
        <v>1188</v>
      </c>
    </row>
    <row r="68">
      <c r="A68" s="127">
        <v>2021.0</v>
      </c>
      <c r="B68" s="127" t="s">
        <v>1188</v>
      </c>
      <c r="C68" s="127">
        <v>7707.88</v>
      </c>
      <c r="D68" s="127">
        <v>0.014904</v>
      </c>
      <c r="E68" s="127">
        <v>0.710037</v>
      </c>
      <c r="F68" s="127">
        <v>18.5054</v>
      </c>
      <c r="G68" s="127">
        <v>1.5225</v>
      </c>
      <c r="H68" s="127">
        <v>53.94</v>
      </c>
      <c r="I68" s="127">
        <v>54.56</v>
      </c>
      <c r="J68" s="127">
        <v>12.1839</v>
      </c>
      <c r="K68" s="127">
        <v>12.2739</v>
      </c>
      <c r="L68" s="127">
        <v>55.0</v>
      </c>
      <c r="M68" s="127">
        <v>51.3</v>
      </c>
      <c r="N68" s="127">
        <v>3.35609</v>
      </c>
      <c r="O68" s="127">
        <v>4.15812</v>
      </c>
      <c r="P68" s="127">
        <v>1.83472</v>
      </c>
      <c r="Q68" s="127">
        <v>2.55373</v>
      </c>
      <c r="R68" s="127" t="s">
        <v>1188</v>
      </c>
    </row>
    <row r="69">
      <c r="A69" s="127">
        <v>2022.0</v>
      </c>
      <c r="B69" s="127" t="s">
        <v>1188</v>
      </c>
      <c r="C69" s="127">
        <v>1612.75</v>
      </c>
      <c r="D69" s="127">
        <v>0.010767</v>
      </c>
      <c r="E69" s="127">
        <v>0.730638</v>
      </c>
      <c r="F69" s="127">
        <v>18.6785</v>
      </c>
      <c r="G69" s="127">
        <v>0.18903</v>
      </c>
      <c r="H69" s="127">
        <v>55.52</v>
      </c>
      <c r="I69" s="127">
        <v>53.94</v>
      </c>
      <c r="J69" s="127">
        <v>18.1757</v>
      </c>
      <c r="K69" s="127">
        <v>12.1839</v>
      </c>
      <c r="L69" s="127">
        <v>58.0</v>
      </c>
      <c r="M69" s="127">
        <v>55.0</v>
      </c>
      <c r="N69" s="127">
        <v>3.15119</v>
      </c>
      <c r="O69" s="127">
        <v>3.35609</v>
      </c>
      <c r="P69" s="127">
        <v>3.15651</v>
      </c>
      <c r="Q69" s="127">
        <v>8.5375</v>
      </c>
      <c r="R69" s="127" t="s">
        <v>1188</v>
      </c>
    </row>
    <row r="70">
      <c r="A70" s="127">
        <v>2023.0</v>
      </c>
      <c r="B70" s="127" t="s">
        <v>1188</v>
      </c>
      <c r="C70" s="127">
        <v>1688.97</v>
      </c>
      <c r="D70" s="127">
        <v>0.00188</v>
      </c>
      <c r="E70" s="127">
        <v>0.713799</v>
      </c>
      <c r="F70" s="127">
        <v>18.42</v>
      </c>
      <c r="G70" s="127">
        <v>-0.22777</v>
      </c>
      <c r="H70" s="127">
        <v>56.57</v>
      </c>
      <c r="I70" s="127">
        <v>55.52</v>
      </c>
      <c r="J70" s="127">
        <v>21.6149</v>
      </c>
      <c r="K70" s="127">
        <v>18.1757</v>
      </c>
      <c r="L70" s="127">
        <v>61.3</v>
      </c>
      <c r="M70" s="127">
        <v>58.0</v>
      </c>
      <c r="N70" s="127">
        <v>3.5019</v>
      </c>
      <c r="O70" s="127">
        <v>3.15119</v>
      </c>
      <c r="P70" s="127">
        <v>3.25289</v>
      </c>
      <c r="Q70" s="127">
        <v>5.06502</v>
      </c>
      <c r="R70" s="127" t="s">
        <v>1188</v>
      </c>
    </row>
    <row r="71">
      <c r="A71" s="127">
        <v>2024.0</v>
      </c>
      <c r="B71" s="127" t="s">
        <v>1188</v>
      </c>
      <c r="C71" s="127">
        <v>1183.36</v>
      </c>
      <c r="D71" s="127">
        <v>0.002361</v>
      </c>
      <c r="E71" s="127">
        <v>0.677867</v>
      </c>
      <c r="F71" s="127">
        <v>18.7704</v>
      </c>
      <c r="G71" s="127">
        <v>0.41952</v>
      </c>
      <c r="H71" s="127">
        <v>57.56</v>
      </c>
      <c r="I71" s="127">
        <v>56.57</v>
      </c>
      <c r="J71" s="127">
        <v>23.6602</v>
      </c>
      <c r="K71" s="127">
        <v>21.6149</v>
      </c>
      <c r="L71" s="127">
        <v>65.0</v>
      </c>
      <c r="M71" s="127">
        <v>61.3</v>
      </c>
      <c r="N71" s="127"/>
      <c r="O71" s="127">
        <v>3.5019</v>
      </c>
      <c r="P71" s="127">
        <v>3.62109</v>
      </c>
      <c r="Q71" s="127">
        <v>7.09119</v>
      </c>
      <c r="R71" s="127" t="s">
        <v>1188</v>
      </c>
    </row>
    <row r="72">
      <c r="A72" s="127">
        <v>2015.0</v>
      </c>
      <c r="B72" s="127" t="s">
        <v>356</v>
      </c>
      <c r="C72" s="127">
        <v>120.0</v>
      </c>
      <c r="D72" s="127">
        <v>0.0936</v>
      </c>
      <c r="E72" s="127">
        <v>0.609059</v>
      </c>
      <c r="F72" s="127">
        <v>24.3598</v>
      </c>
      <c r="G72" s="127">
        <v>0.16282</v>
      </c>
      <c r="H72" s="127">
        <v>48.04</v>
      </c>
      <c r="I72" s="127">
        <v>46.98</v>
      </c>
      <c r="J72" s="127">
        <v>19.6496</v>
      </c>
      <c r="K72" s="127">
        <v>28.8466</v>
      </c>
      <c r="L72" s="127">
        <v>66.8</v>
      </c>
      <c r="M72" s="127">
        <v>66.8</v>
      </c>
      <c r="N72" s="127">
        <v>0.0</v>
      </c>
      <c r="O72" s="128"/>
      <c r="P72" s="127">
        <v>0.631201</v>
      </c>
      <c r="Q72" s="127">
        <v>6.98715</v>
      </c>
      <c r="R72" s="127" t="s">
        <v>356</v>
      </c>
    </row>
    <row r="73">
      <c r="A73" s="127">
        <v>2016.0</v>
      </c>
      <c r="B73" s="127" t="s">
        <v>356</v>
      </c>
      <c r="C73" s="127">
        <v>132.0</v>
      </c>
      <c r="D73" s="127">
        <v>0.0863</v>
      </c>
      <c r="E73" s="127">
        <v>0.616265</v>
      </c>
      <c r="F73" s="127">
        <v>24.4004</v>
      </c>
      <c r="G73" s="127">
        <v>0.04141</v>
      </c>
      <c r="H73" s="127">
        <v>49.34</v>
      </c>
      <c r="I73" s="127">
        <v>48.04</v>
      </c>
      <c r="J73" s="127">
        <v>14.0523</v>
      </c>
      <c r="K73" s="127">
        <v>19.6496</v>
      </c>
      <c r="L73" s="127">
        <v>66.8</v>
      </c>
      <c r="M73" s="127">
        <v>66.8</v>
      </c>
      <c r="N73" s="127">
        <v>3.81051</v>
      </c>
      <c r="O73" s="127">
        <v>0.0</v>
      </c>
      <c r="P73" s="127">
        <v>2.66825</v>
      </c>
      <c r="Q73" s="127">
        <v>6.69001</v>
      </c>
      <c r="R73" s="127" t="s">
        <v>356</v>
      </c>
    </row>
    <row r="74">
      <c r="A74" s="127">
        <v>2017.0</v>
      </c>
      <c r="B74" s="127" t="s">
        <v>356</v>
      </c>
      <c r="C74" s="127">
        <v>283.0</v>
      </c>
      <c r="D74" s="127">
        <v>0.141</v>
      </c>
      <c r="E74" s="127">
        <v>0.470458</v>
      </c>
      <c r="F74" s="127">
        <v>24.4765</v>
      </c>
      <c r="G74" s="127">
        <v>0.07911</v>
      </c>
      <c r="H74" s="127">
        <v>50.65</v>
      </c>
      <c r="I74" s="127">
        <v>49.34</v>
      </c>
      <c r="J74" s="127">
        <v>12.4741</v>
      </c>
      <c r="K74" s="127">
        <v>14.0523</v>
      </c>
      <c r="L74" s="127">
        <v>73.4</v>
      </c>
      <c r="M74" s="127">
        <v>66.8</v>
      </c>
      <c r="N74" s="127">
        <v>3.81051</v>
      </c>
      <c r="O74" s="127">
        <v>3.81051</v>
      </c>
      <c r="P74" s="127">
        <v>3.52026</v>
      </c>
      <c r="Q74" s="127">
        <v>6.94019</v>
      </c>
      <c r="R74" s="127" t="s">
        <v>356</v>
      </c>
    </row>
    <row r="75">
      <c r="A75" s="127">
        <v>2018.0</v>
      </c>
      <c r="B75" s="127" t="s">
        <v>356</v>
      </c>
      <c r="C75" s="127">
        <v>245.0</v>
      </c>
      <c r="D75" s="127">
        <v>0.109</v>
      </c>
      <c r="E75" s="127">
        <v>0.50348</v>
      </c>
      <c r="F75" s="127">
        <v>23.868</v>
      </c>
      <c r="G75" s="127">
        <v>-0.45583</v>
      </c>
      <c r="H75" s="127">
        <v>51.32</v>
      </c>
      <c r="I75" s="127">
        <v>50.65</v>
      </c>
      <c r="J75" s="127">
        <v>11.3396</v>
      </c>
      <c r="K75" s="127">
        <v>12.4741</v>
      </c>
      <c r="L75" s="127">
        <v>73.4</v>
      </c>
      <c r="M75" s="127">
        <v>73.4</v>
      </c>
      <c r="N75" s="127">
        <v>0.0</v>
      </c>
      <c r="O75" s="127">
        <v>3.81051</v>
      </c>
      <c r="P75" s="127">
        <v>3.53963</v>
      </c>
      <c r="Q75" s="127">
        <v>7.46501</v>
      </c>
      <c r="R75" s="127" t="s">
        <v>356</v>
      </c>
    </row>
    <row r="76">
      <c r="A76" s="127">
        <v>2019.0</v>
      </c>
      <c r="B76" s="127" t="s">
        <v>356</v>
      </c>
      <c r="C76" s="127">
        <v>398.0</v>
      </c>
      <c r="D76" s="127">
        <v>0.117</v>
      </c>
      <c r="E76" s="127">
        <v>0.496939</v>
      </c>
      <c r="F76" s="127">
        <v>24.0453</v>
      </c>
      <c r="G76" s="127">
        <v>0.194</v>
      </c>
      <c r="H76" s="127">
        <v>52.92</v>
      </c>
      <c r="I76" s="127">
        <v>51.32</v>
      </c>
      <c r="J76" s="127">
        <v>11.3076</v>
      </c>
      <c r="K76" s="127">
        <v>11.3396</v>
      </c>
      <c r="L76" s="127">
        <v>73.4</v>
      </c>
      <c r="M76" s="127">
        <v>73.4</v>
      </c>
      <c r="N76" s="127">
        <v>1.78979</v>
      </c>
      <c r="O76" s="127">
        <v>0.0</v>
      </c>
      <c r="P76" s="127">
        <v>2.79582</v>
      </c>
      <c r="Q76" s="127">
        <v>7.35926</v>
      </c>
      <c r="R76" s="127" t="s">
        <v>356</v>
      </c>
    </row>
    <row r="77">
      <c r="A77" s="127">
        <v>2020.0</v>
      </c>
      <c r="B77" s="127" t="s">
        <v>356</v>
      </c>
      <c r="C77" s="127">
        <v>426.0</v>
      </c>
      <c r="D77" s="127">
        <v>0.106</v>
      </c>
      <c r="E77" s="127">
        <v>0.554188</v>
      </c>
      <c r="F77" s="127">
        <v>24.1188</v>
      </c>
      <c r="G77" s="127">
        <v>0.07625</v>
      </c>
      <c r="H77" s="127">
        <v>54.56</v>
      </c>
      <c r="I77" s="127">
        <v>52.92</v>
      </c>
      <c r="J77" s="127">
        <v>12.2739</v>
      </c>
      <c r="K77" s="127">
        <v>11.3076</v>
      </c>
      <c r="L77" s="127">
        <v>76.5</v>
      </c>
      <c r="M77" s="127">
        <v>73.4</v>
      </c>
      <c r="N77" s="127">
        <v>2.9023</v>
      </c>
      <c r="O77" s="127">
        <v>1.78979</v>
      </c>
      <c r="P77" s="127">
        <v>3.22093</v>
      </c>
      <c r="Q77" s="127">
        <v>2.86541</v>
      </c>
      <c r="R77" s="127" t="s">
        <v>356</v>
      </c>
    </row>
    <row r="78">
      <c r="A78" s="127">
        <v>2021.0</v>
      </c>
      <c r="B78" s="127" t="s">
        <v>356</v>
      </c>
      <c r="C78" s="127">
        <v>705.0</v>
      </c>
      <c r="D78" s="127">
        <v>0.0996</v>
      </c>
      <c r="E78" s="127">
        <v>0.601139</v>
      </c>
      <c r="F78" s="127">
        <v>24.2972</v>
      </c>
      <c r="G78" s="127">
        <v>0.19533</v>
      </c>
      <c r="H78" s="127">
        <v>53.94</v>
      </c>
      <c r="I78" s="127">
        <v>54.56</v>
      </c>
      <c r="J78" s="127">
        <v>12.1839</v>
      </c>
      <c r="K78" s="127">
        <v>12.2739</v>
      </c>
      <c r="L78" s="127">
        <v>79.2</v>
      </c>
      <c r="M78" s="127">
        <v>76.5</v>
      </c>
      <c r="N78" s="127">
        <v>2.31157</v>
      </c>
      <c r="O78" s="127">
        <v>2.9023</v>
      </c>
      <c r="P78" s="127">
        <v>1.83472</v>
      </c>
      <c r="Q78" s="127">
        <v>2.55373</v>
      </c>
      <c r="R78" s="127" t="s">
        <v>356</v>
      </c>
    </row>
    <row r="79">
      <c r="A79" s="127">
        <v>2022.0</v>
      </c>
      <c r="B79" s="127" t="s">
        <v>356</v>
      </c>
      <c r="C79" s="127">
        <v>851.0</v>
      </c>
      <c r="D79" s="127">
        <v>0.126</v>
      </c>
      <c r="E79" s="127">
        <v>0.509082</v>
      </c>
      <c r="F79" s="127">
        <v>24.5077</v>
      </c>
      <c r="G79" s="127">
        <v>0.23424</v>
      </c>
      <c r="H79" s="127">
        <v>55.52</v>
      </c>
      <c r="I79" s="127">
        <v>53.94</v>
      </c>
      <c r="J79" s="127">
        <v>18.1757</v>
      </c>
      <c r="K79" s="127">
        <v>12.1839</v>
      </c>
      <c r="L79" s="127">
        <v>81.1</v>
      </c>
      <c r="M79" s="127">
        <v>79.2</v>
      </c>
      <c r="N79" s="127">
        <v>2.68514</v>
      </c>
      <c r="O79" s="127">
        <v>2.31157</v>
      </c>
      <c r="P79" s="127">
        <v>3.15651</v>
      </c>
      <c r="Q79" s="127">
        <v>8.5375</v>
      </c>
      <c r="R79" s="127" t="s">
        <v>356</v>
      </c>
    </row>
    <row r="80">
      <c r="A80" s="127">
        <v>2023.0</v>
      </c>
      <c r="B80" s="127" t="s">
        <v>356</v>
      </c>
      <c r="C80" s="127">
        <v>1290.0</v>
      </c>
      <c r="D80" s="127">
        <v>0.129</v>
      </c>
      <c r="E80" s="127">
        <v>0.503457</v>
      </c>
      <c r="F80" s="127">
        <v>24.6863</v>
      </c>
      <c r="G80" s="127">
        <v>0.1956</v>
      </c>
      <c r="H80" s="127">
        <v>56.57</v>
      </c>
      <c r="I80" s="127">
        <v>55.52</v>
      </c>
      <c r="J80" s="127">
        <v>21.6149</v>
      </c>
      <c r="K80" s="127">
        <v>18.1757</v>
      </c>
      <c r="L80" s="127">
        <v>84.5</v>
      </c>
      <c r="M80" s="127">
        <v>81.1</v>
      </c>
      <c r="N80" s="127">
        <v>3.20208</v>
      </c>
      <c r="O80" s="127">
        <v>2.68514</v>
      </c>
      <c r="P80" s="127">
        <v>3.25289</v>
      </c>
      <c r="Q80" s="127">
        <v>5.06502</v>
      </c>
      <c r="R80" s="127" t="s">
        <v>356</v>
      </c>
    </row>
    <row r="81">
      <c r="A81" s="127">
        <v>2024.0</v>
      </c>
      <c r="B81" s="127" t="s">
        <v>356</v>
      </c>
      <c r="C81" s="127">
        <v>2320.0</v>
      </c>
      <c r="D81" s="127">
        <v>0.131</v>
      </c>
      <c r="E81" s="127">
        <v>0.503784</v>
      </c>
      <c r="F81" s="127">
        <v>24.864</v>
      </c>
      <c r="G81" s="127">
        <v>0.19444</v>
      </c>
      <c r="H81" s="127">
        <v>57.56</v>
      </c>
      <c r="I81" s="127">
        <v>56.57</v>
      </c>
      <c r="J81" s="127">
        <v>23.6602</v>
      </c>
      <c r="K81" s="127">
        <v>21.6149</v>
      </c>
      <c r="L81" s="127">
        <v>87.5</v>
      </c>
      <c r="M81" s="127">
        <v>84.5</v>
      </c>
      <c r="N81" s="127"/>
      <c r="O81" s="127">
        <v>3.20208</v>
      </c>
      <c r="P81" s="127">
        <v>3.62109</v>
      </c>
      <c r="Q81" s="127">
        <v>7.09119</v>
      </c>
      <c r="R81" s="127" t="s">
        <v>356</v>
      </c>
    </row>
    <row r="82">
      <c r="A82" s="127">
        <v>2015.0</v>
      </c>
      <c r="B82" s="127" t="s">
        <v>419</v>
      </c>
      <c r="C82" s="127">
        <v>606.0</v>
      </c>
      <c r="D82" s="127">
        <v>0.156</v>
      </c>
      <c r="E82" s="127">
        <v>0.243774</v>
      </c>
      <c r="F82" s="127">
        <v>24.8868</v>
      </c>
      <c r="G82" s="127">
        <v>-0.12368</v>
      </c>
      <c r="H82" s="127">
        <v>48.04</v>
      </c>
      <c r="I82" s="127">
        <v>46.98</v>
      </c>
      <c r="J82" s="127">
        <v>19.6496</v>
      </c>
      <c r="K82" s="127">
        <v>28.8466</v>
      </c>
      <c r="L82" s="127">
        <v>66.0</v>
      </c>
      <c r="M82" s="127">
        <v>63.5</v>
      </c>
      <c r="N82" s="127">
        <v>3.38575</v>
      </c>
      <c r="O82" s="128"/>
      <c r="P82" s="127">
        <v>0.631201</v>
      </c>
      <c r="Q82" s="127">
        <v>6.98715</v>
      </c>
      <c r="R82" s="127" t="s">
        <v>419</v>
      </c>
    </row>
    <row r="83">
      <c r="A83" s="127">
        <v>2016.0</v>
      </c>
      <c r="B83" s="127" t="s">
        <v>419</v>
      </c>
      <c r="C83" s="127">
        <v>1110.0</v>
      </c>
      <c r="D83" s="127">
        <v>0.126</v>
      </c>
      <c r="E83" s="127">
        <v>0.280333</v>
      </c>
      <c r="F83" s="127">
        <v>24.8021</v>
      </c>
      <c r="G83" s="127">
        <v>-0.08124</v>
      </c>
      <c r="H83" s="127">
        <v>49.34</v>
      </c>
      <c r="I83" s="127">
        <v>48.04</v>
      </c>
      <c r="J83" s="127">
        <v>14.0523</v>
      </c>
      <c r="K83" s="127">
        <v>19.6496</v>
      </c>
      <c r="L83" s="127">
        <v>70.2</v>
      </c>
      <c r="M83" s="127">
        <v>66.0</v>
      </c>
      <c r="N83" s="127">
        <v>3.29596</v>
      </c>
      <c r="O83" s="127">
        <v>3.38575</v>
      </c>
      <c r="P83" s="127">
        <v>2.66825</v>
      </c>
      <c r="Q83" s="127">
        <v>6.69001</v>
      </c>
      <c r="R83" s="127" t="s">
        <v>419</v>
      </c>
    </row>
    <row r="84">
      <c r="A84" s="127">
        <v>2017.0</v>
      </c>
      <c r="B84" s="127" t="s">
        <v>419</v>
      </c>
      <c r="C84" s="127">
        <v>1740.0</v>
      </c>
      <c r="D84" s="127">
        <v>0.161</v>
      </c>
      <c r="E84" s="127">
        <v>0.300825</v>
      </c>
      <c r="F84" s="127">
        <v>24.8903</v>
      </c>
      <c r="G84" s="127">
        <v>0.09219</v>
      </c>
      <c r="H84" s="127">
        <v>50.65</v>
      </c>
      <c r="I84" s="127">
        <v>49.34</v>
      </c>
      <c r="J84" s="127">
        <v>12.4741</v>
      </c>
      <c r="K84" s="127">
        <v>14.0523</v>
      </c>
      <c r="L84" s="127">
        <v>72.5</v>
      </c>
      <c r="M84" s="127">
        <v>70.2</v>
      </c>
      <c r="N84" s="127">
        <v>2.76225</v>
      </c>
      <c r="O84" s="127">
        <v>3.29596</v>
      </c>
      <c r="P84" s="127">
        <v>3.52026</v>
      </c>
      <c r="Q84" s="127">
        <v>6.94019</v>
      </c>
      <c r="R84" s="127" t="s">
        <v>419</v>
      </c>
    </row>
    <row r="85">
      <c r="A85" s="127">
        <v>2018.0</v>
      </c>
      <c r="B85" s="127" t="s">
        <v>419</v>
      </c>
      <c r="C85" s="127">
        <v>1600.0</v>
      </c>
      <c r="D85" s="127">
        <v>0.187</v>
      </c>
      <c r="E85" s="127">
        <v>0.251496</v>
      </c>
      <c r="F85" s="127">
        <v>25.0489</v>
      </c>
      <c r="G85" s="127">
        <v>0.17186</v>
      </c>
      <c r="H85" s="127">
        <v>51.32</v>
      </c>
      <c r="I85" s="127">
        <v>50.65</v>
      </c>
      <c r="J85" s="127">
        <v>11.3396</v>
      </c>
      <c r="K85" s="127">
        <v>12.4741</v>
      </c>
      <c r="L85" s="127">
        <v>75.7</v>
      </c>
      <c r="M85" s="127">
        <v>72.5</v>
      </c>
      <c r="N85" s="127">
        <v>2.53246</v>
      </c>
      <c r="O85" s="127">
        <v>2.76225</v>
      </c>
      <c r="P85" s="127">
        <v>3.53963</v>
      </c>
      <c r="Q85" s="127">
        <v>7.46501</v>
      </c>
      <c r="R85" s="127" t="s">
        <v>419</v>
      </c>
    </row>
    <row r="86">
      <c r="A86" s="127">
        <v>2019.0</v>
      </c>
      <c r="B86" s="127" t="s">
        <v>419</v>
      </c>
      <c r="C86" s="127">
        <v>1790.0</v>
      </c>
      <c r="D86" s="127">
        <v>0.194</v>
      </c>
      <c r="E86" s="127">
        <v>0.202067</v>
      </c>
      <c r="F86" s="127">
        <v>25.0408</v>
      </c>
      <c r="G86" s="127">
        <v>-0.00802</v>
      </c>
      <c r="H86" s="127">
        <v>52.92</v>
      </c>
      <c r="I86" s="127">
        <v>51.32</v>
      </c>
      <c r="J86" s="127">
        <v>11.3076</v>
      </c>
      <c r="K86" s="127">
        <v>11.3396</v>
      </c>
      <c r="L86" s="127">
        <v>77.5</v>
      </c>
      <c r="M86" s="127">
        <v>75.7</v>
      </c>
      <c r="N86" s="127">
        <v>2.69506</v>
      </c>
      <c r="O86" s="127">
        <v>2.53246</v>
      </c>
      <c r="P86" s="127">
        <v>2.79582</v>
      </c>
      <c r="Q86" s="127">
        <v>7.35926</v>
      </c>
      <c r="R86" s="127" t="s">
        <v>419</v>
      </c>
    </row>
    <row r="87">
      <c r="A87" s="127">
        <v>2020.0</v>
      </c>
      <c r="B87" s="127" t="s">
        <v>419</v>
      </c>
      <c r="C87" s="127">
        <v>1710.0</v>
      </c>
      <c r="D87" s="127">
        <v>0.126</v>
      </c>
      <c r="E87" s="127">
        <v>0.216881</v>
      </c>
      <c r="F87" s="127">
        <v>24.8843</v>
      </c>
      <c r="G87" s="127">
        <v>-0.14493</v>
      </c>
      <c r="H87" s="127">
        <v>54.56</v>
      </c>
      <c r="I87" s="127">
        <v>52.92</v>
      </c>
      <c r="J87" s="127">
        <v>12.2739</v>
      </c>
      <c r="K87" s="127">
        <v>11.3076</v>
      </c>
      <c r="L87" s="127">
        <v>81.0</v>
      </c>
      <c r="M87" s="127">
        <v>77.5</v>
      </c>
      <c r="N87" s="127">
        <v>2.48261</v>
      </c>
      <c r="O87" s="127">
        <v>2.69506</v>
      </c>
      <c r="P87" s="127">
        <v>3.22093</v>
      </c>
      <c r="Q87" s="127">
        <v>2.86541</v>
      </c>
      <c r="R87" s="127" t="s">
        <v>419</v>
      </c>
    </row>
    <row r="88">
      <c r="A88" s="127">
        <v>2021.0</v>
      </c>
      <c r="B88" s="127" t="s">
        <v>419</v>
      </c>
      <c r="C88" s="127">
        <v>1570.0</v>
      </c>
      <c r="D88" s="127">
        <v>0.112</v>
      </c>
      <c r="E88" s="127">
        <v>0.337387</v>
      </c>
      <c r="F88" s="127">
        <v>25.0926</v>
      </c>
      <c r="G88" s="127">
        <v>0.23166</v>
      </c>
      <c r="H88" s="127">
        <v>53.94</v>
      </c>
      <c r="I88" s="127">
        <v>54.56</v>
      </c>
      <c r="J88" s="127">
        <v>12.1839</v>
      </c>
      <c r="K88" s="127">
        <v>12.2739</v>
      </c>
      <c r="L88" s="127">
        <v>82.3</v>
      </c>
      <c r="M88" s="127">
        <v>81.0</v>
      </c>
      <c r="N88" s="127">
        <v>1.55671</v>
      </c>
      <c r="O88" s="127">
        <v>2.48261</v>
      </c>
      <c r="P88" s="127">
        <v>1.83472</v>
      </c>
      <c r="Q88" s="127">
        <v>2.55373</v>
      </c>
      <c r="R88" s="127" t="s">
        <v>419</v>
      </c>
    </row>
    <row r="89">
      <c r="A89" s="127">
        <v>2022.0</v>
      </c>
      <c r="B89" s="127" t="s">
        <v>419</v>
      </c>
      <c r="C89" s="127">
        <v>1620.0</v>
      </c>
      <c r="D89" s="127">
        <v>0.182</v>
      </c>
      <c r="E89" s="127">
        <v>0.259961</v>
      </c>
      <c r="F89" s="127">
        <v>25.3356</v>
      </c>
      <c r="G89" s="127">
        <v>0.27511</v>
      </c>
      <c r="H89" s="127">
        <v>55.52</v>
      </c>
      <c r="I89" s="127">
        <v>53.94</v>
      </c>
      <c r="J89" s="127">
        <v>18.1757</v>
      </c>
      <c r="K89" s="127">
        <v>12.1839</v>
      </c>
      <c r="L89" s="127">
        <v>84.1</v>
      </c>
      <c r="M89" s="127">
        <v>82.3</v>
      </c>
      <c r="N89" s="127">
        <v>2.15948</v>
      </c>
      <c r="O89" s="127">
        <v>1.55671</v>
      </c>
      <c r="P89" s="127">
        <v>3.15651</v>
      </c>
      <c r="Q89" s="127">
        <v>8.5375</v>
      </c>
      <c r="R89" s="127" t="s">
        <v>419</v>
      </c>
    </row>
    <row r="90">
      <c r="A90" s="127">
        <v>2023.0</v>
      </c>
      <c r="B90" s="127" t="s">
        <v>419</v>
      </c>
      <c r="C90" s="127">
        <v>1410.0</v>
      </c>
      <c r="D90" s="127">
        <v>0.134</v>
      </c>
      <c r="E90" s="127">
        <v>0.255894</v>
      </c>
      <c r="F90" s="127">
        <v>25.2226</v>
      </c>
      <c r="G90" s="127">
        <v>-0.10692</v>
      </c>
      <c r="H90" s="127">
        <v>56.57</v>
      </c>
      <c r="I90" s="127">
        <v>55.52</v>
      </c>
      <c r="J90" s="127">
        <v>21.6149</v>
      </c>
      <c r="K90" s="127">
        <v>18.1757</v>
      </c>
      <c r="L90" s="127">
        <v>86.6</v>
      </c>
      <c r="M90" s="127">
        <v>84.1</v>
      </c>
      <c r="N90" s="127">
        <v>2.5</v>
      </c>
      <c r="O90" s="127">
        <v>2.15948</v>
      </c>
      <c r="P90" s="127">
        <v>3.25289</v>
      </c>
      <c r="Q90" s="127">
        <v>5.06502</v>
      </c>
      <c r="R90" s="127" t="s">
        <v>419</v>
      </c>
    </row>
    <row r="91">
      <c r="A91" s="127">
        <v>2024.0</v>
      </c>
      <c r="B91" s="127" t="s">
        <v>419</v>
      </c>
      <c r="C91" s="127">
        <v>1800.0</v>
      </c>
      <c r="D91" s="127">
        <v>0.129</v>
      </c>
      <c r="E91" s="127">
        <v>0.247803</v>
      </c>
      <c r="F91" s="127">
        <v>25.3635</v>
      </c>
      <c r="G91" s="127">
        <v>0.1513</v>
      </c>
      <c r="H91" s="127">
        <v>57.56</v>
      </c>
      <c r="I91" s="127">
        <v>56.57</v>
      </c>
      <c r="J91" s="127">
        <v>23.6602</v>
      </c>
      <c r="K91" s="127">
        <v>21.6149</v>
      </c>
      <c r="L91" s="127">
        <v>89.1</v>
      </c>
      <c r="M91" s="127">
        <v>86.6</v>
      </c>
      <c r="N91" s="127"/>
      <c r="O91" s="127">
        <v>2.5</v>
      </c>
      <c r="P91" s="127">
        <v>3.62109</v>
      </c>
      <c r="Q91" s="127">
        <v>7.09119</v>
      </c>
      <c r="R91" s="127" t="s">
        <v>419</v>
      </c>
    </row>
    <row r="92">
      <c r="A92" s="127">
        <v>2015.0</v>
      </c>
      <c r="B92" s="127" t="s">
        <v>226</v>
      </c>
      <c r="C92" s="127">
        <v>55.7</v>
      </c>
      <c r="D92" s="127">
        <v>0.137</v>
      </c>
      <c r="E92" s="127">
        <v>0.432829</v>
      </c>
      <c r="F92" s="127">
        <v>24.0357</v>
      </c>
      <c r="G92" s="127">
        <v>0.07552</v>
      </c>
      <c r="H92" s="127">
        <v>48.04</v>
      </c>
      <c r="I92" s="127">
        <v>46.98</v>
      </c>
      <c r="J92" s="127">
        <v>19.6496</v>
      </c>
      <c r="K92" s="127">
        <v>28.8466</v>
      </c>
      <c r="L92" s="127">
        <v>42.5</v>
      </c>
      <c r="M92" s="127">
        <v>39.8</v>
      </c>
      <c r="N92" s="127">
        <v>2.26495</v>
      </c>
      <c r="O92" s="128"/>
      <c r="P92" s="127">
        <v>0.631201</v>
      </c>
      <c r="Q92" s="127">
        <v>6.98715</v>
      </c>
      <c r="R92" s="127" t="s">
        <v>226</v>
      </c>
    </row>
    <row r="93">
      <c r="A93" s="127">
        <v>2016.0</v>
      </c>
      <c r="B93" s="127" t="s">
        <v>226</v>
      </c>
      <c r="C93" s="127">
        <v>114.0</v>
      </c>
      <c r="D93" s="127">
        <v>0.199</v>
      </c>
      <c r="E93" s="127">
        <v>0.402578</v>
      </c>
      <c r="F93" s="127">
        <v>24.2283</v>
      </c>
      <c r="G93" s="127">
        <v>0.21237</v>
      </c>
      <c r="H93" s="127">
        <v>49.34</v>
      </c>
      <c r="I93" s="127">
        <v>48.04</v>
      </c>
      <c r="J93" s="127">
        <v>14.0523</v>
      </c>
      <c r="K93" s="127">
        <v>19.6496</v>
      </c>
      <c r="L93" s="127">
        <v>44.3</v>
      </c>
      <c r="M93" s="127">
        <v>42.5</v>
      </c>
      <c r="N93" s="127">
        <v>3.46747</v>
      </c>
      <c r="O93" s="127">
        <v>2.26495</v>
      </c>
      <c r="P93" s="127">
        <v>2.66825</v>
      </c>
      <c r="Q93" s="127">
        <v>6.69001</v>
      </c>
      <c r="R93" s="127" t="s">
        <v>226</v>
      </c>
    </row>
    <row r="94">
      <c r="A94" s="127">
        <v>2017.0</v>
      </c>
      <c r="B94" s="127" t="s">
        <v>226</v>
      </c>
      <c r="C94" s="127">
        <v>142.0</v>
      </c>
      <c r="D94" s="127">
        <v>0.151</v>
      </c>
      <c r="E94" s="127">
        <v>0.388981</v>
      </c>
      <c r="F94" s="127">
        <v>24.5554</v>
      </c>
      <c r="G94" s="127">
        <v>0.38694</v>
      </c>
      <c r="H94" s="127">
        <v>50.65</v>
      </c>
      <c r="I94" s="127">
        <v>49.34</v>
      </c>
      <c r="J94" s="127">
        <v>12.4741</v>
      </c>
      <c r="K94" s="127">
        <v>14.0523</v>
      </c>
      <c r="L94" s="127">
        <v>49.2</v>
      </c>
      <c r="M94" s="127">
        <v>44.3</v>
      </c>
      <c r="N94" s="127">
        <v>5.61456</v>
      </c>
      <c r="O94" s="127">
        <v>3.46747</v>
      </c>
      <c r="P94" s="127">
        <v>3.52026</v>
      </c>
      <c r="Q94" s="127">
        <v>6.94019</v>
      </c>
      <c r="R94" s="127" t="s">
        <v>226</v>
      </c>
    </row>
    <row r="95">
      <c r="A95" s="127">
        <v>2018.0</v>
      </c>
      <c r="B95" s="127" t="s">
        <v>226</v>
      </c>
      <c r="C95" s="127">
        <v>161.0</v>
      </c>
      <c r="D95" s="127">
        <v>0.11</v>
      </c>
      <c r="E95" s="127">
        <v>0.480678</v>
      </c>
      <c r="F95" s="127">
        <v>24.7457</v>
      </c>
      <c r="G95" s="127">
        <v>0.20958</v>
      </c>
      <c r="H95" s="127">
        <v>51.32</v>
      </c>
      <c r="I95" s="127">
        <v>50.65</v>
      </c>
      <c r="J95" s="127">
        <v>11.3396</v>
      </c>
      <c r="K95" s="127">
        <v>12.4741</v>
      </c>
      <c r="L95" s="127">
        <v>55.5</v>
      </c>
      <c r="M95" s="127">
        <v>49.2</v>
      </c>
      <c r="N95" s="127">
        <v>5.37804</v>
      </c>
      <c r="O95" s="127">
        <v>5.61456</v>
      </c>
      <c r="P95" s="127">
        <v>3.53963</v>
      </c>
      <c r="Q95" s="127">
        <v>7.46501</v>
      </c>
      <c r="R95" s="127" t="s">
        <v>226</v>
      </c>
    </row>
    <row r="96">
      <c r="A96" s="127">
        <v>2019.0</v>
      </c>
      <c r="B96" s="127" t="s">
        <v>226</v>
      </c>
      <c r="C96" s="127">
        <v>171.0</v>
      </c>
      <c r="D96" s="127">
        <v>0.0745</v>
      </c>
      <c r="E96" s="127">
        <v>0.530473</v>
      </c>
      <c r="F96" s="127">
        <v>24.8768</v>
      </c>
      <c r="G96" s="127">
        <v>0.14008</v>
      </c>
      <c r="H96" s="127">
        <v>52.92</v>
      </c>
      <c r="I96" s="127">
        <v>51.32</v>
      </c>
      <c r="J96" s="127">
        <v>11.3076</v>
      </c>
      <c r="K96" s="127">
        <v>11.3396</v>
      </c>
      <c r="L96" s="127">
        <v>59.9</v>
      </c>
      <c r="M96" s="127">
        <v>55.5</v>
      </c>
      <c r="N96" s="127">
        <v>4.85695</v>
      </c>
      <c r="O96" s="127">
        <v>5.37804</v>
      </c>
      <c r="P96" s="127">
        <v>2.79582</v>
      </c>
      <c r="Q96" s="127">
        <v>7.35926</v>
      </c>
      <c r="R96" s="127" t="s">
        <v>226</v>
      </c>
    </row>
    <row r="97">
      <c r="A97" s="127">
        <v>2020.0</v>
      </c>
      <c r="B97" s="127" t="s">
        <v>226</v>
      </c>
      <c r="C97" s="127">
        <v>368.0</v>
      </c>
      <c r="D97" s="127">
        <v>0.103</v>
      </c>
      <c r="E97" s="127">
        <v>0.549699</v>
      </c>
      <c r="F97" s="127">
        <v>25.2244</v>
      </c>
      <c r="G97" s="127">
        <v>0.41566</v>
      </c>
      <c r="H97" s="127">
        <v>54.56</v>
      </c>
      <c r="I97" s="127">
        <v>52.92</v>
      </c>
      <c r="J97" s="127">
        <v>12.2739</v>
      </c>
      <c r="K97" s="127">
        <v>11.3076</v>
      </c>
      <c r="L97" s="127">
        <v>65.2</v>
      </c>
      <c r="M97" s="127">
        <v>59.9</v>
      </c>
      <c r="N97" s="127">
        <v>5.25008</v>
      </c>
      <c r="O97" s="127">
        <v>4.85695</v>
      </c>
      <c r="P97" s="127">
        <v>3.22093</v>
      </c>
      <c r="Q97" s="127">
        <v>2.86541</v>
      </c>
      <c r="R97" s="127" t="s">
        <v>226</v>
      </c>
    </row>
    <row r="98">
      <c r="A98" s="127">
        <v>2021.0</v>
      </c>
      <c r="B98" s="127" t="s">
        <v>226</v>
      </c>
      <c r="C98" s="127">
        <v>495.0</v>
      </c>
      <c r="D98" s="127">
        <v>0.194</v>
      </c>
      <c r="E98" s="127">
        <v>0.490673</v>
      </c>
      <c r="F98" s="127">
        <v>25.7318</v>
      </c>
      <c r="G98" s="127">
        <v>0.66092</v>
      </c>
      <c r="H98" s="127">
        <v>53.94</v>
      </c>
      <c r="I98" s="127">
        <v>54.56</v>
      </c>
      <c r="J98" s="127">
        <v>12.1839</v>
      </c>
      <c r="K98" s="127">
        <v>12.2739</v>
      </c>
      <c r="L98" s="127">
        <v>70.4</v>
      </c>
      <c r="M98" s="127">
        <v>65.2</v>
      </c>
      <c r="N98" s="127">
        <v>3.29292</v>
      </c>
      <c r="O98" s="127">
        <v>5.25008</v>
      </c>
      <c r="P98" s="127">
        <v>1.83472</v>
      </c>
      <c r="Q98" s="127">
        <v>2.55373</v>
      </c>
      <c r="R98" s="127" t="s">
        <v>226</v>
      </c>
    </row>
    <row r="99">
      <c r="A99" s="127">
        <v>2022.0</v>
      </c>
      <c r="B99" s="127" t="s">
        <v>226</v>
      </c>
      <c r="C99" s="127">
        <v>359.0</v>
      </c>
      <c r="D99" s="127">
        <v>0.0496</v>
      </c>
      <c r="E99" s="127">
        <v>0.435743</v>
      </c>
      <c r="F99" s="127">
        <v>25.6749</v>
      </c>
      <c r="G99" s="127">
        <v>-0.05525</v>
      </c>
      <c r="H99" s="127">
        <v>55.52</v>
      </c>
      <c r="I99" s="127">
        <v>53.94</v>
      </c>
      <c r="J99" s="127">
        <v>18.1757</v>
      </c>
      <c r="K99" s="127">
        <v>12.1839</v>
      </c>
      <c r="L99" s="127">
        <v>71.3</v>
      </c>
      <c r="M99" s="127">
        <v>70.4</v>
      </c>
      <c r="N99" s="127">
        <v>1.92959</v>
      </c>
      <c r="O99" s="127">
        <v>3.29292</v>
      </c>
      <c r="P99" s="127">
        <v>3.15651</v>
      </c>
      <c r="Q99" s="127">
        <v>8.5375</v>
      </c>
      <c r="R99" s="127" t="s">
        <v>226</v>
      </c>
    </row>
    <row r="100">
      <c r="A100" s="127">
        <v>2023.0</v>
      </c>
      <c r="B100" s="127" t="s">
        <v>226</v>
      </c>
      <c r="C100" s="127">
        <v>656.0</v>
      </c>
      <c r="D100" s="127">
        <v>0.0362</v>
      </c>
      <c r="E100" s="127">
        <v>0.452364</v>
      </c>
      <c r="F100" s="127">
        <v>25.502</v>
      </c>
      <c r="G100" s="127">
        <v>-0.1588</v>
      </c>
      <c r="H100" s="127">
        <v>56.57</v>
      </c>
      <c r="I100" s="127">
        <v>55.52</v>
      </c>
      <c r="J100" s="127">
        <v>21.6149</v>
      </c>
      <c r="K100" s="127">
        <v>18.1757</v>
      </c>
      <c r="L100" s="127">
        <v>74.1</v>
      </c>
      <c r="M100" s="127">
        <v>71.3</v>
      </c>
      <c r="N100" s="127">
        <v>3.73631</v>
      </c>
      <c r="O100" s="127">
        <v>1.92959</v>
      </c>
      <c r="P100" s="127">
        <v>3.25289</v>
      </c>
      <c r="Q100" s="127">
        <v>5.06502</v>
      </c>
      <c r="R100" s="127" t="s">
        <v>226</v>
      </c>
    </row>
    <row r="101">
      <c r="A101" s="127">
        <v>2024.0</v>
      </c>
      <c r="B101" s="127" t="s">
        <v>226</v>
      </c>
      <c r="C101" s="127">
        <v>576.0</v>
      </c>
      <c r="D101" s="127">
        <v>0.0535</v>
      </c>
      <c r="E101" s="127">
        <v>0.489298</v>
      </c>
      <c r="F101" s="127">
        <v>25.6567</v>
      </c>
      <c r="G101" s="127">
        <v>0.16731</v>
      </c>
      <c r="H101" s="127">
        <v>57.56</v>
      </c>
      <c r="I101" s="127">
        <v>56.57</v>
      </c>
      <c r="J101" s="127">
        <v>23.6602</v>
      </c>
      <c r="K101" s="127">
        <v>21.6149</v>
      </c>
      <c r="L101" s="127">
        <v>78.7</v>
      </c>
      <c r="M101" s="127">
        <v>74.1</v>
      </c>
      <c r="N101" s="127"/>
      <c r="O101" s="127">
        <v>3.73631</v>
      </c>
      <c r="P101" s="127">
        <v>3.62109</v>
      </c>
      <c r="Q101" s="127">
        <v>7.09119</v>
      </c>
      <c r="R101" s="127" t="s">
        <v>226</v>
      </c>
    </row>
    <row r="102">
      <c r="A102" s="127">
        <v>2015.0</v>
      </c>
      <c r="B102" s="127" t="s">
        <v>1219</v>
      </c>
      <c r="C102" s="127">
        <v>2127.26</v>
      </c>
      <c r="D102" s="127">
        <v>0.031423</v>
      </c>
      <c r="E102" s="127">
        <v>0.511523</v>
      </c>
      <c r="F102" s="127">
        <v>20.772</v>
      </c>
      <c r="G102" s="127">
        <v>0.69051</v>
      </c>
      <c r="H102" s="127">
        <v>48.04</v>
      </c>
      <c r="I102" s="127">
        <v>46.98</v>
      </c>
      <c r="J102" s="127">
        <v>19.6496</v>
      </c>
      <c r="K102" s="127">
        <v>28.8466</v>
      </c>
      <c r="L102" s="127">
        <v>48.3</v>
      </c>
      <c r="M102" s="127">
        <v>43.3</v>
      </c>
      <c r="N102" s="127">
        <v>6.23859</v>
      </c>
      <c r="O102" s="128"/>
      <c r="P102" s="127">
        <v>0.631201</v>
      </c>
      <c r="Q102" s="127">
        <v>6.98715</v>
      </c>
      <c r="R102" s="127" t="s">
        <v>1219</v>
      </c>
    </row>
    <row r="103">
      <c r="A103" s="127">
        <v>2016.0</v>
      </c>
      <c r="B103" s="127" t="s">
        <v>1219</v>
      </c>
      <c r="C103" s="127">
        <v>5863.69</v>
      </c>
      <c r="D103" s="127">
        <v>0.051072</v>
      </c>
      <c r="E103" s="127">
        <v>0.445904</v>
      </c>
      <c r="F103" s="127">
        <v>22.0923</v>
      </c>
      <c r="G103" s="127">
        <v>2.74463</v>
      </c>
      <c r="H103" s="127">
        <v>49.34</v>
      </c>
      <c r="I103" s="127">
        <v>48.04</v>
      </c>
      <c r="J103" s="127">
        <v>14.0523</v>
      </c>
      <c r="K103" s="127">
        <v>19.6496</v>
      </c>
      <c r="L103" s="127">
        <v>55.7</v>
      </c>
      <c r="M103" s="127">
        <v>48.3</v>
      </c>
      <c r="N103" s="127">
        <v>6.37887</v>
      </c>
      <c r="O103" s="127">
        <v>6.23859</v>
      </c>
      <c r="P103" s="127">
        <v>2.66825</v>
      </c>
      <c r="Q103" s="127">
        <v>6.69001</v>
      </c>
      <c r="R103" s="127" t="s">
        <v>1219</v>
      </c>
    </row>
    <row r="104">
      <c r="A104" s="127">
        <v>2017.0</v>
      </c>
      <c r="B104" s="127" t="s">
        <v>1219</v>
      </c>
      <c r="C104" s="127">
        <v>2288.24</v>
      </c>
      <c r="D104" s="127">
        <v>0.057519</v>
      </c>
      <c r="E104" s="127">
        <v>0.362855</v>
      </c>
      <c r="F104" s="127">
        <v>21.84</v>
      </c>
      <c r="G104" s="127">
        <v>-0.22302</v>
      </c>
      <c r="H104" s="127">
        <v>50.65</v>
      </c>
      <c r="I104" s="127">
        <v>49.34</v>
      </c>
      <c r="J104" s="127">
        <v>12.4741</v>
      </c>
      <c r="K104" s="127">
        <v>14.0523</v>
      </c>
      <c r="L104" s="127">
        <v>61.0</v>
      </c>
      <c r="M104" s="127">
        <v>55.7</v>
      </c>
      <c r="N104" s="127">
        <v>3.89743</v>
      </c>
      <c r="O104" s="127">
        <v>6.37887</v>
      </c>
      <c r="P104" s="127">
        <v>3.52026</v>
      </c>
      <c r="Q104" s="127">
        <v>6.94019</v>
      </c>
      <c r="R104" s="127" t="s">
        <v>1219</v>
      </c>
    </row>
    <row r="105">
      <c r="A105" s="127">
        <v>2018.0</v>
      </c>
      <c r="B105" s="127" t="s">
        <v>1219</v>
      </c>
      <c r="C105" s="127">
        <v>3935.76</v>
      </c>
      <c r="D105" s="127">
        <v>0.079155</v>
      </c>
      <c r="E105" s="127">
        <v>0.325423</v>
      </c>
      <c r="F105" s="127">
        <v>21.7937</v>
      </c>
      <c r="G105" s="127">
        <v>-0.04525</v>
      </c>
      <c r="H105" s="127">
        <v>51.32</v>
      </c>
      <c r="I105" s="127">
        <v>50.65</v>
      </c>
      <c r="J105" s="127">
        <v>11.3396</v>
      </c>
      <c r="K105" s="127">
        <v>12.4741</v>
      </c>
      <c r="L105" s="127">
        <v>63.3</v>
      </c>
      <c r="M105" s="127">
        <v>61.0</v>
      </c>
      <c r="N105" s="127">
        <v>3.73229</v>
      </c>
      <c r="O105" s="127">
        <v>3.89743</v>
      </c>
      <c r="P105" s="127">
        <v>3.53963</v>
      </c>
      <c r="Q105" s="127">
        <v>7.46501</v>
      </c>
      <c r="R105" s="127" t="s">
        <v>1219</v>
      </c>
    </row>
    <row r="106">
      <c r="A106" s="127">
        <v>2019.0</v>
      </c>
      <c r="B106" s="127" t="s">
        <v>1219</v>
      </c>
      <c r="C106" s="127">
        <v>6401.86</v>
      </c>
      <c r="D106" s="127">
        <v>0.069265</v>
      </c>
      <c r="E106" s="127">
        <v>0.421004</v>
      </c>
      <c r="F106" s="127">
        <v>21.7576</v>
      </c>
      <c r="G106" s="127">
        <v>-0.0354</v>
      </c>
      <c r="H106" s="127">
        <v>52.92</v>
      </c>
      <c r="I106" s="127">
        <v>51.32</v>
      </c>
      <c r="J106" s="127">
        <v>11.3076</v>
      </c>
      <c r="K106" s="127">
        <v>11.3396</v>
      </c>
      <c r="L106" s="127">
        <v>68.3</v>
      </c>
      <c r="M106" s="127">
        <v>63.3</v>
      </c>
      <c r="N106" s="127">
        <v>5.20128</v>
      </c>
      <c r="O106" s="127">
        <v>3.73229</v>
      </c>
      <c r="P106" s="127">
        <v>2.79582</v>
      </c>
      <c r="Q106" s="127">
        <v>7.35926</v>
      </c>
      <c r="R106" s="127" t="s">
        <v>1219</v>
      </c>
    </row>
    <row r="107">
      <c r="A107" s="127">
        <v>2020.0</v>
      </c>
      <c r="B107" s="127" t="s">
        <v>1219</v>
      </c>
      <c r="C107" s="127">
        <v>7705.92</v>
      </c>
      <c r="D107" s="127">
        <v>0.08285</v>
      </c>
      <c r="E107" s="127">
        <v>0.414538</v>
      </c>
      <c r="F107" s="127">
        <v>22.2344</v>
      </c>
      <c r="G107" s="127">
        <v>0.61091</v>
      </c>
      <c r="H107" s="127">
        <v>54.56</v>
      </c>
      <c r="I107" s="127">
        <v>52.92</v>
      </c>
      <c r="J107" s="127">
        <v>12.2739</v>
      </c>
      <c r="K107" s="127">
        <v>11.3076</v>
      </c>
      <c r="L107" s="127">
        <v>73.7</v>
      </c>
      <c r="M107" s="127">
        <v>68.3</v>
      </c>
      <c r="N107" s="127">
        <v>4.25676</v>
      </c>
      <c r="O107" s="127">
        <v>5.20128</v>
      </c>
      <c r="P107" s="127">
        <v>3.22093</v>
      </c>
      <c r="Q107" s="127">
        <v>2.86541</v>
      </c>
      <c r="R107" s="127" t="s">
        <v>1219</v>
      </c>
    </row>
    <row r="108">
      <c r="A108" s="127">
        <v>2021.0</v>
      </c>
      <c r="B108" s="127" t="s">
        <v>1219</v>
      </c>
      <c r="C108" s="127">
        <v>6535.72</v>
      </c>
      <c r="D108" s="127">
        <v>0.083808</v>
      </c>
      <c r="E108" s="127">
        <v>0.288846</v>
      </c>
      <c r="F108" s="127">
        <v>22.0419</v>
      </c>
      <c r="G108" s="127">
        <v>-0.17513</v>
      </c>
      <c r="H108" s="127">
        <v>53.94</v>
      </c>
      <c r="I108" s="127">
        <v>54.56</v>
      </c>
      <c r="J108" s="127">
        <v>12.1839</v>
      </c>
      <c r="K108" s="127">
        <v>12.2739</v>
      </c>
      <c r="L108" s="127">
        <v>76.7</v>
      </c>
      <c r="M108" s="127">
        <v>73.7</v>
      </c>
      <c r="N108" s="127">
        <v>3.30454</v>
      </c>
      <c r="O108" s="127">
        <v>4.25676</v>
      </c>
      <c r="P108" s="127">
        <v>1.83472</v>
      </c>
      <c r="Q108" s="127">
        <v>2.55373</v>
      </c>
      <c r="R108" s="127" t="s">
        <v>1219</v>
      </c>
    </row>
    <row r="109">
      <c r="A109" s="127">
        <v>2022.0</v>
      </c>
      <c r="B109" s="127" t="s">
        <v>1219</v>
      </c>
      <c r="C109" s="127">
        <v>5843.7</v>
      </c>
      <c r="D109" s="127">
        <v>0.050245</v>
      </c>
      <c r="E109" s="127">
        <v>0.452417</v>
      </c>
      <c r="F109" s="127">
        <v>21.7921</v>
      </c>
      <c r="G109" s="127">
        <v>-0.22106</v>
      </c>
      <c r="H109" s="127">
        <v>55.52</v>
      </c>
      <c r="I109" s="127">
        <v>53.94</v>
      </c>
      <c r="J109" s="127">
        <v>18.1757</v>
      </c>
      <c r="K109" s="127">
        <v>12.1839</v>
      </c>
      <c r="L109" s="127">
        <v>80.3</v>
      </c>
      <c r="M109" s="127">
        <v>76.7</v>
      </c>
      <c r="N109" s="127">
        <v>3.01993</v>
      </c>
      <c r="O109" s="127">
        <v>3.30454</v>
      </c>
      <c r="P109" s="127">
        <v>3.15651</v>
      </c>
      <c r="Q109" s="127">
        <v>8.5375</v>
      </c>
      <c r="R109" s="127" t="s">
        <v>1219</v>
      </c>
    </row>
    <row r="110">
      <c r="A110" s="127">
        <v>2023.0</v>
      </c>
      <c r="B110" s="127" t="s">
        <v>1219</v>
      </c>
      <c r="C110" s="127">
        <v>5497.5</v>
      </c>
      <c r="D110" s="127">
        <v>0.027548</v>
      </c>
      <c r="E110" s="127">
        <v>0.413803</v>
      </c>
      <c r="F110" s="127">
        <v>21.4594</v>
      </c>
      <c r="G110" s="127">
        <v>-0.28304</v>
      </c>
      <c r="H110" s="127">
        <v>56.57</v>
      </c>
      <c r="I110" s="127">
        <v>55.52</v>
      </c>
      <c r="J110" s="127">
        <v>21.6149</v>
      </c>
      <c r="K110" s="127">
        <v>18.1757</v>
      </c>
      <c r="L110" s="127">
        <v>82.7</v>
      </c>
      <c r="M110" s="127">
        <v>80.3</v>
      </c>
      <c r="N110" s="127">
        <v>2.50067</v>
      </c>
      <c r="O110" s="127">
        <v>3.01993</v>
      </c>
      <c r="P110" s="127">
        <v>3.25289</v>
      </c>
      <c r="Q110" s="127">
        <v>5.06502</v>
      </c>
      <c r="R110" s="127" t="s">
        <v>1219</v>
      </c>
    </row>
    <row r="111">
      <c r="A111" s="127">
        <v>2024.0</v>
      </c>
      <c r="B111" s="127" t="s">
        <v>1219</v>
      </c>
      <c r="C111" s="127">
        <v>6441.78</v>
      </c>
      <c r="D111" s="127">
        <v>0.026128</v>
      </c>
      <c r="E111" s="127">
        <v>0.367527</v>
      </c>
      <c r="F111" s="127">
        <v>21.9107</v>
      </c>
      <c r="G111" s="127">
        <v>0.57038</v>
      </c>
      <c r="H111" s="127">
        <v>57.56</v>
      </c>
      <c r="I111" s="127">
        <v>56.57</v>
      </c>
      <c r="J111" s="127">
        <v>23.6602</v>
      </c>
      <c r="K111" s="127">
        <v>21.6149</v>
      </c>
      <c r="L111" s="127">
        <v>85.3</v>
      </c>
      <c r="M111" s="127">
        <v>82.7</v>
      </c>
      <c r="N111" s="127"/>
      <c r="O111" s="127">
        <v>2.50067</v>
      </c>
      <c r="P111" s="127">
        <v>3.62109</v>
      </c>
      <c r="Q111" s="127">
        <v>7.09119</v>
      </c>
      <c r="R111" s="127" t="s">
        <v>1219</v>
      </c>
    </row>
    <row r="112">
      <c r="A112" s="127">
        <v>2015.0</v>
      </c>
      <c r="B112" s="127" t="s">
        <v>483</v>
      </c>
      <c r="C112" s="127">
        <v>15.4</v>
      </c>
      <c r="D112" s="127">
        <v>0.0114</v>
      </c>
      <c r="E112" s="127">
        <v>0.895119</v>
      </c>
      <c r="F112" s="127">
        <v>22.822</v>
      </c>
      <c r="G112" s="127">
        <v>0.03409</v>
      </c>
      <c r="H112" s="127">
        <v>48.04</v>
      </c>
      <c r="I112" s="127">
        <v>46.98</v>
      </c>
      <c r="J112" s="127">
        <v>19.6496</v>
      </c>
      <c r="K112" s="127">
        <v>28.8466</v>
      </c>
      <c r="L112" s="127">
        <v>42.0</v>
      </c>
      <c r="M112" s="127">
        <v>38.0</v>
      </c>
      <c r="N112" s="127">
        <v>4.0</v>
      </c>
      <c r="O112" s="128"/>
      <c r="P112" s="127">
        <v>0.631201</v>
      </c>
      <c r="Q112" s="127">
        <v>6.98715</v>
      </c>
      <c r="R112" s="127" t="s">
        <v>483</v>
      </c>
    </row>
    <row r="113">
      <c r="A113" s="127">
        <v>2016.0</v>
      </c>
      <c r="B113" s="127" t="s">
        <v>483</v>
      </c>
      <c r="C113" s="127">
        <v>18.4</v>
      </c>
      <c r="D113" s="127">
        <v>0.0113</v>
      </c>
      <c r="E113" s="127">
        <v>0.896244</v>
      </c>
      <c r="F113" s="127">
        <v>22.9067</v>
      </c>
      <c r="G113" s="127">
        <v>0.0884</v>
      </c>
      <c r="H113" s="127">
        <v>49.34</v>
      </c>
      <c r="I113" s="127">
        <v>48.04</v>
      </c>
      <c r="J113" s="127">
        <v>14.0523</v>
      </c>
      <c r="K113" s="127">
        <v>19.6496</v>
      </c>
      <c r="L113" s="127">
        <v>46.0</v>
      </c>
      <c r="M113" s="127">
        <v>42.0</v>
      </c>
      <c r="N113" s="127">
        <v>4.0</v>
      </c>
      <c r="O113" s="127">
        <v>4.0</v>
      </c>
      <c r="P113" s="127">
        <v>2.66825</v>
      </c>
      <c r="Q113" s="127">
        <v>6.69001</v>
      </c>
      <c r="R113" s="127" t="s">
        <v>483</v>
      </c>
    </row>
    <row r="114">
      <c r="A114" s="127">
        <v>2017.0</v>
      </c>
      <c r="B114" s="127" t="s">
        <v>483</v>
      </c>
      <c r="C114" s="127">
        <v>31.2</v>
      </c>
      <c r="D114" s="127">
        <v>0.0111</v>
      </c>
      <c r="E114" s="127">
        <v>0.905692</v>
      </c>
      <c r="F114" s="127">
        <v>23.2645</v>
      </c>
      <c r="G114" s="127">
        <v>0.4303</v>
      </c>
      <c r="H114" s="127">
        <v>50.65</v>
      </c>
      <c r="I114" s="127">
        <v>49.34</v>
      </c>
      <c r="J114" s="127">
        <v>12.4741</v>
      </c>
      <c r="K114" s="127">
        <v>14.0523</v>
      </c>
      <c r="L114" s="127">
        <v>50.0</v>
      </c>
      <c r="M114" s="127">
        <v>46.0</v>
      </c>
      <c r="N114" s="127">
        <v>4.0</v>
      </c>
      <c r="O114" s="127">
        <v>4.0</v>
      </c>
      <c r="P114" s="127">
        <v>3.52026</v>
      </c>
      <c r="Q114" s="127">
        <v>6.94019</v>
      </c>
      <c r="R114" s="127" t="s">
        <v>483</v>
      </c>
    </row>
    <row r="115">
      <c r="A115" s="127">
        <v>2018.0</v>
      </c>
      <c r="B115" s="127" t="s">
        <v>483</v>
      </c>
      <c r="C115" s="127">
        <v>26.3</v>
      </c>
      <c r="D115" s="127">
        <v>0.0171</v>
      </c>
      <c r="E115" s="127">
        <v>0.905684</v>
      </c>
      <c r="F115" s="127">
        <v>23.6075</v>
      </c>
      <c r="G115" s="127">
        <v>0.40911</v>
      </c>
      <c r="H115" s="127">
        <v>51.32</v>
      </c>
      <c r="I115" s="127">
        <v>50.65</v>
      </c>
      <c r="J115" s="127">
        <v>11.3396</v>
      </c>
      <c r="K115" s="127">
        <v>12.4741</v>
      </c>
      <c r="L115" s="127">
        <v>54.0</v>
      </c>
      <c r="M115" s="127">
        <v>50.0</v>
      </c>
      <c r="N115" s="127">
        <v>4.0</v>
      </c>
      <c r="O115" s="127">
        <v>4.0</v>
      </c>
      <c r="P115" s="127">
        <v>3.53963</v>
      </c>
      <c r="Q115" s="127">
        <v>7.46501</v>
      </c>
      <c r="R115" s="127" t="s">
        <v>483</v>
      </c>
    </row>
    <row r="116">
      <c r="A116" s="127">
        <v>2019.0</v>
      </c>
      <c r="B116" s="127" t="s">
        <v>483</v>
      </c>
      <c r="C116" s="127">
        <v>32.4</v>
      </c>
      <c r="D116" s="127">
        <v>0.0196</v>
      </c>
      <c r="E116" s="127">
        <v>0.903069</v>
      </c>
      <c r="F116" s="127">
        <v>23.8356</v>
      </c>
      <c r="G116" s="127">
        <v>0.25618</v>
      </c>
      <c r="H116" s="127">
        <v>52.92</v>
      </c>
      <c r="I116" s="127">
        <v>51.32</v>
      </c>
      <c r="J116" s="127">
        <v>11.3076</v>
      </c>
      <c r="K116" s="127">
        <v>11.3396</v>
      </c>
      <c r="L116" s="127">
        <v>58.0</v>
      </c>
      <c r="M116" s="127">
        <v>54.0</v>
      </c>
      <c r="N116" s="127">
        <v>3.51188</v>
      </c>
      <c r="O116" s="127">
        <v>4.0</v>
      </c>
      <c r="P116" s="127">
        <v>2.79582</v>
      </c>
      <c r="Q116" s="127">
        <v>7.35926</v>
      </c>
      <c r="R116" s="127" t="s">
        <v>483</v>
      </c>
    </row>
    <row r="117">
      <c r="A117" s="127">
        <v>2020.0</v>
      </c>
      <c r="B117" s="127" t="s">
        <v>483</v>
      </c>
      <c r="C117" s="127">
        <v>37.5</v>
      </c>
      <c r="D117" s="127">
        <v>0.0174</v>
      </c>
      <c r="E117" s="127">
        <v>0.898785</v>
      </c>
      <c r="F117" s="127">
        <v>23.9655</v>
      </c>
      <c r="G117" s="127">
        <v>0.13871</v>
      </c>
      <c r="H117" s="127">
        <v>54.56</v>
      </c>
      <c r="I117" s="127">
        <v>52.92</v>
      </c>
      <c r="J117" s="127">
        <v>12.2739</v>
      </c>
      <c r="K117" s="127">
        <v>11.3076</v>
      </c>
      <c r="L117" s="127">
        <v>61.0</v>
      </c>
      <c r="M117" s="127">
        <v>58.0</v>
      </c>
      <c r="N117" s="127">
        <v>4.04145</v>
      </c>
      <c r="O117" s="127">
        <v>3.51188</v>
      </c>
      <c r="P117" s="127">
        <v>3.22093</v>
      </c>
      <c r="Q117" s="127">
        <v>2.86541</v>
      </c>
      <c r="R117" s="127" t="s">
        <v>483</v>
      </c>
    </row>
    <row r="118">
      <c r="A118" s="127">
        <v>2021.0</v>
      </c>
      <c r="B118" s="127" t="s">
        <v>483</v>
      </c>
      <c r="C118" s="127">
        <v>61.2</v>
      </c>
      <c r="D118" s="127">
        <v>0.0218</v>
      </c>
      <c r="E118" s="127">
        <v>0.897081</v>
      </c>
      <c r="F118" s="127">
        <v>24.2368</v>
      </c>
      <c r="G118" s="127">
        <v>0.31165</v>
      </c>
      <c r="H118" s="127">
        <v>53.94</v>
      </c>
      <c r="I118" s="127">
        <v>54.56</v>
      </c>
      <c r="J118" s="127">
        <v>12.1839</v>
      </c>
      <c r="K118" s="127">
        <v>12.2739</v>
      </c>
      <c r="L118" s="127">
        <v>66.0</v>
      </c>
      <c r="M118" s="127">
        <v>61.0</v>
      </c>
      <c r="N118" s="127">
        <v>5.50757</v>
      </c>
      <c r="O118" s="127">
        <v>4.04145</v>
      </c>
      <c r="P118" s="127">
        <v>1.83472</v>
      </c>
      <c r="Q118" s="127">
        <v>2.55373</v>
      </c>
      <c r="R118" s="127" t="s">
        <v>483</v>
      </c>
    </row>
    <row r="119">
      <c r="A119" s="127">
        <v>2022.0</v>
      </c>
      <c r="B119" s="127" t="s">
        <v>483</v>
      </c>
      <c r="C119" s="127">
        <v>49.0</v>
      </c>
      <c r="D119" s="127">
        <v>0.0249</v>
      </c>
      <c r="E119" s="127">
        <v>0.890721</v>
      </c>
      <c r="F119" s="127">
        <v>24.4919</v>
      </c>
      <c r="G119" s="127">
        <v>0.29059</v>
      </c>
      <c r="H119" s="127">
        <v>55.52</v>
      </c>
      <c r="I119" s="127">
        <v>53.94</v>
      </c>
      <c r="J119" s="127">
        <v>18.1757</v>
      </c>
      <c r="K119" s="127">
        <v>12.1839</v>
      </c>
      <c r="L119" s="127">
        <v>72.0</v>
      </c>
      <c r="M119" s="127">
        <v>66.0</v>
      </c>
      <c r="N119" s="127">
        <v>5.50757</v>
      </c>
      <c r="O119" s="127">
        <v>5.50757</v>
      </c>
      <c r="P119" s="127">
        <v>3.15651</v>
      </c>
      <c r="Q119" s="127">
        <v>8.5375</v>
      </c>
      <c r="R119" s="127" t="s">
        <v>483</v>
      </c>
    </row>
    <row r="120">
      <c r="A120" s="127">
        <v>2023.0</v>
      </c>
      <c r="B120" s="127" t="s">
        <v>483</v>
      </c>
      <c r="C120" s="127">
        <v>58.2</v>
      </c>
      <c r="D120" s="127">
        <v>0.0223</v>
      </c>
      <c r="E120" s="127">
        <v>0.897655</v>
      </c>
      <c r="F120" s="127">
        <v>24.5259</v>
      </c>
      <c r="G120" s="127">
        <v>0.03467</v>
      </c>
      <c r="H120" s="127">
        <v>56.57</v>
      </c>
      <c r="I120" s="127">
        <v>55.52</v>
      </c>
      <c r="J120" s="127">
        <v>21.6149</v>
      </c>
      <c r="K120" s="127">
        <v>18.1757</v>
      </c>
      <c r="L120" s="127">
        <v>77.0</v>
      </c>
      <c r="M120" s="127">
        <v>72.0</v>
      </c>
      <c r="N120" s="127">
        <v>6.02771</v>
      </c>
      <c r="O120" s="127">
        <v>5.50757</v>
      </c>
      <c r="P120" s="127">
        <v>3.25289</v>
      </c>
      <c r="Q120" s="127">
        <v>5.06502</v>
      </c>
      <c r="R120" s="127" t="s">
        <v>483</v>
      </c>
    </row>
    <row r="121">
      <c r="A121" s="127">
        <v>2024.0</v>
      </c>
      <c r="B121" s="127" t="s">
        <v>483</v>
      </c>
      <c r="C121" s="127">
        <v>76.7</v>
      </c>
      <c r="D121" s="127">
        <v>0.0203</v>
      </c>
      <c r="E121" s="127">
        <v>0.896297</v>
      </c>
      <c r="F121" s="127">
        <v>24.676</v>
      </c>
      <c r="G121" s="127">
        <v>0.16195</v>
      </c>
      <c r="H121" s="127">
        <v>57.56</v>
      </c>
      <c r="I121" s="127">
        <v>56.57</v>
      </c>
      <c r="J121" s="127">
        <v>23.6602</v>
      </c>
      <c r="K121" s="127">
        <v>21.6149</v>
      </c>
      <c r="L121" s="127">
        <v>84.0</v>
      </c>
      <c r="M121" s="127">
        <v>77.0</v>
      </c>
      <c r="N121" s="127"/>
      <c r="O121" s="127">
        <v>6.02771</v>
      </c>
      <c r="P121" s="127">
        <v>3.62109</v>
      </c>
      <c r="Q121" s="127">
        <v>7.09119</v>
      </c>
      <c r="R121" s="127" t="s">
        <v>483</v>
      </c>
    </row>
    <row r="122">
      <c r="A122" s="127">
        <v>2015.0</v>
      </c>
      <c r="B122" s="127" t="s">
        <v>160</v>
      </c>
      <c r="C122" s="127">
        <v>253.0</v>
      </c>
      <c r="D122" s="127">
        <v>0.0352</v>
      </c>
      <c r="E122" s="127">
        <v>0.622698</v>
      </c>
      <c r="F122" s="127">
        <v>24.1452</v>
      </c>
      <c r="G122" s="127">
        <v>0.90004</v>
      </c>
      <c r="H122" s="127">
        <v>48.04</v>
      </c>
      <c r="I122" s="127">
        <v>46.98</v>
      </c>
      <c r="J122" s="127">
        <v>19.6496</v>
      </c>
      <c r="K122" s="127">
        <v>28.8466</v>
      </c>
      <c r="L122" s="127">
        <v>42.2</v>
      </c>
      <c r="M122" s="127">
        <v>37.2</v>
      </c>
      <c r="N122" s="127">
        <v>13.537</v>
      </c>
      <c r="O122" s="128"/>
      <c r="P122" s="127">
        <v>0.631201</v>
      </c>
      <c r="Q122" s="127">
        <v>6.98715</v>
      </c>
      <c r="R122" s="127" t="s">
        <v>160</v>
      </c>
    </row>
    <row r="123">
      <c r="A123" s="127">
        <v>2016.0</v>
      </c>
      <c r="B123" s="127" t="s">
        <v>160</v>
      </c>
      <c r="C123" s="127">
        <v>316.0</v>
      </c>
      <c r="D123" s="127">
        <v>0.0517</v>
      </c>
      <c r="E123" s="127">
        <v>0.721894</v>
      </c>
      <c r="F123" s="127">
        <v>24.4914</v>
      </c>
      <c r="G123" s="127">
        <v>0.41362</v>
      </c>
      <c r="H123" s="127">
        <v>49.34</v>
      </c>
      <c r="I123" s="127">
        <v>48.04</v>
      </c>
      <c r="J123" s="127">
        <v>14.0523</v>
      </c>
      <c r="K123" s="127">
        <v>19.6496</v>
      </c>
      <c r="L123" s="127">
        <v>48.7</v>
      </c>
      <c r="M123" s="127">
        <v>42.2</v>
      </c>
      <c r="N123" s="127">
        <v>10.0022</v>
      </c>
      <c r="O123" s="127">
        <v>13.537</v>
      </c>
      <c r="P123" s="127">
        <v>2.66825</v>
      </c>
      <c r="Q123" s="127">
        <v>6.69001</v>
      </c>
      <c r="R123" s="127" t="s">
        <v>160</v>
      </c>
    </row>
    <row r="124">
      <c r="A124" s="127">
        <v>2017.0</v>
      </c>
      <c r="B124" s="127" t="s">
        <v>160</v>
      </c>
      <c r="C124" s="127">
        <v>687.0</v>
      </c>
      <c r="D124" s="127">
        <v>0.0568</v>
      </c>
      <c r="E124" s="127">
        <v>0.681636</v>
      </c>
      <c r="F124" s="127">
        <v>24.3508</v>
      </c>
      <c r="G124" s="127">
        <v>-0.1311</v>
      </c>
      <c r="H124" s="127">
        <v>50.65</v>
      </c>
      <c r="I124" s="127">
        <v>49.34</v>
      </c>
      <c r="J124" s="127">
        <v>12.4741</v>
      </c>
      <c r="K124" s="127">
        <v>14.0523</v>
      </c>
      <c r="L124" s="127">
        <v>55.5</v>
      </c>
      <c r="M124" s="127">
        <v>48.7</v>
      </c>
      <c r="N124" s="127">
        <v>9.53389</v>
      </c>
      <c r="O124" s="127">
        <v>10.0022</v>
      </c>
      <c r="P124" s="127">
        <v>3.52026</v>
      </c>
      <c r="Q124" s="127">
        <v>6.94019</v>
      </c>
      <c r="R124" s="127" t="s">
        <v>160</v>
      </c>
    </row>
    <row r="125">
      <c r="A125" s="127">
        <v>2018.0</v>
      </c>
      <c r="B125" s="127" t="s">
        <v>160</v>
      </c>
      <c r="C125" s="127">
        <v>1520.0</v>
      </c>
      <c r="D125" s="127">
        <v>0.087</v>
      </c>
      <c r="E125" s="127">
        <v>0.472276</v>
      </c>
      <c r="F125" s="127">
        <v>24.3658</v>
      </c>
      <c r="G125" s="127">
        <v>0.01507</v>
      </c>
      <c r="H125" s="127">
        <v>51.32</v>
      </c>
      <c r="I125" s="127">
        <v>50.65</v>
      </c>
      <c r="J125" s="127">
        <v>11.3396</v>
      </c>
      <c r="K125" s="127">
        <v>12.4741</v>
      </c>
      <c r="L125" s="127">
        <v>60.5</v>
      </c>
      <c r="M125" s="127">
        <v>55.5</v>
      </c>
      <c r="N125" s="127">
        <v>5.46855</v>
      </c>
      <c r="O125" s="127">
        <v>9.53389</v>
      </c>
      <c r="P125" s="127">
        <v>3.53963</v>
      </c>
      <c r="Q125" s="127">
        <v>7.46501</v>
      </c>
      <c r="R125" s="127" t="s">
        <v>160</v>
      </c>
    </row>
    <row r="126">
      <c r="A126" s="127">
        <v>2019.0</v>
      </c>
      <c r="B126" s="127" t="s">
        <v>160</v>
      </c>
      <c r="C126" s="127">
        <v>1220.0</v>
      </c>
      <c r="D126" s="127">
        <v>0.0654</v>
      </c>
      <c r="E126" s="127">
        <v>0.466702</v>
      </c>
      <c r="F126" s="127">
        <v>24.3437</v>
      </c>
      <c r="G126" s="127">
        <v>-0.02183</v>
      </c>
      <c r="H126" s="127">
        <v>52.92</v>
      </c>
      <c r="I126" s="127">
        <v>51.32</v>
      </c>
      <c r="J126" s="127">
        <v>11.3076</v>
      </c>
      <c r="K126" s="127">
        <v>11.3396</v>
      </c>
      <c r="L126" s="127">
        <v>60.2</v>
      </c>
      <c r="M126" s="127">
        <v>60.5</v>
      </c>
      <c r="N126" s="127">
        <v>7.2321</v>
      </c>
      <c r="O126" s="127">
        <v>5.46855</v>
      </c>
      <c r="P126" s="127">
        <v>2.79582</v>
      </c>
      <c r="Q126" s="127">
        <v>7.35926</v>
      </c>
      <c r="R126" s="127" t="s">
        <v>160</v>
      </c>
    </row>
    <row r="127">
      <c r="A127" s="127">
        <v>2020.0</v>
      </c>
      <c r="B127" s="127" t="s">
        <v>160</v>
      </c>
      <c r="C127" s="127">
        <v>972.0</v>
      </c>
      <c r="D127" s="127">
        <v>0.0121</v>
      </c>
      <c r="E127" s="127">
        <v>0.783731</v>
      </c>
      <c r="F127" s="127">
        <v>25.0699</v>
      </c>
      <c r="G127" s="127">
        <v>1.06718</v>
      </c>
      <c r="H127" s="127">
        <v>54.56</v>
      </c>
      <c r="I127" s="127">
        <v>52.92</v>
      </c>
      <c r="J127" s="127">
        <v>12.2739</v>
      </c>
      <c r="K127" s="127">
        <v>11.3076</v>
      </c>
      <c r="L127" s="127">
        <v>68.7</v>
      </c>
      <c r="M127" s="127">
        <v>60.2</v>
      </c>
      <c r="N127" s="127">
        <v>10.7675</v>
      </c>
      <c r="O127" s="127">
        <v>7.2321</v>
      </c>
      <c r="P127" s="127">
        <v>3.22093</v>
      </c>
      <c r="Q127" s="127">
        <v>2.86541</v>
      </c>
      <c r="R127" s="127" t="s">
        <v>160</v>
      </c>
    </row>
    <row r="128">
      <c r="A128" s="127">
        <v>2021.0</v>
      </c>
      <c r="B128" s="127" t="s">
        <v>160</v>
      </c>
      <c r="C128" s="127">
        <v>887.0</v>
      </c>
      <c r="D128" s="127">
        <v>0.0801</v>
      </c>
      <c r="E128" s="127">
        <v>0.664244</v>
      </c>
      <c r="F128" s="127">
        <v>25.2077</v>
      </c>
      <c r="G128" s="127">
        <v>0.14778</v>
      </c>
      <c r="H128" s="127">
        <v>53.94</v>
      </c>
      <c r="I128" s="127">
        <v>54.56</v>
      </c>
      <c r="J128" s="127">
        <v>12.1839</v>
      </c>
      <c r="K128" s="127">
        <v>12.2739</v>
      </c>
      <c r="L128" s="127">
        <v>77.0</v>
      </c>
      <c r="M128" s="127">
        <v>68.7</v>
      </c>
      <c r="N128" s="127">
        <v>10.9714</v>
      </c>
      <c r="O128" s="127">
        <v>10.7675</v>
      </c>
      <c r="P128" s="127">
        <v>1.83472</v>
      </c>
      <c r="Q128" s="127">
        <v>2.55373</v>
      </c>
      <c r="R128" s="127" t="s">
        <v>160</v>
      </c>
    </row>
    <row r="129">
      <c r="A129" s="127">
        <v>2022.0</v>
      </c>
      <c r="B129" s="127" t="s">
        <v>160</v>
      </c>
      <c r="C129" s="127">
        <v>450.0</v>
      </c>
      <c r="D129" s="127">
        <v>0.0336</v>
      </c>
      <c r="E129" s="127">
        <v>0.740795</v>
      </c>
      <c r="F129" s="127">
        <v>25.0565</v>
      </c>
      <c r="G129" s="127">
        <v>-0.14036</v>
      </c>
      <c r="H129" s="127">
        <v>55.52</v>
      </c>
      <c r="I129" s="127">
        <v>53.94</v>
      </c>
      <c r="J129" s="127">
        <v>18.1757</v>
      </c>
      <c r="K129" s="127">
        <v>12.1839</v>
      </c>
      <c r="L129" s="127">
        <v>81.7</v>
      </c>
      <c r="M129" s="127">
        <v>77.0</v>
      </c>
      <c r="N129" s="127">
        <v>8.13296</v>
      </c>
      <c r="O129" s="127">
        <v>10.9714</v>
      </c>
      <c r="P129" s="127">
        <v>3.15651</v>
      </c>
      <c r="Q129" s="127">
        <v>8.5375</v>
      </c>
      <c r="R129" s="127" t="s">
        <v>160</v>
      </c>
    </row>
    <row r="130">
      <c r="A130" s="127">
        <v>2023.0</v>
      </c>
      <c r="B130" s="127" t="s">
        <v>160</v>
      </c>
      <c r="C130" s="127">
        <v>432.0</v>
      </c>
      <c r="D130" s="127">
        <v>0.0127</v>
      </c>
      <c r="E130" s="127">
        <v>0.74056</v>
      </c>
      <c r="F130" s="127">
        <v>25.0832</v>
      </c>
      <c r="G130" s="127">
        <v>0.02707</v>
      </c>
      <c r="H130" s="127">
        <v>56.57</v>
      </c>
      <c r="I130" s="127">
        <v>55.52</v>
      </c>
      <c r="J130" s="127">
        <v>21.6149</v>
      </c>
      <c r="K130" s="127">
        <v>18.1757</v>
      </c>
      <c r="L130" s="127">
        <v>85.6</v>
      </c>
      <c r="M130" s="127">
        <v>81.7</v>
      </c>
      <c r="N130" s="127">
        <v>6.6752</v>
      </c>
      <c r="O130" s="127">
        <v>8.13296</v>
      </c>
      <c r="P130" s="127">
        <v>3.25289</v>
      </c>
      <c r="Q130" s="127">
        <v>5.06502</v>
      </c>
      <c r="R130" s="127" t="s">
        <v>160</v>
      </c>
    </row>
    <row r="131">
      <c r="A131" s="127">
        <v>2024.0</v>
      </c>
      <c r="B131" s="127" t="s">
        <v>160</v>
      </c>
      <c r="C131" s="127">
        <v>394.0</v>
      </c>
      <c r="D131" s="127">
        <v>0.0289</v>
      </c>
      <c r="E131" s="127">
        <v>0.723871</v>
      </c>
      <c r="F131" s="127">
        <v>25.1443</v>
      </c>
      <c r="G131" s="127">
        <v>0.06295</v>
      </c>
      <c r="H131" s="127">
        <v>57.56</v>
      </c>
      <c r="I131" s="127">
        <v>56.57</v>
      </c>
      <c r="J131" s="127">
        <v>23.6602</v>
      </c>
      <c r="K131" s="127">
        <v>21.6149</v>
      </c>
      <c r="L131" s="127">
        <v>89.9</v>
      </c>
      <c r="M131" s="127">
        <v>85.6</v>
      </c>
      <c r="N131" s="127"/>
      <c r="O131" s="127">
        <v>6.6752</v>
      </c>
      <c r="P131" s="127">
        <v>3.62109</v>
      </c>
      <c r="Q131" s="127">
        <v>7.09119</v>
      </c>
      <c r="R131" s="127" t="s">
        <v>160</v>
      </c>
    </row>
    <row r="132">
      <c r="A132" s="127">
        <v>2015.0</v>
      </c>
      <c r="B132" s="127" t="s">
        <v>1220</v>
      </c>
      <c r="C132" s="127">
        <v>933.07</v>
      </c>
      <c r="D132" s="127">
        <v>0.094307</v>
      </c>
      <c r="E132" s="127">
        <v>0.320764</v>
      </c>
      <c r="F132" s="127">
        <v>18.8172</v>
      </c>
      <c r="G132" s="127">
        <v>1.58287</v>
      </c>
      <c r="H132" s="127">
        <v>48.04</v>
      </c>
      <c r="I132" s="127">
        <v>46.98</v>
      </c>
      <c r="J132" s="127">
        <v>19.6496</v>
      </c>
      <c r="K132" s="127">
        <v>28.8466</v>
      </c>
      <c r="L132" s="127">
        <v>36.6</v>
      </c>
      <c r="M132" s="127">
        <v>31.7</v>
      </c>
      <c r="N132" s="127">
        <v>3.19427</v>
      </c>
      <c r="O132" s="128"/>
      <c r="P132" s="127">
        <v>0.631201</v>
      </c>
      <c r="Q132" s="127">
        <v>6.98715</v>
      </c>
      <c r="R132" s="127" t="s">
        <v>1220</v>
      </c>
    </row>
    <row r="133">
      <c r="A133" s="127">
        <v>2016.0</v>
      </c>
      <c r="B133" s="127" t="s">
        <v>1220</v>
      </c>
      <c r="C133" s="127">
        <v>1347.68</v>
      </c>
      <c r="D133" s="127">
        <v>0.113769</v>
      </c>
      <c r="E133" s="127">
        <v>0.073376</v>
      </c>
      <c r="F133" s="127">
        <v>18.8241</v>
      </c>
      <c r="G133" s="127">
        <v>0.00691</v>
      </c>
      <c r="H133" s="127">
        <v>49.34</v>
      </c>
      <c r="I133" s="127">
        <v>48.04</v>
      </c>
      <c r="J133" s="127">
        <v>14.0523</v>
      </c>
      <c r="K133" s="127">
        <v>19.6496</v>
      </c>
      <c r="L133" s="127">
        <v>37.7</v>
      </c>
      <c r="M133" s="127">
        <v>36.6</v>
      </c>
      <c r="N133" s="127">
        <v>1.20139</v>
      </c>
      <c r="O133" s="127">
        <v>3.19427</v>
      </c>
      <c r="P133" s="127">
        <v>2.66825</v>
      </c>
      <c r="Q133" s="127">
        <v>6.69001</v>
      </c>
      <c r="R133" s="127" t="s">
        <v>1220</v>
      </c>
    </row>
    <row r="134">
      <c r="A134" s="127">
        <v>2017.0</v>
      </c>
      <c r="B134" s="127" t="s">
        <v>1220</v>
      </c>
      <c r="C134" s="127">
        <v>1044.13</v>
      </c>
      <c r="D134" s="127">
        <v>0.146978</v>
      </c>
      <c r="E134" s="127">
        <v>0.045468</v>
      </c>
      <c r="F134" s="127">
        <v>18.3415</v>
      </c>
      <c r="G134" s="127">
        <v>-0.38277</v>
      </c>
      <c r="H134" s="127">
        <v>50.65</v>
      </c>
      <c r="I134" s="127">
        <v>49.34</v>
      </c>
      <c r="J134" s="127">
        <v>12.4741</v>
      </c>
      <c r="K134" s="127">
        <v>14.0523</v>
      </c>
      <c r="L134" s="127">
        <v>39.0</v>
      </c>
      <c r="M134" s="127">
        <v>37.7</v>
      </c>
      <c r="N134" s="127">
        <v>1.50444</v>
      </c>
      <c r="O134" s="127">
        <v>1.20139</v>
      </c>
      <c r="P134" s="127">
        <v>3.52026</v>
      </c>
      <c r="Q134" s="127">
        <v>6.94019</v>
      </c>
      <c r="R134" s="127" t="s">
        <v>1220</v>
      </c>
    </row>
    <row r="135">
      <c r="A135" s="127">
        <v>2018.0</v>
      </c>
      <c r="B135" s="127" t="s">
        <v>1220</v>
      </c>
      <c r="C135" s="127">
        <v>787.91</v>
      </c>
      <c r="D135" s="127">
        <v>0.145898</v>
      </c>
      <c r="E135" s="127">
        <v>0.050111</v>
      </c>
      <c r="F135" s="127">
        <v>18.4664</v>
      </c>
      <c r="G135" s="127">
        <v>0.13296</v>
      </c>
      <c r="H135" s="127">
        <v>51.32</v>
      </c>
      <c r="I135" s="127">
        <v>50.65</v>
      </c>
      <c r="J135" s="127">
        <v>11.3396</v>
      </c>
      <c r="K135" s="127">
        <v>12.4741</v>
      </c>
      <c r="L135" s="127">
        <v>40.7</v>
      </c>
      <c r="M135" s="127">
        <v>39.0</v>
      </c>
      <c r="N135" s="127">
        <v>2.16564</v>
      </c>
      <c r="O135" s="127">
        <v>1.50444</v>
      </c>
      <c r="P135" s="127">
        <v>3.53963</v>
      </c>
      <c r="Q135" s="127">
        <v>7.46501</v>
      </c>
      <c r="R135" s="127" t="s">
        <v>1220</v>
      </c>
    </row>
    <row r="136">
      <c r="A136" s="127">
        <v>2019.0</v>
      </c>
      <c r="B136" s="127" t="s">
        <v>1220</v>
      </c>
      <c r="C136" s="127">
        <v>801.993</v>
      </c>
      <c r="D136" s="127">
        <v>0.253848</v>
      </c>
      <c r="E136" s="127">
        <v>0.083852</v>
      </c>
      <c r="F136" s="127">
        <v>18.9514</v>
      </c>
      <c r="G136" s="127">
        <v>0.62419</v>
      </c>
      <c r="H136" s="127">
        <v>52.92</v>
      </c>
      <c r="I136" s="127">
        <v>51.32</v>
      </c>
      <c r="J136" s="127">
        <v>11.3076</v>
      </c>
      <c r="K136" s="127">
        <v>11.3396</v>
      </c>
      <c r="L136" s="127">
        <v>43.3</v>
      </c>
      <c r="M136" s="127">
        <v>40.7</v>
      </c>
      <c r="N136" s="127">
        <v>2.50067</v>
      </c>
      <c r="O136" s="127">
        <v>2.16564</v>
      </c>
      <c r="P136" s="127">
        <v>2.79582</v>
      </c>
      <c r="Q136" s="127">
        <v>7.35926</v>
      </c>
      <c r="R136" s="127" t="s">
        <v>1220</v>
      </c>
    </row>
    <row r="137">
      <c r="A137" s="127">
        <v>2020.0</v>
      </c>
      <c r="B137" s="127" t="s">
        <v>1220</v>
      </c>
      <c r="C137" s="127">
        <v>3734.48</v>
      </c>
      <c r="D137" s="127">
        <v>0.113443</v>
      </c>
      <c r="E137" s="127">
        <v>0.111123</v>
      </c>
      <c r="F137" s="127">
        <v>18.9004</v>
      </c>
      <c r="G137" s="127">
        <v>-0.04967</v>
      </c>
      <c r="H137" s="127">
        <v>54.56</v>
      </c>
      <c r="I137" s="127">
        <v>52.92</v>
      </c>
      <c r="J137" s="127">
        <v>12.2739</v>
      </c>
      <c r="K137" s="127">
        <v>11.3076</v>
      </c>
      <c r="L137" s="127">
        <v>45.7</v>
      </c>
      <c r="M137" s="127">
        <v>43.3</v>
      </c>
      <c r="N137" s="127">
        <v>3.55715</v>
      </c>
      <c r="O137" s="127">
        <v>2.50067</v>
      </c>
      <c r="P137" s="127">
        <v>3.22093</v>
      </c>
      <c r="Q137" s="127">
        <v>2.86541</v>
      </c>
      <c r="R137" s="127" t="s">
        <v>1220</v>
      </c>
    </row>
    <row r="138">
      <c r="A138" s="127">
        <v>2021.0</v>
      </c>
      <c r="B138" s="127" t="s">
        <v>1220</v>
      </c>
      <c r="C138" s="127">
        <v>18615.0</v>
      </c>
      <c r="D138" s="127">
        <v>0.004711</v>
      </c>
      <c r="E138" s="127">
        <v>0.438036</v>
      </c>
      <c r="F138" s="127">
        <v>18.6234</v>
      </c>
      <c r="G138" s="127">
        <v>-0.24194</v>
      </c>
      <c r="H138" s="127">
        <v>53.94</v>
      </c>
      <c r="I138" s="127">
        <v>54.56</v>
      </c>
      <c r="J138" s="127">
        <v>12.1839</v>
      </c>
      <c r="K138" s="127">
        <v>12.2739</v>
      </c>
      <c r="L138" s="127">
        <v>50.3</v>
      </c>
      <c r="M138" s="127">
        <v>45.7</v>
      </c>
      <c r="N138" s="127">
        <v>4.15812</v>
      </c>
      <c r="O138" s="127">
        <v>3.55715</v>
      </c>
      <c r="P138" s="127">
        <v>1.83472</v>
      </c>
      <c r="Q138" s="127">
        <v>2.55373</v>
      </c>
      <c r="R138" s="127" t="s">
        <v>1220</v>
      </c>
    </row>
    <row r="139">
      <c r="A139" s="127">
        <v>2022.0</v>
      </c>
      <c r="B139" s="127" t="s">
        <v>1220</v>
      </c>
      <c r="C139" s="127">
        <v>4233.24</v>
      </c>
      <c r="D139" s="127">
        <v>0.002686</v>
      </c>
      <c r="E139" s="127">
        <v>0.387282</v>
      </c>
      <c r="F139" s="127">
        <v>18.5002</v>
      </c>
      <c r="G139" s="127">
        <v>-0.11595</v>
      </c>
      <c r="H139" s="127">
        <v>55.52</v>
      </c>
      <c r="I139" s="127">
        <v>53.94</v>
      </c>
      <c r="J139" s="127">
        <v>18.1757</v>
      </c>
      <c r="K139" s="127">
        <v>12.1839</v>
      </c>
      <c r="L139" s="127">
        <v>54.0</v>
      </c>
      <c r="M139" s="127">
        <v>50.3</v>
      </c>
      <c r="N139" s="127">
        <v>3.0271</v>
      </c>
      <c r="O139" s="127">
        <v>4.15812</v>
      </c>
      <c r="P139" s="127">
        <v>3.15651</v>
      </c>
      <c r="Q139" s="127">
        <v>8.5375</v>
      </c>
      <c r="R139" s="127" t="s">
        <v>1220</v>
      </c>
    </row>
    <row r="140">
      <c r="A140" s="127">
        <v>2023.0</v>
      </c>
      <c r="B140" s="127" t="s">
        <v>1220</v>
      </c>
      <c r="C140" s="127">
        <v>9191.49</v>
      </c>
      <c r="D140" s="127">
        <v>0.008607</v>
      </c>
      <c r="E140" s="127">
        <v>0.367578</v>
      </c>
      <c r="F140" s="127">
        <v>18.1078</v>
      </c>
      <c r="G140" s="127">
        <v>-0.32456</v>
      </c>
      <c r="H140" s="127">
        <v>56.57</v>
      </c>
      <c r="I140" s="127">
        <v>55.52</v>
      </c>
      <c r="J140" s="127">
        <v>21.6149</v>
      </c>
      <c r="K140" s="127">
        <v>18.1757</v>
      </c>
      <c r="L140" s="127">
        <v>56.3</v>
      </c>
      <c r="M140" s="127">
        <v>54.0</v>
      </c>
      <c r="N140" s="127">
        <v>2.65769</v>
      </c>
      <c r="O140" s="127">
        <v>3.0271</v>
      </c>
      <c r="P140" s="127">
        <v>3.25289</v>
      </c>
      <c r="Q140" s="127">
        <v>5.06502</v>
      </c>
      <c r="R140" s="127" t="s">
        <v>1220</v>
      </c>
    </row>
    <row r="141">
      <c r="A141" s="127">
        <v>2024.0</v>
      </c>
      <c r="B141" s="127" t="s">
        <v>1220</v>
      </c>
      <c r="C141" s="127">
        <v>13264.7</v>
      </c>
      <c r="D141" s="127">
        <v>0.078689</v>
      </c>
      <c r="E141" s="127">
        <v>0.355524</v>
      </c>
      <c r="F141" s="127">
        <v>18.8929</v>
      </c>
      <c r="G141" s="127">
        <v>1.19261</v>
      </c>
      <c r="H141" s="127">
        <v>57.56</v>
      </c>
      <c r="I141" s="127">
        <v>56.57</v>
      </c>
      <c r="J141" s="127">
        <v>23.6602</v>
      </c>
      <c r="K141" s="127">
        <v>21.6149</v>
      </c>
      <c r="L141" s="127">
        <v>59.3</v>
      </c>
      <c r="M141" s="127">
        <v>56.3</v>
      </c>
      <c r="N141" s="127"/>
      <c r="O141" s="127">
        <v>2.65769</v>
      </c>
      <c r="P141" s="127">
        <v>3.62109</v>
      </c>
      <c r="Q141" s="127">
        <v>7.09119</v>
      </c>
      <c r="R141" s="127" t="s">
        <v>1220</v>
      </c>
    </row>
    <row r="142">
      <c r="A142" s="127">
        <v>2015.0</v>
      </c>
      <c r="B142" s="127" t="s">
        <v>723</v>
      </c>
      <c r="C142" s="127">
        <v>329.0</v>
      </c>
      <c r="D142" s="127">
        <v>0.0254</v>
      </c>
      <c r="E142" s="127">
        <v>0.55803</v>
      </c>
      <c r="F142" s="127">
        <v>22.7653</v>
      </c>
      <c r="G142" s="127">
        <v>-0.16232</v>
      </c>
      <c r="H142" s="127">
        <v>48.04</v>
      </c>
      <c r="I142" s="127">
        <v>46.98</v>
      </c>
      <c r="J142" s="127">
        <v>19.6496</v>
      </c>
      <c r="K142" s="127">
        <v>28.8466</v>
      </c>
      <c r="L142" s="127">
        <v>40.525</v>
      </c>
      <c r="M142" s="127">
        <v>38.25</v>
      </c>
      <c r="N142" s="127">
        <v>2.32518</v>
      </c>
      <c r="O142" s="128"/>
      <c r="P142" s="127">
        <v>0.631201</v>
      </c>
      <c r="Q142" s="127">
        <v>6.98715</v>
      </c>
      <c r="R142" s="127" t="s">
        <v>723</v>
      </c>
    </row>
    <row r="143">
      <c r="A143" s="127">
        <v>2016.0</v>
      </c>
      <c r="B143" s="127" t="s">
        <v>723</v>
      </c>
      <c r="C143" s="127">
        <v>566.0</v>
      </c>
      <c r="D143" s="127">
        <v>0.126</v>
      </c>
      <c r="E143" s="127">
        <v>0.581847</v>
      </c>
      <c r="F143" s="127">
        <v>22.8709</v>
      </c>
      <c r="G143" s="127">
        <v>0.11141</v>
      </c>
      <c r="H143" s="127">
        <v>49.34</v>
      </c>
      <c r="I143" s="127">
        <v>48.04</v>
      </c>
      <c r="J143" s="127">
        <v>14.0523</v>
      </c>
      <c r="K143" s="127">
        <v>19.6496</v>
      </c>
      <c r="L143" s="127">
        <v>42.9</v>
      </c>
      <c r="M143" s="127">
        <v>40.525</v>
      </c>
      <c r="N143" s="127">
        <v>5.05612</v>
      </c>
      <c r="O143" s="127">
        <v>2.32518</v>
      </c>
      <c r="P143" s="127">
        <v>2.66825</v>
      </c>
      <c r="Q143" s="127">
        <v>6.69001</v>
      </c>
      <c r="R143" s="127" t="s">
        <v>723</v>
      </c>
    </row>
    <row r="144">
      <c r="A144" s="127">
        <v>2017.0</v>
      </c>
      <c r="B144" s="127" t="s">
        <v>723</v>
      </c>
      <c r="C144" s="127">
        <v>937.0</v>
      </c>
      <c r="D144" s="127">
        <v>0.159</v>
      </c>
      <c r="E144" s="127">
        <v>0.337474</v>
      </c>
      <c r="F144" s="127">
        <v>23.119</v>
      </c>
      <c r="G144" s="127">
        <v>0.28165</v>
      </c>
      <c r="H144" s="127">
        <v>50.65</v>
      </c>
      <c r="I144" s="127">
        <v>49.34</v>
      </c>
      <c r="J144" s="127">
        <v>12.4741</v>
      </c>
      <c r="K144" s="127">
        <v>14.0523</v>
      </c>
      <c r="L144" s="127">
        <v>50.225</v>
      </c>
      <c r="M144" s="127">
        <v>42.9</v>
      </c>
      <c r="N144" s="127">
        <v>6.79459</v>
      </c>
      <c r="O144" s="127">
        <v>5.05612</v>
      </c>
      <c r="P144" s="127">
        <v>3.52026</v>
      </c>
      <c r="Q144" s="127">
        <v>6.94019</v>
      </c>
      <c r="R144" s="127" t="s">
        <v>723</v>
      </c>
    </row>
    <row r="145">
      <c r="A145" s="127">
        <v>2018.0</v>
      </c>
      <c r="B145" s="127" t="s">
        <v>723</v>
      </c>
      <c r="C145" s="127">
        <v>762.0</v>
      </c>
      <c r="D145" s="127">
        <v>0.149</v>
      </c>
      <c r="E145" s="127">
        <v>0.418277</v>
      </c>
      <c r="F145" s="127">
        <v>23.4023</v>
      </c>
      <c r="G145" s="127">
        <v>0.32744</v>
      </c>
      <c r="H145" s="127">
        <v>51.32</v>
      </c>
      <c r="I145" s="127">
        <v>50.65</v>
      </c>
      <c r="J145" s="127">
        <v>11.3396</v>
      </c>
      <c r="K145" s="127">
        <v>12.4741</v>
      </c>
      <c r="L145" s="127">
        <v>56.475</v>
      </c>
      <c r="M145" s="127">
        <v>50.225</v>
      </c>
      <c r="N145" s="127">
        <v>7.29903</v>
      </c>
      <c r="O145" s="127">
        <v>6.79459</v>
      </c>
      <c r="P145" s="127">
        <v>3.53963</v>
      </c>
      <c r="Q145" s="127">
        <v>7.46501</v>
      </c>
      <c r="R145" s="127" t="s">
        <v>723</v>
      </c>
    </row>
    <row r="146">
      <c r="A146" s="127">
        <v>2019.0</v>
      </c>
      <c r="B146" s="127" t="s">
        <v>723</v>
      </c>
      <c r="C146" s="127">
        <v>1100.0</v>
      </c>
      <c r="D146" s="127">
        <v>0.139</v>
      </c>
      <c r="E146" s="127">
        <v>0.467943</v>
      </c>
      <c r="F146" s="127">
        <v>23.5565</v>
      </c>
      <c r="G146" s="127">
        <v>0.16674</v>
      </c>
      <c r="H146" s="127">
        <v>52.92</v>
      </c>
      <c r="I146" s="127">
        <v>51.32</v>
      </c>
      <c r="J146" s="127">
        <v>11.3076</v>
      </c>
      <c r="K146" s="127">
        <v>11.3396</v>
      </c>
      <c r="L146" s="127">
        <v>64.775</v>
      </c>
      <c r="M146" s="127">
        <v>56.475</v>
      </c>
      <c r="N146" s="127">
        <v>7.07515</v>
      </c>
      <c r="O146" s="127">
        <v>7.29903</v>
      </c>
      <c r="P146" s="127">
        <v>2.79582</v>
      </c>
      <c r="Q146" s="127">
        <v>7.35926</v>
      </c>
      <c r="R146" s="127" t="s">
        <v>723</v>
      </c>
    </row>
    <row r="147">
      <c r="A147" s="127">
        <v>2020.0</v>
      </c>
      <c r="B147" s="127" t="s">
        <v>723</v>
      </c>
      <c r="C147" s="127">
        <v>1460.0</v>
      </c>
      <c r="D147" s="127">
        <v>0.126</v>
      </c>
      <c r="E147" s="127">
        <v>0.382085</v>
      </c>
      <c r="F147" s="127">
        <v>23.5861</v>
      </c>
      <c r="G147" s="127">
        <v>0.03001</v>
      </c>
      <c r="H147" s="127">
        <v>54.56</v>
      </c>
      <c r="I147" s="127">
        <v>52.92</v>
      </c>
      <c r="J147" s="127">
        <v>12.2739</v>
      </c>
      <c r="K147" s="127">
        <v>11.3076</v>
      </c>
      <c r="L147" s="127">
        <v>70.55</v>
      </c>
      <c r="M147" s="127">
        <v>64.775</v>
      </c>
      <c r="N147" s="127">
        <v>5.41654</v>
      </c>
      <c r="O147" s="127">
        <v>7.07515</v>
      </c>
      <c r="P147" s="127">
        <v>3.22093</v>
      </c>
      <c r="Q147" s="127">
        <v>2.86541</v>
      </c>
      <c r="R147" s="127" t="s">
        <v>723</v>
      </c>
    </row>
    <row r="148">
      <c r="A148" s="127">
        <v>2021.0</v>
      </c>
      <c r="B148" s="127" t="s">
        <v>723</v>
      </c>
      <c r="C148" s="127">
        <v>1420.0</v>
      </c>
      <c r="D148" s="127">
        <v>0.0969</v>
      </c>
      <c r="E148" s="127">
        <v>0.433786</v>
      </c>
      <c r="F148" s="127">
        <v>23.6961</v>
      </c>
      <c r="G148" s="127">
        <v>0.11629</v>
      </c>
      <c r="H148" s="127">
        <v>53.94</v>
      </c>
      <c r="I148" s="127">
        <v>54.56</v>
      </c>
      <c r="J148" s="127">
        <v>12.1839</v>
      </c>
      <c r="K148" s="127">
        <v>12.2739</v>
      </c>
      <c r="L148" s="127">
        <v>75.6</v>
      </c>
      <c r="M148" s="127">
        <v>70.55</v>
      </c>
      <c r="N148" s="127">
        <v>4.77764</v>
      </c>
      <c r="O148" s="127">
        <v>5.41654</v>
      </c>
      <c r="P148" s="127">
        <v>1.83472</v>
      </c>
      <c r="Q148" s="127">
        <v>2.55373</v>
      </c>
      <c r="R148" s="127" t="s">
        <v>723</v>
      </c>
    </row>
    <row r="149">
      <c r="A149" s="127">
        <v>2022.0</v>
      </c>
      <c r="B149" s="127" t="s">
        <v>723</v>
      </c>
      <c r="C149" s="127">
        <v>1430.0</v>
      </c>
      <c r="D149" s="127">
        <v>0.136</v>
      </c>
      <c r="E149" s="127">
        <v>0.366873</v>
      </c>
      <c r="F149" s="127">
        <v>24.246</v>
      </c>
      <c r="G149" s="127">
        <v>0.73307</v>
      </c>
      <c r="H149" s="127">
        <v>55.52</v>
      </c>
      <c r="I149" s="127">
        <v>53.94</v>
      </c>
      <c r="J149" s="127">
        <v>18.1757</v>
      </c>
      <c r="K149" s="127">
        <v>12.1839</v>
      </c>
      <c r="L149" s="127">
        <v>80.1</v>
      </c>
      <c r="M149" s="127">
        <v>75.6</v>
      </c>
      <c r="N149" s="127">
        <v>4.62556</v>
      </c>
      <c r="O149" s="127">
        <v>4.77764</v>
      </c>
      <c r="P149" s="127">
        <v>3.15651</v>
      </c>
      <c r="Q149" s="127">
        <v>8.5375</v>
      </c>
      <c r="R149" s="127" t="s">
        <v>723</v>
      </c>
    </row>
    <row r="150">
      <c r="A150" s="127">
        <v>2023.0</v>
      </c>
      <c r="B150" s="127" t="s">
        <v>723</v>
      </c>
      <c r="C150" s="127">
        <v>1410.0</v>
      </c>
      <c r="D150" s="127">
        <v>0.137</v>
      </c>
      <c r="E150" s="127">
        <v>0.320316</v>
      </c>
      <c r="F150" s="127">
        <v>24.2239</v>
      </c>
      <c r="G150" s="127">
        <v>-0.02183</v>
      </c>
      <c r="H150" s="127">
        <v>56.57</v>
      </c>
      <c r="I150" s="127">
        <v>55.52</v>
      </c>
      <c r="J150" s="127">
        <v>21.6149</v>
      </c>
      <c r="K150" s="127">
        <v>18.1757</v>
      </c>
      <c r="L150" s="127">
        <v>84.85</v>
      </c>
      <c r="M150" s="127">
        <v>80.1</v>
      </c>
      <c r="N150" s="127">
        <v>3.66511</v>
      </c>
      <c r="O150" s="127">
        <v>4.62556</v>
      </c>
      <c r="P150" s="127">
        <v>3.25289</v>
      </c>
      <c r="Q150" s="127">
        <v>5.06502</v>
      </c>
      <c r="R150" s="127" t="s">
        <v>723</v>
      </c>
    </row>
    <row r="151">
      <c r="A151" s="127">
        <v>2024.0</v>
      </c>
      <c r="B151" s="127" t="s">
        <v>723</v>
      </c>
      <c r="C151" s="127">
        <v>1830.0</v>
      </c>
      <c r="D151" s="127">
        <v>0.123</v>
      </c>
      <c r="E151" s="127">
        <v>0.345916</v>
      </c>
      <c r="F151" s="127">
        <v>24.3562</v>
      </c>
      <c r="G151" s="127">
        <v>0.14141</v>
      </c>
      <c r="H151" s="127">
        <v>57.56</v>
      </c>
      <c r="I151" s="127">
        <v>56.57</v>
      </c>
      <c r="J151" s="127">
        <v>23.6602</v>
      </c>
      <c r="K151" s="127">
        <v>21.6149</v>
      </c>
      <c r="L151" s="127">
        <v>87.31</v>
      </c>
      <c r="M151" s="127">
        <v>84.85</v>
      </c>
      <c r="N151" s="127"/>
      <c r="O151" s="127">
        <v>3.66511</v>
      </c>
      <c r="P151" s="127">
        <v>3.62109</v>
      </c>
      <c r="Q151" s="127">
        <v>7.09119</v>
      </c>
      <c r="R151" s="127" t="s">
        <v>723</v>
      </c>
    </row>
    <row r="152">
      <c r="A152" s="127">
        <v>2015.0</v>
      </c>
      <c r="B152" s="127" t="s">
        <v>852</v>
      </c>
      <c r="C152" s="127">
        <v>140.0</v>
      </c>
      <c r="D152" s="127">
        <v>0.0924</v>
      </c>
      <c r="E152" s="127">
        <v>0.304499</v>
      </c>
      <c r="F152" s="127">
        <v>21.6953</v>
      </c>
      <c r="G152" s="127">
        <v>0.00532</v>
      </c>
      <c r="H152" s="127">
        <v>48.04</v>
      </c>
      <c r="I152" s="127">
        <v>46.98</v>
      </c>
      <c r="J152" s="127">
        <v>19.6496</v>
      </c>
      <c r="K152" s="127">
        <v>28.8466</v>
      </c>
      <c r="L152" s="127">
        <v>61.1</v>
      </c>
      <c r="M152" s="127">
        <v>58.7</v>
      </c>
      <c r="N152" s="127">
        <v>2.35018</v>
      </c>
      <c r="O152" s="128"/>
      <c r="P152" s="127">
        <v>0.631201</v>
      </c>
      <c r="Q152" s="127">
        <v>6.98715</v>
      </c>
      <c r="R152" s="127" t="s">
        <v>852</v>
      </c>
    </row>
    <row r="153">
      <c r="A153" s="127">
        <v>2016.0</v>
      </c>
      <c r="B153" s="127" t="s">
        <v>852</v>
      </c>
      <c r="C153" s="127">
        <v>264.0</v>
      </c>
      <c r="D153" s="127">
        <v>0.103</v>
      </c>
      <c r="E153" s="127">
        <v>0.322507</v>
      </c>
      <c r="F153" s="127">
        <v>22.0206</v>
      </c>
      <c r="G153" s="127">
        <v>0.38435</v>
      </c>
      <c r="H153" s="127">
        <v>49.34</v>
      </c>
      <c r="I153" s="127">
        <v>48.04</v>
      </c>
      <c r="J153" s="127">
        <v>14.0523</v>
      </c>
      <c r="K153" s="127">
        <v>19.6496</v>
      </c>
      <c r="L153" s="127">
        <v>63.4</v>
      </c>
      <c r="M153" s="127">
        <v>61.1</v>
      </c>
      <c r="N153" s="127">
        <v>3.08058</v>
      </c>
      <c r="O153" s="127">
        <v>2.35018</v>
      </c>
      <c r="P153" s="127">
        <v>2.66825</v>
      </c>
      <c r="Q153" s="127">
        <v>6.69001</v>
      </c>
      <c r="R153" s="127" t="s">
        <v>852</v>
      </c>
    </row>
    <row r="154">
      <c r="A154" s="127">
        <v>2017.0</v>
      </c>
      <c r="B154" s="127" t="s">
        <v>852</v>
      </c>
      <c r="C154" s="127">
        <v>206.0</v>
      </c>
      <c r="D154" s="127">
        <v>0.107</v>
      </c>
      <c r="E154" s="127">
        <v>0.391852</v>
      </c>
      <c r="F154" s="127">
        <v>22.3317</v>
      </c>
      <c r="G154" s="127">
        <v>0.36504</v>
      </c>
      <c r="H154" s="127">
        <v>50.65</v>
      </c>
      <c r="I154" s="127">
        <v>49.34</v>
      </c>
      <c r="J154" s="127">
        <v>12.4741</v>
      </c>
      <c r="K154" s="127">
        <v>14.0523</v>
      </c>
      <c r="L154" s="127">
        <v>67.2</v>
      </c>
      <c r="M154" s="127">
        <v>63.4</v>
      </c>
      <c r="N154" s="127">
        <v>3.70045</v>
      </c>
      <c r="O154" s="127">
        <v>3.08058</v>
      </c>
      <c r="P154" s="127">
        <v>3.52026</v>
      </c>
      <c r="Q154" s="127">
        <v>6.94019</v>
      </c>
      <c r="R154" s="127" t="s">
        <v>852</v>
      </c>
    </row>
    <row r="155">
      <c r="A155" s="127">
        <v>2018.0</v>
      </c>
      <c r="B155" s="127" t="s">
        <v>852</v>
      </c>
      <c r="C155" s="127">
        <v>196.0</v>
      </c>
      <c r="D155" s="127">
        <v>0.122</v>
      </c>
      <c r="E155" s="127">
        <v>0.359446</v>
      </c>
      <c r="F155" s="127">
        <v>22.3526</v>
      </c>
      <c r="G155" s="127">
        <v>0.02112</v>
      </c>
      <c r="H155" s="127">
        <v>51.32</v>
      </c>
      <c r="I155" s="127">
        <v>50.65</v>
      </c>
      <c r="J155" s="127">
        <v>11.3396</v>
      </c>
      <c r="K155" s="127">
        <v>12.4741</v>
      </c>
      <c r="L155" s="127">
        <v>70.8</v>
      </c>
      <c r="M155" s="127">
        <v>67.2</v>
      </c>
      <c r="N155" s="127">
        <v>4.42418</v>
      </c>
      <c r="O155" s="127">
        <v>3.70045</v>
      </c>
      <c r="P155" s="127">
        <v>3.53963</v>
      </c>
      <c r="Q155" s="127">
        <v>7.46501</v>
      </c>
      <c r="R155" s="127" t="s">
        <v>852</v>
      </c>
    </row>
    <row r="156">
      <c r="A156" s="127">
        <v>2019.0</v>
      </c>
      <c r="B156" s="127" t="s">
        <v>852</v>
      </c>
      <c r="C156" s="127">
        <v>191.0</v>
      </c>
      <c r="D156" s="127">
        <v>0.0876</v>
      </c>
      <c r="E156" s="127">
        <v>0.434245</v>
      </c>
      <c r="F156" s="127">
        <v>22.3104</v>
      </c>
      <c r="G156" s="127">
        <v>-0.04133</v>
      </c>
      <c r="H156" s="127">
        <v>52.92</v>
      </c>
      <c r="I156" s="127">
        <v>51.32</v>
      </c>
      <c r="J156" s="127">
        <v>11.3076</v>
      </c>
      <c r="K156" s="127">
        <v>11.3396</v>
      </c>
      <c r="L156" s="127">
        <v>76.0</v>
      </c>
      <c r="M156" s="127">
        <v>70.8</v>
      </c>
      <c r="N156" s="127">
        <v>4.9521</v>
      </c>
      <c r="O156" s="127">
        <v>4.42418</v>
      </c>
      <c r="P156" s="127">
        <v>2.79582</v>
      </c>
      <c r="Q156" s="127">
        <v>7.35926</v>
      </c>
      <c r="R156" s="127" t="s">
        <v>852</v>
      </c>
    </row>
    <row r="157">
      <c r="A157" s="127">
        <v>2020.0</v>
      </c>
      <c r="B157" s="127" t="s">
        <v>852</v>
      </c>
      <c r="C157" s="127">
        <v>109.0</v>
      </c>
      <c r="D157" s="127">
        <v>0.0835</v>
      </c>
      <c r="E157" s="127">
        <v>0.405145</v>
      </c>
      <c r="F157" s="127">
        <v>22.4531</v>
      </c>
      <c r="G157" s="127">
        <v>0.15336</v>
      </c>
      <c r="H157" s="127">
        <v>54.56</v>
      </c>
      <c r="I157" s="127">
        <v>52.92</v>
      </c>
      <c r="J157" s="127">
        <v>12.2739</v>
      </c>
      <c r="K157" s="127">
        <v>11.3076</v>
      </c>
      <c r="L157" s="127">
        <v>80.7</v>
      </c>
      <c r="M157" s="127">
        <v>76.0</v>
      </c>
      <c r="N157" s="127">
        <v>3.88115</v>
      </c>
      <c r="O157" s="127">
        <v>4.9521</v>
      </c>
      <c r="P157" s="127">
        <v>3.22093</v>
      </c>
      <c r="Q157" s="127">
        <v>2.86541</v>
      </c>
      <c r="R157" s="127" t="s">
        <v>852</v>
      </c>
    </row>
    <row r="158">
      <c r="A158" s="127">
        <v>2021.0</v>
      </c>
      <c r="B158" s="127" t="s">
        <v>852</v>
      </c>
      <c r="C158" s="127">
        <v>93.7</v>
      </c>
      <c r="D158" s="127">
        <v>0.0671</v>
      </c>
      <c r="E158" s="127">
        <v>0.486038</v>
      </c>
      <c r="F158" s="127">
        <v>22.4828</v>
      </c>
      <c r="G158" s="127">
        <v>0.03015</v>
      </c>
      <c r="H158" s="127">
        <v>53.94</v>
      </c>
      <c r="I158" s="127">
        <v>54.56</v>
      </c>
      <c r="J158" s="127">
        <v>12.1839</v>
      </c>
      <c r="K158" s="127">
        <v>12.2739</v>
      </c>
      <c r="L158" s="127">
        <v>83.7</v>
      </c>
      <c r="M158" s="127">
        <v>80.7</v>
      </c>
      <c r="N158" s="127">
        <v>2.85132</v>
      </c>
      <c r="O158" s="127">
        <v>3.88115</v>
      </c>
      <c r="P158" s="127">
        <v>1.83472</v>
      </c>
      <c r="Q158" s="127">
        <v>2.55373</v>
      </c>
      <c r="R158" s="127" t="s">
        <v>852</v>
      </c>
    </row>
    <row r="159">
      <c r="A159" s="127">
        <v>2022.0</v>
      </c>
      <c r="B159" s="127" t="s">
        <v>852</v>
      </c>
      <c r="C159" s="127">
        <v>70.4</v>
      </c>
      <c r="D159" s="127">
        <v>0.104</v>
      </c>
      <c r="E159" s="127">
        <v>0.433763</v>
      </c>
      <c r="F159" s="127">
        <v>22.961</v>
      </c>
      <c r="G159" s="127">
        <v>0.61312</v>
      </c>
      <c r="H159" s="127">
        <v>55.52</v>
      </c>
      <c r="I159" s="127">
        <v>53.94</v>
      </c>
      <c r="J159" s="127">
        <v>18.1757</v>
      </c>
      <c r="K159" s="127">
        <v>12.1839</v>
      </c>
      <c r="L159" s="127">
        <v>86.4</v>
      </c>
      <c r="M159" s="127">
        <v>83.7</v>
      </c>
      <c r="N159" s="127">
        <v>2.9023</v>
      </c>
      <c r="O159" s="127">
        <v>2.85132</v>
      </c>
      <c r="P159" s="127">
        <v>3.15651</v>
      </c>
      <c r="Q159" s="127">
        <v>8.5375</v>
      </c>
      <c r="R159" s="127" t="s">
        <v>852</v>
      </c>
    </row>
    <row r="160">
      <c r="A160" s="127">
        <v>2023.0</v>
      </c>
      <c r="B160" s="127" t="s">
        <v>852</v>
      </c>
      <c r="C160" s="127">
        <v>163.0</v>
      </c>
      <c r="D160" s="127">
        <v>0.0798</v>
      </c>
      <c r="E160" s="127">
        <v>0.405077</v>
      </c>
      <c r="F160" s="127">
        <v>22.8715</v>
      </c>
      <c r="G160" s="127">
        <v>-0.08558</v>
      </c>
      <c r="H160" s="127">
        <v>56.57</v>
      </c>
      <c r="I160" s="127">
        <v>55.52</v>
      </c>
      <c r="J160" s="127">
        <v>21.6149</v>
      </c>
      <c r="K160" s="127">
        <v>18.1757</v>
      </c>
      <c r="L160" s="127">
        <v>89.5</v>
      </c>
      <c r="M160" s="127">
        <v>86.4</v>
      </c>
      <c r="N160" s="127">
        <v>3.05014</v>
      </c>
      <c r="O160" s="127">
        <v>2.9023</v>
      </c>
      <c r="P160" s="127">
        <v>3.25289</v>
      </c>
      <c r="Q160" s="127">
        <v>5.06502</v>
      </c>
      <c r="R160" s="127" t="s">
        <v>852</v>
      </c>
    </row>
    <row r="161">
      <c r="A161" s="127">
        <v>2024.0</v>
      </c>
      <c r="B161" s="127" t="s">
        <v>852</v>
      </c>
      <c r="C161" s="127">
        <v>59.3</v>
      </c>
      <c r="D161" s="127">
        <v>0.0659</v>
      </c>
      <c r="E161" s="127">
        <v>0.382471</v>
      </c>
      <c r="F161" s="127">
        <v>22.8496</v>
      </c>
      <c r="G161" s="127">
        <v>-0.02173</v>
      </c>
      <c r="H161" s="127">
        <v>57.56</v>
      </c>
      <c r="I161" s="127">
        <v>56.57</v>
      </c>
      <c r="J161" s="127">
        <v>23.6602</v>
      </c>
      <c r="K161" s="127">
        <v>21.6149</v>
      </c>
      <c r="L161" s="127">
        <v>92.5</v>
      </c>
      <c r="M161" s="127">
        <v>89.5</v>
      </c>
      <c r="N161" s="127"/>
      <c r="O161" s="127">
        <v>3.05014</v>
      </c>
      <c r="P161" s="127">
        <v>3.62109</v>
      </c>
      <c r="Q161" s="127">
        <v>7.09119</v>
      </c>
      <c r="R161" s="127" t="s">
        <v>852</v>
      </c>
    </row>
    <row r="162">
      <c r="A162" s="127">
        <v>2015.0</v>
      </c>
      <c r="B162" s="127" t="s">
        <v>1020</v>
      </c>
      <c r="C162" s="127">
        <v>237.0</v>
      </c>
      <c r="D162" s="127">
        <v>0.0637</v>
      </c>
      <c r="E162" s="127">
        <v>0.571417</v>
      </c>
      <c r="F162" s="127">
        <v>21.5725</v>
      </c>
      <c r="G162" s="127">
        <v>0.04467</v>
      </c>
      <c r="H162" s="127">
        <v>48.04</v>
      </c>
      <c r="I162" s="127">
        <v>46.98</v>
      </c>
      <c r="J162" s="127">
        <v>19.6496</v>
      </c>
      <c r="K162" s="127">
        <v>28.8466</v>
      </c>
      <c r="L162" s="127">
        <v>25.76</v>
      </c>
      <c r="M162" s="127">
        <v>23.15</v>
      </c>
      <c r="N162" s="127">
        <v>2.67526</v>
      </c>
      <c r="O162" s="128"/>
      <c r="P162" s="127">
        <v>0.631201</v>
      </c>
      <c r="Q162" s="127">
        <v>6.98715</v>
      </c>
      <c r="R162" s="127" t="s">
        <v>1020</v>
      </c>
    </row>
    <row r="163">
      <c r="A163" s="127">
        <v>2016.0</v>
      </c>
      <c r="B163" s="127" t="s">
        <v>1020</v>
      </c>
      <c r="C163" s="127">
        <v>296.0</v>
      </c>
      <c r="D163" s="127">
        <v>0.0781</v>
      </c>
      <c r="E163" s="127">
        <v>0.514586</v>
      </c>
      <c r="F163" s="127">
        <v>21.5727</v>
      </c>
      <c r="G163" s="127">
        <v>2.0E-4</v>
      </c>
      <c r="H163" s="127">
        <v>49.34</v>
      </c>
      <c r="I163" s="127">
        <v>48.04</v>
      </c>
      <c r="J163" s="127">
        <v>14.0523</v>
      </c>
      <c r="K163" s="127">
        <v>19.6496</v>
      </c>
      <c r="L163" s="127">
        <v>28.5</v>
      </c>
      <c r="M163" s="127">
        <v>25.76</v>
      </c>
      <c r="N163" s="127">
        <v>3.17971</v>
      </c>
      <c r="O163" s="127">
        <v>2.67526</v>
      </c>
      <c r="P163" s="127">
        <v>2.66825</v>
      </c>
      <c r="Q163" s="127">
        <v>6.69001</v>
      </c>
      <c r="R163" s="127" t="s">
        <v>1020</v>
      </c>
    </row>
    <row r="164">
      <c r="A164" s="127">
        <v>2017.0</v>
      </c>
      <c r="B164" s="127" t="s">
        <v>1020</v>
      </c>
      <c r="C164" s="127">
        <v>347.0</v>
      </c>
      <c r="D164" s="127">
        <v>0.0743</v>
      </c>
      <c r="E164" s="127">
        <v>0.524274</v>
      </c>
      <c r="F164" s="127">
        <v>21.5914</v>
      </c>
      <c r="G164" s="127">
        <v>0.01888</v>
      </c>
      <c r="H164" s="127">
        <v>50.65</v>
      </c>
      <c r="I164" s="127">
        <v>49.34</v>
      </c>
      <c r="J164" s="127">
        <v>12.4741</v>
      </c>
      <c r="K164" s="127">
        <v>14.0523</v>
      </c>
      <c r="L164" s="127">
        <v>32.1</v>
      </c>
      <c r="M164" s="127">
        <v>28.5</v>
      </c>
      <c r="N164" s="127">
        <v>4.22732</v>
      </c>
      <c r="O164" s="127">
        <v>3.17971</v>
      </c>
      <c r="P164" s="127">
        <v>3.52026</v>
      </c>
      <c r="Q164" s="127">
        <v>6.94019</v>
      </c>
      <c r="R164" s="127" t="s">
        <v>1020</v>
      </c>
    </row>
    <row r="165">
      <c r="A165" s="127">
        <v>2018.0</v>
      </c>
      <c r="B165" s="127" t="s">
        <v>1020</v>
      </c>
      <c r="C165" s="127">
        <v>432.0</v>
      </c>
      <c r="D165" s="127">
        <v>0.0553</v>
      </c>
      <c r="E165" s="127">
        <v>0.53412</v>
      </c>
      <c r="F165" s="127">
        <v>21.5303</v>
      </c>
      <c r="G165" s="127">
        <v>-0.05936</v>
      </c>
      <c r="H165" s="127">
        <v>51.32</v>
      </c>
      <c r="I165" s="127">
        <v>50.65</v>
      </c>
      <c r="J165" s="127">
        <v>11.3396</v>
      </c>
      <c r="K165" s="127">
        <v>12.4741</v>
      </c>
      <c r="L165" s="127">
        <v>36.925</v>
      </c>
      <c r="M165" s="127">
        <v>32.1</v>
      </c>
      <c r="N165" s="127">
        <v>5.32252</v>
      </c>
      <c r="O165" s="127">
        <v>4.22732</v>
      </c>
      <c r="P165" s="127">
        <v>3.53963</v>
      </c>
      <c r="Q165" s="127">
        <v>7.46501</v>
      </c>
      <c r="R165" s="127" t="s">
        <v>1020</v>
      </c>
    </row>
    <row r="166">
      <c r="A166" s="127">
        <v>2019.0</v>
      </c>
      <c r="B166" s="127" t="s">
        <v>1020</v>
      </c>
      <c r="C166" s="127">
        <v>230.0</v>
      </c>
      <c r="D166" s="127">
        <v>0.00142</v>
      </c>
      <c r="E166" s="127">
        <v>0.487747</v>
      </c>
      <c r="F166" s="127">
        <v>21.2101</v>
      </c>
      <c r="G166" s="127">
        <v>-0.274</v>
      </c>
      <c r="H166" s="127">
        <v>52.92</v>
      </c>
      <c r="I166" s="127">
        <v>51.32</v>
      </c>
      <c r="J166" s="127">
        <v>11.3076</v>
      </c>
      <c r="K166" s="127">
        <v>11.3396</v>
      </c>
      <c r="L166" s="127">
        <v>42.73</v>
      </c>
      <c r="M166" s="127">
        <v>36.925</v>
      </c>
      <c r="N166" s="127">
        <v>5.8125</v>
      </c>
      <c r="O166" s="127">
        <v>5.32252</v>
      </c>
      <c r="P166" s="127">
        <v>2.79582</v>
      </c>
      <c r="Q166" s="127">
        <v>7.35926</v>
      </c>
      <c r="R166" s="127" t="s">
        <v>1020</v>
      </c>
    </row>
    <row r="167">
      <c r="A167" s="127">
        <v>2020.0</v>
      </c>
      <c r="B167" s="127" t="s">
        <v>1020</v>
      </c>
      <c r="C167" s="127">
        <v>289.0</v>
      </c>
      <c r="D167" s="127">
        <v>0.00287</v>
      </c>
      <c r="E167" s="127">
        <v>0.46989</v>
      </c>
      <c r="F167" s="127">
        <v>21.0515</v>
      </c>
      <c r="G167" s="127">
        <v>-0.14665</v>
      </c>
      <c r="H167" s="127">
        <v>54.56</v>
      </c>
      <c r="I167" s="127">
        <v>52.92</v>
      </c>
      <c r="J167" s="127">
        <v>12.2739</v>
      </c>
      <c r="K167" s="127">
        <v>11.3076</v>
      </c>
      <c r="L167" s="127">
        <v>48.55</v>
      </c>
      <c r="M167" s="127">
        <v>42.73</v>
      </c>
      <c r="N167" s="127">
        <v>4.91474</v>
      </c>
      <c r="O167" s="127">
        <v>5.8125</v>
      </c>
      <c r="P167" s="127">
        <v>3.22093</v>
      </c>
      <c r="Q167" s="127">
        <v>2.86541</v>
      </c>
      <c r="R167" s="127" t="s">
        <v>1020</v>
      </c>
    </row>
    <row r="168">
      <c r="A168" s="127">
        <v>2021.0</v>
      </c>
      <c r="B168" s="127" t="s">
        <v>1020</v>
      </c>
      <c r="C168" s="127">
        <v>545.0</v>
      </c>
      <c r="D168" s="127">
        <v>0.0256</v>
      </c>
      <c r="E168" s="127">
        <v>0.591416</v>
      </c>
      <c r="F168" s="127">
        <v>21.4698</v>
      </c>
      <c r="G168" s="127">
        <v>0.51943</v>
      </c>
      <c r="H168" s="127">
        <v>53.94</v>
      </c>
      <c r="I168" s="127">
        <v>54.56</v>
      </c>
      <c r="J168" s="127">
        <v>12.1839</v>
      </c>
      <c r="K168" s="127">
        <v>12.2739</v>
      </c>
      <c r="L168" s="127">
        <v>52.5</v>
      </c>
      <c r="M168" s="127">
        <v>48.55</v>
      </c>
      <c r="N168" s="127">
        <v>4.58921</v>
      </c>
      <c r="O168" s="127">
        <v>4.91474</v>
      </c>
      <c r="P168" s="127">
        <v>1.83472</v>
      </c>
      <c r="Q168" s="127">
        <v>2.55373</v>
      </c>
      <c r="R168" s="127" t="s">
        <v>1020</v>
      </c>
    </row>
    <row r="169">
      <c r="A169" s="127">
        <v>2022.0</v>
      </c>
      <c r="B169" s="127" t="s">
        <v>1020</v>
      </c>
      <c r="C169" s="127">
        <v>371.0</v>
      </c>
      <c r="D169" s="127">
        <v>0.0416</v>
      </c>
      <c r="E169" s="127">
        <v>0.43193</v>
      </c>
      <c r="F169" s="127">
        <v>21.4207</v>
      </c>
      <c r="G169" s="127">
        <v>-0.04795</v>
      </c>
      <c r="H169" s="127">
        <v>55.52</v>
      </c>
      <c r="I169" s="127">
        <v>53.94</v>
      </c>
      <c r="J169" s="127">
        <v>18.1757</v>
      </c>
      <c r="K169" s="127">
        <v>12.1839</v>
      </c>
      <c r="L169" s="127">
        <v>57.7</v>
      </c>
      <c r="M169" s="127">
        <v>52.5</v>
      </c>
      <c r="N169" s="127">
        <v>4.61303</v>
      </c>
      <c r="O169" s="127">
        <v>4.58921</v>
      </c>
      <c r="P169" s="127">
        <v>3.15651</v>
      </c>
      <c r="Q169" s="127">
        <v>8.5375</v>
      </c>
      <c r="R169" s="127" t="s">
        <v>1020</v>
      </c>
    </row>
    <row r="170">
      <c r="A170" s="127">
        <v>2023.0</v>
      </c>
      <c r="B170" s="127" t="s">
        <v>1020</v>
      </c>
      <c r="C170" s="127">
        <v>293.0</v>
      </c>
      <c r="D170" s="127">
        <v>0.0457</v>
      </c>
      <c r="E170" s="127">
        <v>0.474623</v>
      </c>
      <c r="F170" s="127">
        <v>21.1673</v>
      </c>
      <c r="G170" s="127">
        <v>-0.22382</v>
      </c>
      <c r="H170" s="127">
        <v>56.57</v>
      </c>
      <c r="I170" s="127">
        <v>55.52</v>
      </c>
      <c r="J170" s="127">
        <v>21.6149</v>
      </c>
      <c r="K170" s="127">
        <v>18.1757</v>
      </c>
      <c r="L170" s="127">
        <v>61.7</v>
      </c>
      <c r="M170" s="127">
        <v>57.7</v>
      </c>
      <c r="N170" s="127">
        <v>3.82633</v>
      </c>
      <c r="O170" s="127">
        <v>4.61303</v>
      </c>
      <c r="P170" s="127">
        <v>3.25289</v>
      </c>
      <c r="Q170" s="127">
        <v>5.06502</v>
      </c>
      <c r="R170" s="127" t="s">
        <v>1020</v>
      </c>
    </row>
    <row r="171">
      <c r="A171" s="127">
        <v>2024.0</v>
      </c>
      <c r="B171" s="127" t="s">
        <v>1020</v>
      </c>
      <c r="C171" s="127">
        <v>333.0</v>
      </c>
      <c r="D171" s="127">
        <v>0.0186</v>
      </c>
      <c r="E171" s="127">
        <v>0.530101</v>
      </c>
      <c r="F171" s="127">
        <v>21.1934</v>
      </c>
      <c r="G171" s="127">
        <v>0.02642</v>
      </c>
      <c r="H171" s="127">
        <v>57.56</v>
      </c>
      <c r="I171" s="127">
        <v>56.57</v>
      </c>
      <c r="J171" s="127">
        <v>23.6602</v>
      </c>
      <c r="K171" s="127">
        <v>21.6149</v>
      </c>
      <c r="L171" s="127">
        <v>65.35</v>
      </c>
      <c r="M171" s="127">
        <v>61.7</v>
      </c>
      <c r="N171" s="127"/>
      <c r="O171" s="127">
        <v>3.82633</v>
      </c>
      <c r="P171" s="127">
        <v>3.62109</v>
      </c>
      <c r="Q171" s="127">
        <v>7.09119</v>
      </c>
      <c r="R171" s="127" t="s">
        <v>1020</v>
      </c>
    </row>
    <row r="172">
      <c r="A172" s="127">
        <v>2015.0</v>
      </c>
      <c r="B172" s="127" t="s">
        <v>1076</v>
      </c>
      <c r="C172" s="127">
        <v>263.0</v>
      </c>
      <c r="D172" s="127">
        <v>0.0565</v>
      </c>
      <c r="E172" s="127">
        <v>0.57536</v>
      </c>
      <c r="F172" s="127">
        <v>20.2035</v>
      </c>
      <c r="G172" s="127">
        <v>-0.00295</v>
      </c>
      <c r="H172" s="127">
        <v>48.04</v>
      </c>
      <c r="I172" s="127">
        <v>46.98</v>
      </c>
      <c r="J172" s="127">
        <v>19.6496</v>
      </c>
      <c r="K172" s="127">
        <v>28.8466</v>
      </c>
      <c r="L172" s="127">
        <v>35.0</v>
      </c>
      <c r="M172" s="127">
        <v>34.55</v>
      </c>
      <c r="N172" s="127">
        <v>1.10567</v>
      </c>
      <c r="O172" s="128"/>
      <c r="P172" s="127">
        <v>0.631201</v>
      </c>
      <c r="Q172" s="127">
        <v>6.98715</v>
      </c>
      <c r="R172" s="127" t="s">
        <v>1076</v>
      </c>
    </row>
    <row r="173">
      <c r="A173" s="127">
        <v>2016.0</v>
      </c>
      <c r="B173" s="127" t="s">
        <v>1076</v>
      </c>
      <c r="C173" s="127">
        <v>329.0</v>
      </c>
      <c r="D173" s="127">
        <v>0.0371</v>
      </c>
      <c r="E173" s="127">
        <v>0.555022</v>
      </c>
      <c r="F173" s="127">
        <v>20.0557</v>
      </c>
      <c r="G173" s="127">
        <v>-0.13742</v>
      </c>
      <c r="H173" s="127">
        <v>49.34</v>
      </c>
      <c r="I173" s="127">
        <v>48.04</v>
      </c>
      <c r="J173" s="127">
        <v>14.0523</v>
      </c>
      <c r="K173" s="127">
        <v>19.6496</v>
      </c>
      <c r="L173" s="127">
        <v>36.65</v>
      </c>
      <c r="M173" s="127">
        <v>35.0</v>
      </c>
      <c r="N173" s="127">
        <v>5.01905</v>
      </c>
      <c r="O173" s="127">
        <v>1.10567</v>
      </c>
      <c r="P173" s="127">
        <v>2.66825</v>
      </c>
      <c r="Q173" s="127">
        <v>6.69001</v>
      </c>
      <c r="R173" s="127" t="s">
        <v>1076</v>
      </c>
    </row>
    <row r="174">
      <c r="A174" s="127">
        <v>2017.0</v>
      </c>
      <c r="B174" s="127" t="s">
        <v>1076</v>
      </c>
      <c r="C174" s="127">
        <v>425.0</v>
      </c>
      <c r="D174" s="127">
        <v>0.0749</v>
      </c>
      <c r="E174" s="127">
        <v>0.507874</v>
      </c>
      <c r="F174" s="127">
        <v>20.2403</v>
      </c>
      <c r="G174" s="127">
        <v>0.20274</v>
      </c>
      <c r="H174" s="127">
        <v>50.65</v>
      </c>
      <c r="I174" s="127">
        <v>49.34</v>
      </c>
      <c r="J174" s="127">
        <v>12.4741</v>
      </c>
      <c r="K174" s="127">
        <v>14.0523</v>
      </c>
      <c r="L174" s="127">
        <v>44.4</v>
      </c>
      <c r="M174" s="127">
        <v>36.65</v>
      </c>
      <c r="N174" s="127">
        <v>6.08447</v>
      </c>
      <c r="O174" s="127">
        <v>5.01905</v>
      </c>
      <c r="P174" s="127">
        <v>3.52026</v>
      </c>
      <c r="Q174" s="127">
        <v>6.94019</v>
      </c>
      <c r="R174" s="127" t="s">
        <v>1076</v>
      </c>
    </row>
    <row r="175">
      <c r="A175" s="127">
        <v>2018.0</v>
      </c>
      <c r="B175" s="127" t="s">
        <v>1076</v>
      </c>
      <c r="C175" s="127">
        <v>480.0</v>
      </c>
      <c r="D175" s="127">
        <v>0.0811</v>
      </c>
      <c r="E175" s="127">
        <v>0.466221</v>
      </c>
      <c r="F175" s="127">
        <v>20.2441</v>
      </c>
      <c r="G175" s="127">
        <v>0.00377</v>
      </c>
      <c r="H175" s="127">
        <v>51.32</v>
      </c>
      <c r="I175" s="127">
        <v>50.65</v>
      </c>
      <c r="J175" s="127">
        <v>11.3396</v>
      </c>
      <c r="K175" s="127">
        <v>12.4741</v>
      </c>
      <c r="L175" s="127">
        <v>48.65</v>
      </c>
      <c r="M175" s="127">
        <v>44.4</v>
      </c>
      <c r="N175" s="127">
        <v>3.73731</v>
      </c>
      <c r="O175" s="127">
        <v>6.08447</v>
      </c>
      <c r="P175" s="127">
        <v>3.53963</v>
      </c>
      <c r="Q175" s="127">
        <v>7.46501</v>
      </c>
      <c r="R175" s="127" t="s">
        <v>1076</v>
      </c>
    </row>
    <row r="176">
      <c r="A176" s="127">
        <v>2019.0</v>
      </c>
      <c r="B176" s="127" t="s">
        <v>1076</v>
      </c>
      <c r="C176" s="127">
        <v>570.0</v>
      </c>
      <c r="D176" s="127">
        <v>0.104</v>
      </c>
      <c r="E176" s="127">
        <v>0.398921</v>
      </c>
      <c r="F176" s="127">
        <v>20.2817</v>
      </c>
      <c r="G176" s="127">
        <v>0.03833</v>
      </c>
      <c r="H176" s="127">
        <v>52.92</v>
      </c>
      <c r="I176" s="127">
        <v>51.32</v>
      </c>
      <c r="J176" s="127">
        <v>11.3076</v>
      </c>
      <c r="K176" s="127">
        <v>11.3396</v>
      </c>
      <c r="L176" s="127">
        <v>51.85</v>
      </c>
      <c r="M176" s="127">
        <v>48.65</v>
      </c>
      <c r="N176" s="127">
        <v>4.05309</v>
      </c>
      <c r="O176" s="127">
        <v>3.73731</v>
      </c>
      <c r="P176" s="127">
        <v>2.79582</v>
      </c>
      <c r="Q176" s="127">
        <v>7.35926</v>
      </c>
      <c r="R176" s="127" t="s">
        <v>1076</v>
      </c>
    </row>
    <row r="177">
      <c r="A177" s="127">
        <v>2020.0</v>
      </c>
      <c r="B177" s="127" t="s">
        <v>1076</v>
      </c>
      <c r="C177" s="127">
        <v>757.0</v>
      </c>
      <c r="D177" s="127">
        <v>0.0347</v>
      </c>
      <c r="E177" s="127">
        <v>0.385868</v>
      </c>
      <c r="F177" s="127">
        <v>19.8779</v>
      </c>
      <c r="G177" s="127">
        <v>-0.33225</v>
      </c>
      <c r="H177" s="127">
        <v>54.56</v>
      </c>
      <c r="I177" s="127">
        <v>52.92</v>
      </c>
      <c r="J177" s="127">
        <v>12.2739</v>
      </c>
      <c r="K177" s="127">
        <v>11.3076</v>
      </c>
      <c r="L177" s="127">
        <v>56.7</v>
      </c>
      <c r="M177" s="127">
        <v>51.85</v>
      </c>
      <c r="N177" s="127">
        <v>4.52889</v>
      </c>
      <c r="O177" s="127">
        <v>4.05309</v>
      </c>
      <c r="P177" s="127">
        <v>3.22093</v>
      </c>
      <c r="Q177" s="127">
        <v>2.86541</v>
      </c>
      <c r="R177" s="127" t="s">
        <v>1076</v>
      </c>
    </row>
    <row r="178">
      <c r="A178" s="127">
        <v>2021.0</v>
      </c>
      <c r="B178" s="127" t="s">
        <v>1076</v>
      </c>
      <c r="C178" s="127">
        <v>867.0</v>
      </c>
      <c r="D178" s="127">
        <v>0.145</v>
      </c>
      <c r="E178" s="127">
        <v>0.270584</v>
      </c>
      <c r="F178" s="127">
        <v>20.3044</v>
      </c>
      <c r="G178" s="127">
        <v>0.532</v>
      </c>
      <c r="H178" s="127">
        <v>53.94</v>
      </c>
      <c r="I178" s="127">
        <v>54.56</v>
      </c>
      <c r="J178" s="127">
        <v>12.1839</v>
      </c>
      <c r="K178" s="127">
        <v>12.2739</v>
      </c>
      <c r="L178" s="127">
        <v>60.9</v>
      </c>
      <c r="M178" s="127">
        <v>56.7</v>
      </c>
      <c r="N178" s="127">
        <v>4.3256</v>
      </c>
      <c r="O178" s="127">
        <v>4.52889</v>
      </c>
      <c r="P178" s="127">
        <v>1.83472</v>
      </c>
      <c r="Q178" s="127">
        <v>2.55373</v>
      </c>
      <c r="R178" s="127" t="s">
        <v>1076</v>
      </c>
    </row>
    <row r="179">
      <c r="A179" s="127">
        <v>2022.0</v>
      </c>
      <c r="B179" s="127" t="s">
        <v>1076</v>
      </c>
      <c r="C179" s="127">
        <v>1060.0</v>
      </c>
      <c r="D179" s="127">
        <v>0.181</v>
      </c>
      <c r="E179" s="127">
        <v>0.18189</v>
      </c>
      <c r="F179" s="127">
        <v>20.4304</v>
      </c>
      <c r="G179" s="127">
        <v>0.13421</v>
      </c>
      <c r="H179" s="127">
        <v>55.52</v>
      </c>
      <c r="I179" s="127">
        <v>53.94</v>
      </c>
      <c r="J179" s="127">
        <v>18.1757</v>
      </c>
      <c r="K179" s="127">
        <v>12.1839</v>
      </c>
      <c r="L179" s="127">
        <v>65.35</v>
      </c>
      <c r="M179" s="127">
        <v>60.9</v>
      </c>
      <c r="N179" s="127">
        <v>4.27619</v>
      </c>
      <c r="O179" s="127">
        <v>4.3256</v>
      </c>
      <c r="P179" s="127">
        <v>3.15651</v>
      </c>
      <c r="Q179" s="127">
        <v>8.5375</v>
      </c>
      <c r="R179" s="127" t="s">
        <v>1076</v>
      </c>
    </row>
    <row r="180">
      <c r="A180" s="127">
        <v>2023.0</v>
      </c>
      <c r="B180" s="127" t="s">
        <v>1076</v>
      </c>
      <c r="C180" s="127">
        <v>1750.0</v>
      </c>
      <c r="D180" s="127">
        <v>0.178</v>
      </c>
      <c r="E180" s="127">
        <v>0.122567</v>
      </c>
      <c r="F180" s="127">
        <v>20.3095</v>
      </c>
      <c r="G180" s="127">
        <v>-0.11382</v>
      </c>
      <c r="H180" s="127">
        <v>56.57</v>
      </c>
      <c r="I180" s="127">
        <v>55.52</v>
      </c>
      <c r="J180" s="127">
        <v>21.6149</v>
      </c>
      <c r="K180" s="127">
        <v>18.1757</v>
      </c>
      <c r="L180" s="127">
        <v>69.45</v>
      </c>
      <c r="M180" s="127">
        <v>65.35</v>
      </c>
      <c r="N180" s="127">
        <v>3.7072</v>
      </c>
      <c r="O180" s="127">
        <v>4.27619</v>
      </c>
      <c r="P180" s="127">
        <v>3.25289</v>
      </c>
      <c r="Q180" s="127">
        <v>5.06502</v>
      </c>
      <c r="R180" s="127" t="s">
        <v>1076</v>
      </c>
    </row>
    <row r="181">
      <c r="A181" s="127">
        <v>2024.0</v>
      </c>
      <c r="B181" s="127" t="s">
        <v>1076</v>
      </c>
      <c r="C181" s="127">
        <v>2260.0</v>
      </c>
      <c r="D181" s="127">
        <v>0.205</v>
      </c>
      <c r="E181" s="127">
        <v>0.073228</v>
      </c>
      <c r="F181" s="127">
        <v>20.2578</v>
      </c>
      <c r="G181" s="127">
        <v>-0.05042</v>
      </c>
      <c r="H181" s="127">
        <v>57.56</v>
      </c>
      <c r="I181" s="127">
        <v>56.57</v>
      </c>
      <c r="J181" s="127">
        <v>23.6602</v>
      </c>
      <c r="K181" s="127">
        <v>21.6149</v>
      </c>
      <c r="L181" s="127">
        <v>72.75</v>
      </c>
      <c r="M181" s="127">
        <v>69.45</v>
      </c>
      <c r="N181" s="127"/>
      <c r="O181" s="127">
        <v>3.7072</v>
      </c>
      <c r="P181" s="127">
        <v>3.62109</v>
      </c>
      <c r="Q181" s="127">
        <v>7.09119</v>
      </c>
      <c r="R181" s="127" t="s">
        <v>1076</v>
      </c>
    </row>
    <row r="182">
      <c r="A182" s="127">
        <v>2015.0</v>
      </c>
      <c r="B182" s="127" t="s">
        <v>1132</v>
      </c>
      <c r="C182" s="127">
        <v>833.0</v>
      </c>
      <c r="D182" s="127">
        <v>0.332</v>
      </c>
      <c r="E182" s="127">
        <v>0.022624</v>
      </c>
      <c r="F182" s="127">
        <v>19.5357</v>
      </c>
      <c r="G182" s="127">
        <v>0.36296</v>
      </c>
      <c r="H182" s="127">
        <v>48.04</v>
      </c>
      <c r="I182" s="127">
        <v>46.98</v>
      </c>
      <c r="J182" s="127">
        <v>19.6496</v>
      </c>
      <c r="K182" s="127">
        <v>28.8466</v>
      </c>
      <c r="L182" s="127">
        <v>29.15</v>
      </c>
      <c r="M182" s="127">
        <v>28.45</v>
      </c>
      <c r="N182" s="127">
        <v>2.10772</v>
      </c>
      <c r="O182" s="128"/>
      <c r="P182" s="127">
        <v>0.631201</v>
      </c>
      <c r="Q182" s="127">
        <v>6.98715</v>
      </c>
      <c r="R182" s="127" t="s">
        <v>1132</v>
      </c>
    </row>
    <row r="183">
      <c r="A183" s="127">
        <v>2016.0</v>
      </c>
      <c r="B183" s="127" t="s">
        <v>1132</v>
      </c>
      <c r="C183" s="127">
        <v>894.0</v>
      </c>
      <c r="D183" s="127">
        <v>0.298</v>
      </c>
      <c r="E183" s="127">
        <v>0.068091</v>
      </c>
      <c r="F183" s="127">
        <v>19.6896</v>
      </c>
      <c r="G183" s="127">
        <v>0.16637</v>
      </c>
      <c r="H183" s="127">
        <v>49.34</v>
      </c>
      <c r="I183" s="127">
        <v>48.04</v>
      </c>
      <c r="J183" s="127">
        <v>14.0523</v>
      </c>
      <c r="K183" s="127">
        <v>19.6496</v>
      </c>
      <c r="L183" s="127">
        <v>32.4</v>
      </c>
      <c r="M183" s="127">
        <v>29.15</v>
      </c>
      <c r="N183" s="127">
        <v>3.42649</v>
      </c>
      <c r="O183" s="127">
        <v>2.10772</v>
      </c>
      <c r="P183" s="127">
        <v>2.66825</v>
      </c>
      <c r="Q183" s="127">
        <v>6.69001</v>
      </c>
      <c r="R183" s="127" t="s">
        <v>1132</v>
      </c>
    </row>
    <row r="184">
      <c r="A184" s="127">
        <v>2017.0</v>
      </c>
      <c r="B184" s="127" t="s">
        <v>1132</v>
      </c>
      <c r="C184" s="127">
        <v>657.0</v>
      </c>
      <c r="D184" s="127">
        <v>0.209</v>
      </c>
      <c r="E184" s="127">
        <v>0.025395</v>
      </c>
      <c r="F184" s="127">
        <v>19.8108</v>
      </c>
      <c r="G184" s="127">
        <v>0.1288</v>
      </c>
      <c r="H184" s="127">
        <v>50.65</v>
      </c>
      <c r="I184" s="127">
        <v>49.34</v>
      </c>
      <c r="J184" s="127">
        <v>12.4741</v>
      </c>
      <c r="K184" s="127">
        <v>14.0523</v>
      </c>
      <c r="L184" s="127">
        <v>36.0</v>
      </c>
      <c r="M184" s="127">
        <v>32.4</v>
      </c>
      <c r="N184" s="127">
        <v>3.751</v>
      </c>
      <c r="O184" s="127">
        <v>3.42649</v>
      </c>
      <c r="P184" s="127">
        <v>3.52026</v>
      </c>
      <c r="Q184" s="127">
        <v>6.94019</v>
      </c>
      <c r="R184" s="127" t="s">
        <v>1132</v>
      </c>
    </row>
    <row r="185">
      <c r="A185" s="127">
        <v>2018.0</v>
      </c>
      <c r="B185" s="127" t="s">
        <v>1132</v>
      </c>
      <c r="C185" s="127">
        <v>598.0</v>
      </c>
      <c r="D185" s="127">
        <v>0.15</v>
      </c>
      <c r="E185" s="127">
        <v>0.021893</v>
      </c>
      <c r="F185" s="127">
        <v>19.9079</v>
      </c>
      <c r="G185" s="127">
        <v>0.10196</v>
      </c>
      <c r="H185" s="127">
        <v>51.32</v>
      </c>
      <c r="I185" s="127">
        <v>50.65</v>
      </c>
      <c r="J185" s="127">
        <v>11.3396</v>
      </c>
      <c r="K185" s="127">
        <v>12.4741</v>
      </c>
      <c r="L185" s="127">
        <v>39.9</v>
      </c>
      <c r="M185" s="127">
        <v>36.0</v>
      </c>
      <c r="N185" s="127">
        <v>3.80044</v>
      </c>
      <c r="O185" s="127">
        <v>3.751</v>
      </c>
      <c r="P185" s="127">
        <v>3.53963</v>
      </c>
      <c r="Q185" s="127">
        <v>7.46501</v>
      </c>
      <c r="R185" s="127" t="s">
        <v>1132</v>
      </c>
    </row>
    <row r="186">
      <c r="A186" s="127">
        <v>2019.0</v>
      </c>
      <c r="B186" s="127" t="s">
        <v>1132</v>
      </c>
      <c r="C186" s="127">
        <v>590.0</v>
      </c>
      <c r="D186" s="127">
        <v>0.109</v>
      </c>
      <c r="E186" s="127">
        <v>0.019246</v>
      </c>
      <c r="F186" s="127">
        <v>19.9295</v>
      </c>
      <c r="G186" s="127">
        <v>0.02187</v>
      </c>
      <c r="H186" s="127">
        <v>52.92</v>
      </c>
      <c r="I186" s="127">
        <v>51.32</v>
      </c>
      <c r="J186" s="127">
        <v>11.3076</v>
      </c>
      <c r="K186" s="127">
        <v>11.3396</v>
      </c>
      <c r="L186" s="127">
        <v>43.6</v>
      </c>
      <c r="M186" s="127">
        <v>39.9</v>
      </c>
      <c r="N186" s="127">
        <v>4.1065</v>
      </c>
      <c r="O186" s="127">
        <v>3.80044</v>
      </c>
      <c r="P186" s="127">
        <v>2.79582</v>
      </c>
      <c r="Q186" s="127">
        <v>7.35926</v>
      </c>
      <c r="R186" s="127" t="s">
        <v>1132</v>
      </c>
    </row>
    <row r="187">
      <c r="A187" s="127">
        <v>2020.0</v>
      </c>
      <c r="B187" s="127" t="s">
        <v>1132</v>
      </c>
      <c r="C187" s="127">
        <v>718.0</v>
      </c>
      <c r="D187" s="127">
        <v>0.0257</v>
      </c>
      <c r="E187" s="127">
        <v>0.015532</v>
      </c>
      <c r="F187" s="127">
        <v>19.5337</v>
      </c>
      <c r="G187" s="127">
        <v>-0.3269</v>
      </c>
      <c r="H187" s="127">
        <v>54.56</v>
      </c>
      <c r="I187" s="127">
        <v>52.92</v>
      </c>
      <c r="J187" s="127">
        <v>12.2739</v>
      </c>
      <c r="K187" s="127">
        <v>11.3076</v>
      </c>
      <c r="L187" s="127">
        <v>48.1</v>
      </c>
      <c r="M187" s="127">
        <v>43.6</v>
      </c>
      <c r="N187" s="127">
        <v>2.92973</v>
      </c>
      <c r="O187" s="127">
        <v>4.1065</v>
      </c>
      <c r="P187" s="127">
        <v>3.22093</v>
      </c>
      <c r="Q187" s="127">
        <v>2.86541</v>
      </c>
      <c r="R187" s="127" t="s">
        <v>1132</v>
      </c>
    </row>
    <row r="188">
      <c r="A188" s="127">
        <v>2021.0</v>
      </c>
      <c r="B188" s="127" t="s">
        <v>1132</v>
      </c>
      <c r="C188" s="127">
        <v>1170.0</v>
      </c>
      <c r="D188" s="127">
        <v>-0.0475</v>
      </c>
      <c r="E188" s="127">
        <v>0.012972</v>
      </c>
      <c r="F188" s="127">
        <v>18.9345</v>
      </c>
      <c r="G188" s="127">
        <v>-0.45075</v>
      </c>
      <c r="H188" s="127">
        <v>53.94</v>
      </c>
      <c r="I188" s="127">
        <v>54.56</v>
      </c>
      <c r="J188" s="127">
        <v>12.1839</v>
      </c>
      <c r="K188" s="127">
        <v>12.2739</v>
      </c>
      <c r="L188" s="127">
        <v>49.1</v>
      </c>
      <c r="M188" s="127">
        <v>48.1</v>
      </c>
      <c r="N188" s="127">
        <v>2.3347</v>
      </c>
      <c r="O188" s="127">
        <v>2.92973</v>
      </c>
      <c r="P188" s="127">
        <v>1.83472</v>
      </c>
      <c r="Q188" s="127">
        <v>2.55373</v>
      </c>
      <c r="R188" s="127" t="s">
        <v>1132</v>
      </c>
    </row>
    <row r="189">
      <c r="A189" s="127">
        <v>2022.0</v>
      </c>
      <c r="B189" s="127" t="s">
        <v>1132</v>
      </c>
      <c r="C189" s="127">
        <v>912.0</v>
      </c>
      <c r="D189" s="127">
        <v>0.0501</v>
      </c>
      <c r="E189" s="127">
        <v>0.015297</v>
      </c>
      <c r="F189" s="127">
        <v>19.8313</v>
      </c>
      <c r="G189" s="127">
        <v>1.45185</v>
      </c>
      <c r="H189" s="127">
        <v>55.52</v>
      </c>
      <c r="I189" s="127">
        <v>53.94</v>
      </c>
      <c r="J189" s="127">
        <v>18.1757</v>
      </c>
      <c r="K189" s="127">
        <v>12.1839</v>
      </c>
      <c r="L189" s="127">
        <v>52.55</v>
      </c>
      <c r="M189" s="127">
        <v>49.1</v>
      </c>
      <c r="N189" s="127">
        <v>3.45</v>
      </c>
      <c r="O189" s="127">
        <v>2.3347</v>
      </c>
      <c r="P189" s="127">
        <v>3.15651</v>
      </c>
      <c r="Q189" s="127">
        <v>8.5375</v>
      </c>
      <c r="R189" s="127" t="s">
        <v>1132</v>
      </c>
    </row>
    <row r="190">
      <c r="A190" s="127">
        <v>2023.0</v>
      </c>
      <c r="B190" s="127" t="s">
        <v>1132</v>
      </c>
      <c r="C190" s="127">
        <v>919.0</v>
      </c>
      <c r="D190" s="127">
        <v>0.0777</v>
      </c>
      <c r="E190" s="127">
        <v>0.01713</v>
      </c>
      <c r="F190" s="127">
        <v>19.8302</v>
      </c>
      <c r="G190" s="127">
        <v>-0.00107</v>
      </c>
      <c r="H190" s="127">
        <v>56.57</v>
      </c>
      <c r="I190" s="127">
        <v>55.52</v>
      </c>
      <c r="J190" s="127">
        <v>21.6149</v>
      </c>
      <c r="K190" s="127">
        <v>18.1757</v>
      </c>
      <c r="L190" s="127">
        <v>56.0</v>
      </c>
      <c r="M190" s="127">
        <v>52.55</v>
      </c>
      <c r="N190" s="127">
        <v>2.4343</v>
      </c>
      <c r="O190" s="127">
        <v>3.45</v>
      </c>
      <c r="P190" s="127">
        <v>3.25289</v>
      </c>
      <c r="Q190" s="127">
        <v>5.06502</v>
      </c>
      <c r="R190" s="127" t="s">
        <v>1132</v>
      </c>
    </row>
    <row r="191">
      <c r="A191" s="127">
        <v>2024.0</v>
      </c>
      <c r="B191" s="127" t="s">
        <v>1132</v>
      </c>
      <c r="C191" s="127">
        <v>767.0</v>
      </c>
      <c r="D191" s="127">
        <v>0.0378</v>
      </c>
      <c r="E191" s="127">
        <v>0.016007</v>
      </c>
      <c r="F191" s="127">
        <v>19.7586</v>
      </c>
      <c r="G191" s="127">
        <v>-0.06911</v>
      </c>
      <c r="H191" s="127">
        <v>57.56</v>
      </c>
      <c r="I191" s="127">
        <v>56.57</v>
      </c>
      <c r="J191" s="127">
        <v>23.6602</v>
      </c>
      <c r="K191" s="127">
        <v>21.6149</v>
      </c>
      <c r="L191" s="127">
        <v>57.25</v>
      </c>
      <c r="M191" s="127">
        <v>56.0</v>
      </c>
      <c r="N191" s="127"/>
      <c r="O191" s="127">
        <v>2.4343</v>
      </c>
      <c r="P191" s="127">
        <v>3.62109</v>
      </c>
      <c r="Q191" s="127">
        <v>7.09119</v>
      </c>
      <c r="R191" s="127" t="s">
        <v>1132</v>
      </c>
    </row>
    <row r="192">
      <c r="A192" s="127">
        <v>2015.0</v>
      </c>
      <c r="B192" s="127" t="s">
        <v>539</v>
      </c>
      <c r="C192" s="127">
        <v>53.5</v>
      </c>
      <c r="D192" s="127">
        <v>0.00791</v>
      </c>
      <c r="E192" s="127">
        <v>0.933018</v>
      </c>
      <c r="F192" s="127">
        <v>23.6807</v>
      </c>
      <c r="G192" s="127">
        <v>0.2589</v>
      </c>
      <c r="H192" s="127">
        <v>48.04</v>
      </c>
      <c r="I192" s="127">
        <v>46.98</v>
      </c>
      <c r="J192" s="127">
        <v>19.6496</v>
      </c>
      <c r="K192" s="127">
        <v>28.8466</v>
      </c>
      <c r="L192" s="127">
        <v>45.0</v>
      </c>
      <c r="M192" s="127">
        <v>41.0</v>
      </c>
      <c r="N192" s="127">
        <v>4.0</v>
      </c>
      <c r="O192" s="128"/>
      <c r="P192" s="127">
        <v>0.631201</v>
      </c>
      <c r="Q192" s="127">
        <v>6.98715</v>
      </c>
      <c r="R192" s="127" t="s">
        <v>539</v>
      </c>
    </row>
    <row r="193">
      <c r="A193" s="127">
        <v>2016.0</v>
      </c>
      <c r="B193" s="127" t="s">
        <v>539</v>
      </c>
      <c r="C193" s="127">
        <v>51.0</v>
      </c>
      <c r="D193" s="127">
        <v>0.00875</v>
      </c>
      <c r="E193" s="127">
        <v>0.938896</v>
      </c>
      <c r="F193" s="127">
        <v>23.8542</v>
      </c>
      <c r="G193" s="127">
        <v>0.18952</v>
      </c>
      <c r="H193" s="127">
        <v>49.34</v>
      </c>
      <c r="I193" s="127">
        <v>48.04</v>
      </c>
      <c r="J193" s="127">
        <v>14.0523</v>
      </c>
      <c r="K193" s="127">
        <v>19.6496</v>
      </c>
      <c r="L193" s="127">
        <v>49.0</v>
      </c>
      <c r="M193" s="127">
        <v>45.0</v>
      </c>
      <c r="N193" s="127">
        <v>5.03322</v>
      </c>
      <c r="O193" s="127">
        <v>4.0</v>
      </c>
      <c r="P193" s="127">
        <v>2.66825</v>
      </c>
      <c r="Q193" s="127">
        <v>6.69001</v>
      </c>
      <c r="R193" s="127" t="s">
        <v>539</v>
      </c>
    </row>
    <row r="194">
      <c r="A194" s="127">
        <v>2017.0</v>
      </c>
      <c r="B194" s="127" t="s">
        <v>539</v>
      </c>
      <c r="C194" s="127">
        <v>81.4</v>
      </c>
      <c r="D194" s="127">
        <v>0.0088</v>
      </c>
      <c r="E194" s="127">
        <v>0.949234</v>
      </c>
      <c r="F194" s="127">
        <v>24.0182</v>
      </c>
      <c r="G194" s="127">
        <v>0.17815</v>
      </c>
      <c r="H194" s="127">
        <v>50.65</v>
      </c>
      <c r="I194" s="127">
        <v>49.34</v>
      </c>
      <c r="J194" s="127">
        <v>12.4741</v>
      </c>
      <c r="K194" s="127">
        <v>14.0523</v>
      </c>
      <c r="L194" s="127">
        <v>55.0</v>
      </c>
      <c r="M194" s="127">
        <v>49.0</v>
      </c>
      <c r="N194" s="127">
        <v>5.50757</v>
      </c>
      <c r="O194" s="127">
        <v>5.03322</v>
      </c>
      <c r="P194" s="127">
        <v>3.52026</v>
      </c>
      <c r="Q194" s="127">
        <v>6.94019</v>
      </c>
      <c r="R194" s="127" t="s">
        <v>539</v>
      </c>
    </row>
    <row r="195">
      <c r="A195" s="127">
        <v>2018.0</v>
      </c>
      <c r="B195" s="127" t="s">
        <v>539</v>
      </c>
      <c r="C195" s="127">
        <v>78.3</v>
      </c>
      <c r="D195" s="127">
        <v>0.0136</v>
      </c>
      <c r="E195" s="127">
        <v>0.942106</v>
      </c>
      <c r="F195" s="127">
        <v>24.2592</v>
      </c>
      <c r="G195" s="127">
        <v>0.27259</v>
      </c>
      <c r="H195" s="127">
        <v>51.32</v>
      </c>
      <c r="I195" s="127">
        <v>50.65</v>
      </c>
      <c r="J195" s="127">
        <v>11.3396</v>
      </c>
      <c r="K195" s="127">
        <v>12.4741</v>
      </c>
      <c r="L195" s="127">
        <v>60.0</v>
      </c>
      <c r="M195" s="127">
        <v>55.0</v>
      </c>
      <c r="N195" s="127">
        <v>5.0</v>
      </c>
      <c r="O195" s="127">
        <v>5.50757</v>
      </c>
      <c r="P195" s="127">
        <v>3.53963</v>
      </c>
      <c r="Q195" s="127">
        <v>7.46501</v>
      </c>
      <c r="R195" s="127" t="s">
        <v>539</v>
      </c>
    </row>
    <row r="196">
      <c r="A196" s="127">
        <v>2019.0</v>
      </c>
      <c r="B196" s="127" t="s">
        <v>539</v>
      </c>
      <c r="C196" s="127">
        <v>116.0</v>
      </c>
      <c r="D196" s="127">
        <v>0.0152</v>
      </c>
      <c r="E196" s="127">
        <v>0.933797</v>
      </c>
      <c r="F196" s="127">
        <v>24.4699</v>
      </c>
      <c r="G196" s="127">
        <v>0.23452</v>
      </c>
      <c r="H196" s="127">
        <v>52.92</v>
      </c>
      <c r="I196" s="127">
        <v>51.32</v>
      </c>
      <c r="J196" s="127">
        <v>11.3076</v>
      </c>
      <c r="K196" s="127">
        <v>11.3396</v>
      </c>
      <c r="L196" s="127">
        <v>65.0</v>
      </c>
      <c r="M196" s="127">
        <v>60.0</v>
      </c>
      <c r="N196" s="127">
        <v>4.50925</v>
      </c>
      <c r="O196" s="127">
        <v>5.0</v>
      </c>
      <c r="P196" s="127">
        <v>2.79582</v>
      </c>
      <c r="Q196" s="127">
        <v>7.35926</v>
      </c>
      <c r="R196" s="127" t="s">
        <v>539</v>
      </c>
    </row>
    <row r="197">
      <c r="A197" s="127">
        <v>2020.0</v>
      </c>
      <c r="B197" s="127" t="s">
        <v>539</v>
      </c>
      <c r="C197" s="127">
        <v>120.0</v>
      </c>
      <c r="D197" s="127">
        <v>0.0139</v>
      </c>
      <c r="E197" s="127">
        <v>0.929051</v>
      </c>
      <c r="F197" s="127">
        <v>24.5692</v>
      </c>
      <c r="G197" s="127">
        <v>0.10436</v>
      </c>
      <c r="H197" s="127">
        <v>54.56</v>
      </c>
      <c r="I197" s="127">
        <v>52.92</v>
      </c>
      <c r="J197" s="127">
        <v>12.2739</v>
      </c>
      <c r="K197" s="127">
        <v>11.3076</v>
      </c>
      <c r="L197" s="127">
        <v>69.0</v>
      </c>
      <c r="M197" s="127">
        <v>65.0</v>
      </c>
      <c r="N197" s="127">
        <v>4.50925</v>
      </c>
      <c r="O197" s="127">
        <v>4.50925</v>
      </c>
      <c r="P197" s="127">
        <v>3.22093</v>
      </c>
      <c r="Q197" s="127">
        <v>2.86541</v>
      </c>
      <c r="R197" s="127" t="s">
        <v>539</v>
      </c>
    </row>
    <row r="198">
      <c r="A198" s="127">
        <v>2021.0</v>
      </c>
      <c r="B198" s="127" t="s">
        <v>539</v>
      </c>
      <c r="C198" s="127">
        <v>117.0</v>
      </c>
      <c r="D198" s="127">
        <v>0.0156</v>
      </c>
      <c r="E198" s="127">
        <v>0.922836</v>
      </c>
      <c r="F198" s="127">
        <v>24.7142</v>
      </c>
      <c r="G198" s="127">
        <v>0.15611</v>
      </c>
      <c r="H198" s="127">
        <v>53.94</v>
      </c>
      <c r="I198" s="127">
        <v>54.56</v>
      </c>
      <c r="J198" s="127">
        <v>12.1839</v>
      </c>
      <c r="K198" s="127">
        <v>12.2739</v>
      </c>
      <c r="L198" s="127">
        <v>74.0</v>
      </c>
      <c r="M198" s="127">
        <v>69.0</v>
      </c>
      <c r="N198" s="127">
        <v>4.04145</v>
      </c>
      <c r="O198" s="127">
        <v>4.50925</v>
      </c>
      <c r="P198" s="127">
        <v>1.83472</v>
      </c>
      <c r="Q198" s="127">
        <v>2.55373</v>
      </c>
      <c r="R198" s="127" t="s">
        <v>539</v>
      </c>
    </row>
    <row r="199">
      <c r="A199" s="127">
        <v>2022.0</v>
      </c>
      <c r="B199" s="127" t="s">
        <v>539</v>
      </c>
      <c r="C199" s="127">
        <v>92.9</v>
      </c>
      <c r="D199" s="127">
        <v>0.0165</v>
      </c>
      <c r="E199" s="127">
        <v>0.925215</v>
      </c>
      <c r="F199" s="127">
        <v>24.9102</v>
      </c>
      <c r="G199" s="127">
        <v>0.21649</v>
      </c>
      <c r="H199" s="127">
        <v>55.52</v>
      </c>
      <c r="I199" s="127">
        <v>53.94</v>
      </c>
      <c r="J199" s="127">
        <v>18.1757</v>
      </c>
      <c r="K199" s="127">
        <v>12.1839</v>
      </c>
      <c r="L199" s="127">
        <v>77.0</v>
      </c>
      <c r="M199" s="127">
        <v>74.0</v>
      </c>
      <c r="N199" s="127">
        <v>4.04145</v>
      </c>
      <c r="O199" s="127">
        <v>4.04145</v>
      </c>
      <c r="P199" s="127">
        <v>3.15651</v>
      </c>
      <c r="Q199" s="127">
        <v>8.5375</v>
      </c>
      <c r="R199" s="127" t="s">
        <v>539</v>
      </c>
    </row>
    <row r="200">
      <c r="A200" s="127">
        <v>2023.0</v>
      </c>
      <c r="B200" s="127" t="s">
        <v>539</v>
      </c>
      <c r="C200" s="127">
        <v>138.0</v>
      </c>
      <c r="D200" s="127">
        <v>0.018</v>
      </c>
      <c r="E200" s="127">
        <v>0.910269</v>
      </c>
      <c r="F200" s="127">
        <v>24.9011</v>
      </c>
      <c r="G200" s="127">
        <v>-0.00906</v>
      </c>
      <c r="H200" s="127">
        <v>56.57</v>
      </c>
      <c r="I200" s="127">
        <v>55.52</v>
      </c>
      <c r="J200" s="127">
        <v>21.6149</v>
      </c>
      <c r="K200" s="127">
        <v>18.1757</v>
      </c>
      <c r="L200" s="127">
        <v>82.0</v>
      </c>
      <c r="M200" s="127">
        <v>77.0</v>
      </c>
      <c r="N200" s="127">
        <v>5.0</v>
      </c>
      <c r="O200" s="127">
        <v>4.04145</v>
      </c>
      <c r="P200" s="127">
        <v>3.25289</v>
      </c>
      <c r="Q200" s="127">
        <v>5.06502</v>
      </c>
      <c r="R200" s="127" t="s">
        <v>539</v>
      </c>
    </row>
    <row r="201">
      <c r="A201" s="127">
        <v>2024.0</v>
      </c>
      <c r="B201" s="127" t="s">
        <v>539</v>
      </c>
      <c r="C201" s="127">
        <v>163.0</v>
      </c>
      <c r="D201" s="127">
        <v>0.0162</v>
      </c>
      <c r="E201" s="127">
        <v>0.905934</v>
      </c>
      <c r="F201" s="127">
        <v>24.9114</v>
      </c>
      <c r="G201" s="127">
        <v>0.01035</v>
      </c>
      <c r="H201" s="127">
        <v>57.56</v>
      </c>
      <c r="I201" s="127">
        <v>56.57</v>
      </c>
      <c r="J201" s="127">
        <v>23.6602</v>
      </c>
      <c r="K201" s="127">
        <v>21.6149</v>
      </c>
      <c r="L201" s="127">
        <v>87.0</v>
      </c>
      <c r="M201" s="127">
        <v>82.0</v>
      </c>
      <c r="N201" s="127"/>
      <c r="O201" s="127">
        <v>5.0</v>
      </c>
      <c r="P201" s="127">
        <v>3.62109</v>
      </c>
      <c r="Q201" s="127">
        <v>7.09119</v>
      </c>
      <c r="R201" s="127" t="s">
        <v>539</v>
      </c>
    </row>
    <row r="202">
      <c r="A202" s="127">
        <v>2015.0</v>
      </c>
      <c r="B202" s="127" t="s">
        <v>95</v>
      </c>
      <c r="C202" s="127">
        <v>247.0</v>
      </c>
      <c r="D202" s="127">
        <v>0.0103</v>
      </c>
      <c r="E202" s="127">
        <v>0.741781</v>
      </c>
      <c r="F202" s="127">
        <v>24.251</v>
      </c>
      <c r="G202" s="127">
        <v>0.22812</v>
      </c>
      <c r="H202" s="127">
        <v>48.04</v>
      </c>
      <c r="I202" s="127">
        <v>46.98</v>
      </c>
      <c r="J202" s="127">
        <v>19.6496</v>
      </c>
      <c r="K202" s="127">
        <v>28.8466</v>
      </c>
      <c r="L202" s="127">
        <v>57.8</v>
      </c>
      <c r="M202" s="127">
        <v>54.0</v>
      </c>
      <c r="N202" s="127">
        <v>3.8</v>
      </c>
      <c r="O202" s="128"/>
      <c r="P202" s="127">
        <v>0.631201</v>
      </c>
      <c r="Q202" s="127">
        <v>6.98715</v>
      </c>
      <c r="R202" s="127" t="s">
        <v>95</v>
      </c>
    </row>
    <row r="203">
      <c r="A203" s="127">
        <v>2016.0</v>
      </c>
      <c r="B203" s="127" t="s">
        <v>95</v>
      </c>
      <c r="C203" s="127">
        <v>315.0</v>
      </c>
      <c r="D203" s="127">
        <v>0.0243</v>
      </c>
      <c r="E203" s="127">
        <v>0.736798</v>
      </c>
      <c r="F203" s="127">
        <v>24.777</v>
      </c>
      <c r="G203" s="127">
        <v>0.69215</v>
      </c>
      <c r="H203" s="127">
        <v>49.34</v>
      </c>
      <c r="I203" s="127">
        <v>48.04</v>
      </c>
      <c r="J203" s="127">
        <v>14.0523</v>
      </c>
      <c r="K203" s="127">
        <v>19.6496</v>
      </c>
      <c r="L203" s="127">
        <v>61.6</v>
      </c>
      <c r="M203" s="127">
        <v>57.8</v>
      </c>
      <c r="N203" s="127">
        <v>3.90043</v>
      </c>
      <c r="O203" s="127">
        <v>3.8</v>
      </c>
      <c r="P203" s="127">
        <v>2.66825</v>
      </c>
      <c r="Q203" s="127">
        <v>6.69001</v>
      </c>
      <c r="R203" s="127" t="s">
        <v>95</v>
      </c>
    </row>
    <row r="204">
      <c r="A204" s="127">
        <v>2017.0</v>
      </c>
      <c r="B204" s="127" t="s">
        <v>95</v>
      </c>
      <c r="C204" s="127">
        <v>701.0</v>
      </c>
      <c r="D204" s="127">
        <v>0.0265</v>
      </c>
      <c r="E204" s="127">
        <v>0.754168</v>
      </c>
      <c r="F204" s="127">
        <v>25.2158</v>
      </c>
      <c r="G204" s="127">
        <v>0.55083</v>
      </c>
      <c r="H204" s="127">
        <v>50.65</v>
      </c>
      <c r="I204" s="127">
        <v>49.34</v>
      </c>
      <c r="J204" s="127">
        <v>12.4741</v>
      </c>
      <c r="K204" s="127">
        <v>14.0523</v>
      </c>
      <c r="L204" s="127">
        <v>65.6</v>
      </c>
      <c r="M204" s="127">
        <v>61.6</v>
      </c>
      <c r="N204" s="127">
        <v>4.30349</v>
      </c>
      <c r="O204" s="127">
        <v>3.90043</v>
      </c>
      <c r="P204" s="127">
        <v>3.52026</v>
      </c>
      <c r="Q204" s="127">
        <v>6.94019</v>
      </c>
      <c r="R204" s="127" t="s">
        <v>95</v>
      </c>
    </row>
    <row r="205">
      <c r="A205" s="127">
        <v>2018.0</v>
      </c>
      <c r="B205" s="127" t="s">
        <v>95</v>
      </c>
      <c r="C205" s="127">
        <v>776.0</v>
      </c>
      <c r="D205" s="127">
        <v>0.0216</v>
      </c>
      <c r="E205" s="127">
        <v>0.655823</v>
      </c>
      <c r="F205" s="127">
        <v>25.5264</v>
      </c>
      <c r="G205" s="127">
        <v>0.36423</v>
      </c>
      <c r="H205" s="127">
        <v>51.32</v>
      </c>
      <c r="I205" s="127">
        <v>50.65</v>
      </c>
      <c r="J205" s="127">
        <v>11.3396</v>
      </c>
      <c r="K205" s="127">
        <v>12.4741</v>
      </c>
      <c r="L205" s="127">
        <v>70.2</v>
      </c>
      <c r="M205" s="127">
        <v>65.6</v>
      </c>
      <c r="N205" s="127">
        <v>3.78197</v>
      </c>
      <c r="O205" s="127">
        <v>4.30349</v>
      </c>
      <c r="P205" s="127">
        <v>3.53963</v>
      </c>
      <c r="Q205" s="127">
        <v>7.46501</v>
      </c>
      <c r="R205" s="127" t="s">
        <v>95</v>
      </c>
    </row>
    <row r="206">
      <c r="A206" s="127">
        <v>2019.0</v>
      </c>
      <c r="B206" s="127" t="s">
        <v>95</v>
      </c>
      <c r="C206" s="127">
        <v>809.0</v>
      </c>
      <c r="D206" s="127">
        <v>0.0191</v>
      </c>
      <c r="E206" s="127">
        <v>0.701322</v>
      </c>
      <c r="F206" s="127">
        <v>25.5911</v>
      </c>
      <c r="G206" s="127">
        <v>0.06679</v>
      </c>
      <c r="H206" s="127">
        <v>52.92</v>
      </c>
      <c r="I206" s="127">
        <v>51.32</v>
      </c>
      <c r="J206" s="127">
        <v>11.3076</v>
      </c>
      <c r="K206" s="127">
        <v>11.3396</v>
      </c>
      <c r="L206" s="127">
        <v>73.1</v>
      </c>
      <c r="M206" s="127">
        <v>70.2</v>
      </c>
      <c r="N206" s="127">
        <v>6.09289</v>
      </c>
      <c r="O206" s="127">
        <v>3.78197</v>
      </c>
      <c r="P206" s="127">
        <v>2.79582</v>
      </c>
      <c r="Q206" s="127">
        <v>7.35926</v>
      </c>
      <c r="R206" s="127" t="s">
        <v>95</v>
      </c>
    </row>
    <row r="207">
      <c r="A207" s="127">
        <v>2020.0</v>
      </c>
      <c r="B207" s="127" t="s">
        <v>95</v>
      </c>
      <c r="C207" s="127">
        <v>766.0</v>
      </c>
      <c r="D207" s="127">
        <v>0.0107</v>
      </c>
      <c r="E207" s="127">
        <v>0.677883</v>
      </c>
      <c r="F207" s="127">
        <v>25.4282</v>
      </c>
      <c r="G207" s="127">
        <v>-0.15031</v>
      </c>
      <c r="H207" s="127">
        <v>54.56</v>
      </c>
      <c r="I207" s="127">
        <v>52.92</v>
      </c>
      <c r="J207" s="127">
        <v>12.2739</v>
      </c>
      <c r="K207" s="127">
        <v>11.3076</v>
      </c>
      <c r="L207" s="127">
        <v>81.9</v>
      </c>
      <c r="M207" s="127">
        <v>73.1</v>
      </c>
      <c r="N207" s="127">
        <v>5.78302</v>
      </c>
      <c r="O207" s="127">
        <v>6.09289</v>
      </c>
      <c r="P207" s="127">
        <v>3.22093</v>
      </c>
      <c r="Q207" s="127">
        <v>2.86541</v>
      </c>
      <c r="R207" s="127" t="s">
        <v>95</v>
      </c>
    </row>
    <row r="208">
      <c r="A208" s="127">
        <v>2021.0</v>
      </c>
      <c r="B208" s="127" t="s">
        <v>95</v>
      </c>
      <c r="C208" s="127">
        <v>752.0</v>
      </c>
      <c r="D208" s="127">
        <v>-0.0176</v>
      </c>
      <c r="E208" s="127">
        <v>0.627503</v>
      </c>
      <c r="F208" s="127">
        <v>25.5571</v>
      </c>
      <c r="G208" s="127">
        <v>0.13755</v>
      </c>
      <c r="H208" s="127">
        <v>53.94</v>
      </c>
      <c r="I208" s="127">
        <v>54.56</v>
      </c>
      <c r="J208" s="127">
        <v>12.1839</v>
      </c>
      <c r="K208" s="127">
        <v>12.2739</v>
      </c>
      <c r="L208" s="127">
        <v>84.0</v>
      </c>
      <c r="M208" s="127">
        <v>81.9</v>
      </c>
      <c r="N208" s="127">
        <v>2.1</v>
      </c>
      <c r="O208" s="127">
        <v>5.78302</v>
      </c>
      <c r="P208" s="127">
        <v>1.83472</v>
      </c>
      <c r="Q208" s="127">
        <v>2.55373</v>
      </c>
      <c r="R208" s="127" t="s">
        <v>95</v>
      </c>
    </row>
    <row r="209">
      <c r="A209" s="127">
        <v>2022.0</v>
      </c>
      <c r="B209" s="127" t="s">
        <v>95</v>
      </c>
      <c r="C209" s="127">
        <v>355.0</v>
      </c>
      <c r="D209" s="127">
        <v>0.00354</v>
      </c>
      <c r="E209" s="127">
        <v>0.765061</v>
      </c>
      <c r="F209" s="127">
        <v>25.3462</v>
      </c>
      <c r="G209" s="127">
        <v>-0.19011</v>
      </c>
      <c r="H209" s="127">
        <v>55.52</v>
      </c>
      <c r="I209" s="127">
        <v>53.94</v>
      </c>
      <c r="J209" s="127">
        <v>18.1757</v>
      </c>
      <c r="K209" s="127">
        <v>12.1839</v>
      </c>
      <c r="L209" s="127">
        <v>86.1</v>
      </c>
      <c r="M209" s="127">
        <v>84.0</v>
      </c>
      <c r="N209" s="127">
        <v>1.45717</v>
      </c>
      <c r="O209" s="127">
        <v>2.1</v>
      </c>
      <c r="P209" s="127">
        <v>3.15651</v>
      </c>
      <c r="Q209" s="127">
        <v>8.5375</v>
      </c>
      <c r="R209" s="127" t="s">
        <v>95</v>
      </c>
    </row>
    <row r="210">
      <c r="A210" s="127">
        <v>2023.0</v>
      </c>
      <c r="B210" s="127" t="s">
        <v>95</v>
      </c>
      <c r="C210" s="127">
        <v>256.0</v>
      </c>
      <c r="D210" s="127">
        <v>0.00308</v>
      </c>
      <c r="E210" s="127">
        <v>0.777997</v>
      </c>
      <c r="F210" s="127">
        <v>25.8073</v>
      </c>
      <c r="G210" s="127">
        <v>0.58583</v>
      </c>
      <c r="H210" s="127">
        <v>56.57</v>
      </c>
      <c r="I210" s="127">
        <v>55.52</v>
      </c>
      <c r="J210" s="127">
        <v>21.6149</v>
      </c>
      <c r="K210" s="127">
        <v>18.1757</v>
      </c>
      <c r="L210" s="127">
        <v>86.8</v>
      </c>
      <c r="M210" s="127">
        <v>86.1</v>
      </c>
      <c r="N210" s="127">
        <v>1.06927</v>
      </c>
      <c r="O210" s="127">
        <v>1.45717</v>
      </c>
      <c r="P210" s="127">
        <v>3.25289</v>
      </c>
      <c r="Q210" s="127">
        <v>5.06502</v>
      </c>
      <c r="R210" s="127" t="s">
        <v>95</v>
      </c>
    </row>
    <row r="211">
      <c r="A211" s="127">
        <v>2024.0</v>
      </c>
      <c r="B211" s="127" t="s">
        <v>95</v>
      </c>
      <c r="C211" s="127">
        <v>186.0</v>
      </c>
      <c r="D211" s="127">
        <v>0.00631</v>
      </c>
      <c r="E211" s="127">
        <v>0.81612</v>
      </c>
      <c r="F211" s="127">
        <v>25.9654</v>
      </c>
      <c r="G211" s="127">
        <v>0.17123</v>
      </c>
      <c r="H211" s="127">
        <v>57.56</v>
      </c>
      <c r="I211" s="127">
        <v>56.57</v>
      </c>
      <c r="J211" s="127">
        <v>23.6602</v>
      </c>
      <c r="K211" s="127">
        <v>21.6149</v>
      </c>
      <c r="L211" s="127">
        <v>88.2</v>
      </c>
      <c r="M211" s="127">
        <v>86.8</v>
      </c>
      <c r="N211" s="127"/>
      <c r="O211" s="127">
        <v>1.06927</v>
      </c>
      <c r="P211" s="127">
        <v>3.62109</v>
      </c>
      <c r="Q211" s="127">
        <v>7.09119</v>
      </c>
      <c r="R211" s="127" t="s">
        <v>95</v>
      </c>
    </row>
    <row r="212">
      <c r="A212" s="127">
        <v>2015.0</v>
      </c>
      <c r="B212" s="127" t="s">
        <v>1224</v>
      </c>
      <c r="C212" s="127">
        <v>20.7752</v>
      </c>
      <c r="D212" s="127">
        <v>0.003593</v>
      </c>
      <c r="E212" s="127">
        <v>0.970589</v>
      </c>
      <c r="F212" s="127">
        <v>23.1869</v>
      </c>
      <c r="G212" s="127">
        <v>0.03345</v>
      </c>
      <c r="H212" s="127">
        <v>48.04</v>
      </c>
      <c r="I212" s="127">
        <v>46.98</v>
      </c>
      <c r="J212" s="127">
        <v>19.6496</v>
      </c>
      <c r="K212" s="127">
        <v>28.8466</v>
      </c>
      <c r="L212" s="127">
        <v>48.3</v>
      </c>
      <c r="M212" s="127">
        <v>42.3</v>
      </c>
      <c r="N212" s="127">
        <v>3.93107</v>
      </c>
      <c r="O212" s="128"/>
      <c r="P212" s="127">
        <v>0.631201</v>
      </c>
      <c r="Q212" s="127">
        <v>6.98715</v>
      </c>
      <c r="R212" s="127" t="s">
        <v>1224</v>
      </c>
    </row>
    <row r="213">
      <c r="A213" s="127">
        <v>2016.0</v>
      </c>
      <c r="B213" s="127" t="s">
        <v>1224</v>
      </c>
      <c r="C213" s="127">
        <v>19.9003</v>
      </c>
      <c r="D213" s="127">
        <v>0.003211</v>
      </c>
      <c r="E213" s="127">
        <v>0.965088</v>
      </c>
      <c r="F213" s="127">
        <v>23.2876</v>
      </c>
      <c r="G213" s="127">
        <v>0.10595</v>
      </c>
      <c r="H213" s="127">
        <v>49.34</v>
      </c>
      <c r="I213" s="127">
        <v>48.04</v>
      </c>
      <c r="J213" s="127">
        <v>14.0523</v>
      </c>
      <c r="K213" s="127">
        <v>19.6496</v>
      </c>
      <c r="L213" s="127">
        <v>49.7</v>
      </c>
      <c r="M213" s="127">
        <v>48.3</v>
      </c>
      <c r="N213" s="127">
        <v>2.02978</v>
      </c>
      <c r="O213" s="127">
        <v>3.93107</v>
      </c>
      <c r="P213" s="127">
        <v>2.66825</v>
      </c>
      <c r="Q213" s="127">
        <v>6.69001</v>
      </c>
      <c r="R213" s="127" t="s">
        <v>1224</v>
      </c>
    </row>
    <row r="214">
      <c r="A214" s="127">
        <v>2017.0</v>
      </c>
      <c r="B214" s="127" t="s">
        <v>1224</v>
      </c>
      <c r="C214" s="127">
        <v>19.4704</v>
      </c>
      <c r="D214" s="127">
        <v>0.00327</v>
      </c>
      <c r="E214" s="127">
        <v>0.96401</v>
      </c>
      <c r="F214" s="127">
        <v>23.4048</v>
      </c>
      <c r="G214" s="127">
        <v>0.12437</v>
      </c>
      <c r="H214" s="127">
        <v>50.65</v>
      </c>
      <c r="I214" s="127">
        <v>49.34</v>
      </c>
      <c r="J214" s="127">
        <v>12.4741</v>
      </c>
      <c r="K214" s="127">
        <v>14.0523</v>
      </c>
      <c r="L214" s="127">
        <v>52.3</v>
      </c>
      <c r="M214" s="127">
        <v>49.7</v>
      </c>
      <c r="N214" s="127">
        <v>2.30651</v>
      </c>
      <c r="O214" s="127">
        <v>2.02978</v>
      </c>
      <c r="P214" s="127">
        <v>3.52026</v>
      </c>
      <c r="Q214" s="127">
        <v>6.94019</v>
      </c>
      <c r="R214" s="127" t="s">
        <v>1224</v>
      </c>
    </row>
    <row r="215">
      <c r="A215" s="127">
        <v>2018.0</v>
      </c>
      <c r="B215" s="127" t="s">
        <v>1224</v>
      </c>
      <c r="C215" s="127">
        <v>21.8249</v>
      </c>
      <c r="D215" s="127">
        <v>0.003348</v>
      </c>
      <c r="E215" s="127">
        <v>0.965041</v>
      </c>
      <c r="F215" s="127">
        <v>23.4432</v>
      </c>
      <c r="G215" s="127">
        <v>0.03915</v>
      </c>
      <c r="H215" s="127">
        <v>51.32</v>
      </c>
      <c r="I215" s="127">
        <v>50.65</v>
      </c>
      <c r="J215" s="127">
        <v>11.3396</v>
      </c>
      <c r="K215" s="127">
        <v>12.4741</v>
      </c>
      <c r="L215" s="127">
        <v>54.3</v>
      </c>
      <c r="M215" s="127">
        <v>52.3</v>
      </c>
      <c r="N215" s="127">
        <v>2.89194</v>
      </c>
      <c r="O215" s="127">
        <v>2.30651</v>
      </c>
      <c r="P215" s="127">
        <v>3.53963</v>
      </c>
      <c r="Q215" s="127">
        <v>7.46501</v>
      </c>
      <c r="R215" s="127" t="s">
        <v>1224</v>
      </c>
    </row>
    <row r="216">
      <c r="A216" s="127">
        <v>2019.0</v>
      </c>
      <c r="B216" s="127" t="s">
        <v>1224</v>
      </c>
      <c r="C216" s="127">
        <v>29.2292</v>
      </c>
      <c r="D216" s="127">
        <v>0.003553</v>
      </c>
      <c r="E216" s="127">
        <v>0.962272</v>
      </c>
      <c r="F216" s="127">
        <v>23.6268</v>
      </c>
      <c r="G216" s="127">
        <v>0.20153</v>
      </c>
      <c r="H216" s="127">
        <v>52.92</v>
      </c>
      <c r="I216" s="127">
        <v>51.32</v>
      </c>
      <c r="J216" s="127">
        <v>11.3076</v>
      </c>
      <c r="K216" s="127">
        <v>11.3396</v>
      </c>
      <c r="L216" s="127">
        <v>58.0</v>
      </c>
      <c r="M216" s="127">
        <v>54.3</v>
      </c>
      <c r="N216" s="127">
        <v>3.0271</v>
      </c>
      <c r="O216" s="127">
        <v>2.89194</v>
      </c>
      <c r="P216" s="127">
        <v>2.79582</v>
      </c>
      <c r="Q216" s="127">
        <v>7.35926</v>
      </c>
      <c r="R216" s="127" t="s">
        <v>1224</v>
      </c>
    </row>
    <row r="217">
      <c r="A217" s="127">
        <v>2020.0</v>
      </c>
      <c r="B217" s="127" t="s">
        <v>1224</v>
      </c>
      <c r="C217" s="127">
        <v>29.874</v>
      </c>
      <c r="D217" s="127">
        <v>0.004497</v>
      </c>
      <c r="E217" s="127">
        <v>0.956202</v>
      </c>
      <c r="F217" s="127">
        <v>23.6215</v>
      </c>
      <c r="G217" s="127">
        <v>-0.0053</v>
      </c>
      <c r="H217" s="127">
        <v>54.56</v>
      </c>
      <c r="I217" s="127">
        <v>52.92</v>
      </c>
      <c r="J217" s="127">
        <v>12.2739</v>
      </c>
      <c r="K217" s="127">
        <v>11.3076</v>
      </c>
      <c r="L217" s="127">
        <v>60.3</v>
      </c>
      <c r="M217" s="127">
        <v>58.0</v>
      </c>
      <c r="N217" s="127">
        <v>1.25033</v>
      </c>
      <c r="O217" s="127">
        <v>3.0271</v>
      </c>
      <c r="P217" s="127">
        <v>3.22093</v>
      </c>
      <c r="Q217" s="127">
        <v>2.86541</v>
      </c>
      <c r="R217" s="127" t="s">
        <v>1224</v>
      </c>
    </row>
    <row r="218">
      <c r="A218" s="127">
        <v>2021.0</v>
      </c>
      <c r="B218" s="127" t="s">
        <v>1224</v>
      </c>
      <c r="C218" s="127">
        <v>77.2345</v>
      </c>
      <c r="D218" s="127">
        <v>0.003732</v>
      </c>
      <c r="E218" s="127">
        <v>0.927985</v>
      </c>
      <c r="F218" s="127">
        <v>23.2338</v>
      </c>
      <c r="G218" s="127">
        <v>-0.32138</v>
      </c>
      <c r="H218" s="127">
        <v>53.94</v>
      </c>
      <c r="I218" s="127">
        <v>54.56</v>
      </c>
      <c r="J218" s="127">
        <v>12.1839</v>
      </c>
      <c r="K218" s="127">
        <v>12.2739</v>
      </c>
      <c r="L218" s="127">
        <v>60.0</v>
      </c>
      <c r="M218" s="127">
        <v>60.3</v>
      </c>
      <c r="N218" s="127">
        <v>2.40069</v>
      </c>
      <c r="O218" s="127">
        <v>1.25033</v>
      </c>
      <c r="P218" s="127">
        <v>1.83472</v>
      </c>
      <c r="Q218" s="127">
        <v>2.55373</v>
      </c>
      <c r="R218" s="127" t="s">
        <v>1224</v>
      </c>
    </row>
    <row r="219">
      <c r="A219" s="127">
        <v>2022.0</v>
      </c>
      <c r="B219" s="127" t="s">
        <v>1224</v>
      </c>
      <c r="C219" s="127">
        <v>86.979</v>
      </c>
      <c r="D219" s="127">
        <v>0.011513</v>
      </c>
      <c r="E219" s="127">
        <v>0.862879</v>
      </c>
      <c r="F219" s="127">
        <v>22.6796</v>
      </c>
      <c r="G219" s="127">
        <v>-0.42547</v>
      </c>
      <c r="H219" s="127">
        <v>55.52</v>
      </c>
      <c r="I219" s="127">
        <v>53.94</v>
      </c>
      <c r="J219" s="127">
        <v>18.1757</v>
      </c>
      <c r="K219" s="127">
        <v>12.1839</v>
      </c>
      <c r="L219" s="127">
        <v>64.3</v>
      </c>
      <c r="M219" s="127">
        <v>60.0</v>
      </c>
      <c r="N219" s="127">
        <v>4.3</v>
      </c>
      <c r="O219" s="127">
        <v>2.40069</v>
      </c>
      <c r="P219" s="127">
        <v>3.15651</v>
      </c>
      <c r="Q219" s="127">
        <v>8.5375</v>
      </c>
      <c r="R219" s="127" t="s">
        <v>1224</v>
      </c>
    </row>
    <row r="220">
      <c r="A220" s="127">
        <v>2023.0</v>
      </c>
      <c r="B220" s="127" t="s">
        <v>1224</v>
      </c>
      <c r="C220" s="127">
        <v>127.668</v>
      </c>
      <c r="D220" s="127">
        <v>0.016807</v>
      </c>
      <c r="E220" s="127">
        <v>0.771537</v>
      </c>
      <c r="F220" s="127">
        <v>21.9885</v>
      </c>
      <c r="G220" s="127">
        <v>-0.49898</v>
      </c>
      <c r="H220" s="127">
        <v>56.57</v>
      </c>
      <c r="I220" s="127">
        <v>55.52</v>
      </c>
      <c r="J220" s="127">
        <v>21.6149</v>
      </c>
      <c r="K220" s="127">
        <v>18.1757</v>
      </c>
      <c r="L220" s="127">
        <v>68.6</v>
      </c>
      <c r="M220" s="127">
        <v>64.3</v>
      </c>
      <c r="N220" s="127">
        <v>3.53034</v>
      </c>
      <c r="O220" s="127">
        <v>4.3</v>
      </c>
      <c r="P220" s="127">
        <v>3.25289</v>
      </c>
      <c r="Q220" s="127">
        <v>5.06502</v>
      </c>
      <c r="R220" s="127" t="s">
        <v>1224</v>
      </c>
    </row>
    <row r="221">
      <c r="A221" s="127">
        <v>2024.0</v>
      </c>
      <c r="B221" s="127" t="s">
        <v>1224</v>
      </c>
      <c r="C221" s="127">
        <v>213.407</v>
      </c>
      <c r="D221" s="127">
        <v>0.019669</v>
      </c>
      <c r="E221" s="127">
        <v>0.65205</v>
      </c>
      <c r="F221" s="127">
        <v>20.9463</v>
      </c>
      <c r="G221" s="127">
        <v>-0.64733</v>
      </c>
      <c r="H221" s="127">
        <v>57.56</v>
      </c>
      <c r="I221" s="127">
        <v>56.57</v>
      </c>
      <c r="J221" s="127">
        <v>23.6602</v>
      </c>
      <c r="K221" s="127">
        <v>21.6149</v>
      </c>
      <c r="L221" s="127">
        <v>71.3</v>
      </c>
      <c r="M221" s="127">
        <v>68.6</v>
      </c>
      <c r="N221" s="127"/>
      <c r="O221" s="127">
        <v>3.53034</v>
      </c>
      <c r="P221" s="127">
        <v>3.62109</v>
      </c>
      <c r="Q221" s="127">
        <v>7.09119</v>
      </c>
      <c r="R221" s="127" t="s">
        <v>1224</v>
      </c>
    </row>
    <row r="222">
      <c r="A222" s="127">
        <v>2015.0</v>
      </c>
      <c r="B222" s="127" t="s">
        <v>1392</v>
      </c>
      <c r="C222" s="127">
        <v>52.1888</v>
      </c>
      <c r="D222" s="127">
        <v>0.038976</v>
      </c>
      <c r="E222" s="127">
        <v>0.585009</v>
      </c>
      <c r="F222" s="127">
        <v>20.0063</v>
      </c>
      <c r="G222" s="127">
        <v>0.2525</v>
      </c>
      <c r="H222" s="127">
        <v>48.04</v>
      </c>
      <c r="I222" s="127">
        <v>46.98</v>
      </c>
      <c r="J222" s="127">
        <v>19.6496</v>
      </c>
      <c r="K222" s="127">
        <v>28.8466</v>
      </c>
      <c r="L222" s="127">
        <v>51.0</v>
      </c>
      <c r="M222" s="127">
        <v>46.0</v>
      </c>
      <c r="N222" s="127">
        <v>4.1328</v>
      </c>
      <c r="O222" s="128"/>
      <c r="P222" s="127">
        <v>0.631201</v>
      </c>
      <c r="Q222" s="127">
        <v>6.98715</v>
      </c>
      <c r="R222" s="127" t="s">
        <v>1392</v>
      </c>
    </row>
    <row r="223">
      <c r="A223" s="127">
        <v>2016.0</v>
      </c>
      <c r="B223" s="127" t="s">
        <v>1392</v>
      </c>
      <c r="C223" s="127">
        <v>53.0125</v>
      </c>
      <c r="D223" s="127">
        <v>0.036004</v>
      </c>
      <c r="E223" s="127">
        <v>0.623458</v>
      </c>
      <c r="F223" s="127">
        <v>20.0043</v>
      </c>
      <c r="G223" s="127">
        <v>-0.00199</v>
      </c>
      <c r="H223" s="127">
        <v>49.34</v>
      </c>
      <c r="I223" s="127">
        <v>48.04</v>
      </c>
      <c r="J223" s="127">
        <v>14.0523</v>
      </c>
      <c r="K223" s="127">
        <v>19.6496</v>
      </c>
      <c r="L223" s="127">
        <v>54.2</v>
      </c>
      <c r="M223" s="127">
        <v>51.0</v>
      </c>
      <c r="N223" s="127">
        <v>2.90517</v>
      </c>
      <c r="O223" s="127">
        <v>4.1328</v>
      </c>
      <c r="P223" s="127">
        <v>2.66825</v>
      </c>
      <c r="Q223" s="127">
        <v>6.69001</v>
      </c>
      <c r="R223" s="127" t="s">
        <v>1392</v>
      </c>
    </row>
    <row r="224">
      <c r="A224" s="127">
        <v>2017.0</v>
      </c>
      <c r="B224" s="127" t="s">
        <v>1392</v>
      </c>
      <c r="C224" s="127">
        <v>68.3906</v>
      </c>
      <c r="D224" s="127">
        <v>0.059614</v>
      </c>
      <c r="E224" s="127">
        <v>0.688213</v>
      </c>
      <c r="F224" s="127">
        <v>20.6578</v>
      </c>
      <c r="G224" s="127">
        <v>0.92234</v>
      </c>
      <c r="H224" s="127">
        <v>50.65</v>
      </c>
      <c r="I224" s="127">
        <v>49.34</v>
      </c>
      <c r="J224" s="127">
        <v>12.4741</v>
      </c>
      <c r="K224" s="127">
        <v>14.0523</v>
      </c>
      <c r="L224" s="127">
        <v>56.8</v>
      </c>
      <c r="M224" s="127">
        <v>54.2</v>
      </c>
      <c r="N224" s="127">
        <v>3.48473</v>
      </c>
      <c r="O224" s="127">
        <v>2.90517</v>
      </c>
      <c r="P224" s="127">
        <v>3.52026</v>
      </c>
      <c r="Q224" s="127">
        <v>6.94019</v>
      </c>
      <c r="R224" s="127" t="s">
        <v>1392</v>
      </c>
    </row>
    <row r="225">
      <c r="A225" s="127">
        <v>2018.0</v>
      </c>
      <c r="B225" s="127" t="s">
        <v>1392</v>
      </c>
      <c r="C225" s="127">
        <v>43.9995</v>
      </c>
      <c r="D225" s="127">
        <v>0.03542</v>
      </c>
      <c r="E225" s="127">
        <v>0.716846</v>
      </c>
      <c r="F225" s="127">
        <v>20.9163</v>
      </c>
      <c r="G225" s="127">
        <v>0.29498</v>
      </c>
      <c r="H225" s="127">
        <v>51.32</v>
      </c>
      <c r="I225" s="127">
        <v>50.65</v>
      </c>
      <c r="J225" s="127">
        <v>11.3396</v>
      </c>
      <c r="K225" s="127">
        <v>12.4741</v>
      </c>
      <c r="L225" s="127">
        <v>61.1</v>
      </c>
      <c r="M225" s="127">
        <v>56.8</v>
      </c>
      <c r="N225" s="127">
        <v>4.70567</v>
      </c>
      <c r="O225" s="127">
        <v>3.48473</v>
      </c>
      <c r="P225" s="127">
        <v>3.53963</v>
      </c>
      <c r="Q225" s="127">
        <v>7.46501</v>
      </c>
      <c r="R225" s="127" t="s">
        <v>1392</v>
      </c>
    </row>
    <row r="226">
      <c r="A226" s="127">
        <v>2019.0</v>
      </c>
      <c r="B226" s="127" t="s">
        <v>1392</v>
      </c>
      <c r="C226" s="127">
        <v>51.0346</v>
      </c>
      <c r="D226" s="127">
        <v>0.032713</v>
      </c>
      <c r="E226" s="127">
        <v>0.721959</v>
      </c>
      <c r="F226" s="127">
        <v>20.9454</v>
      </c>
      <c r="G226" s="127">
        <v>0.02949</v>
      </c>
      <c r="H226" s="127">
        <v>52.92</v>
      </c>
      <c r="I226" s="127">
        <v>51.32</v>
      </c>
      <c r="J226" s="127">
        <v>11.3076</v>
      </c>
      <c r="K226" s="127">
        <v>11.3396</v>
      </c>
      <c r="L226" s="127">
        <v>66.2</v>
      </c>
      <c r="M226" s="127">
        <v>61.1</v>
      </c>
      <c r="N226" s="127">
        <v>4.3715</v>
      </c>
      <c r="O226" s="127">
        <v>4.70567</v>
      </c>
      <c r="P226" s="127">
        <v>2.79582</v>
      </c>
      <c r="Q226" s="127">
        <v>7.35926</v>
      </c>
      <c r="R226" s="127" t="s">
        <v>1392</v>
      </c>
    </row>
    <row r="227">
      <c r="A227" s="127">
        <v>2020.0</v>
      </c>
      <c r="B227" s="127" t="s">
        <v>1392</v>
      </c>
      <c r="C227" s="127">
        <v>85.7121</v>
      </c>
      <c r="D227" s="127">
        <v>0.046258</v>
      </c>
      <c r="E227" s="127">
        <v>0.744977</v>
      </c>
      <c r="F227" s="127">
        <v>21.0874</v>
      </c>
      <c r="G227" s="127">
        <v>0.15261</v>
      </c>
      <c r="H227" s="127">
        <v>54.56</v>
      </c>
      <c r="I227" s="127">
        <v>52.92</v>
      </c>
      <c r="J227" s="127">
        <v>12.2739</v>
      </c>
      <c r="K227" s="127">
        <v>11.3076</v>
      </c>
      <c r="L227" s="127">
        <v>69.8</v>
      </c>
      <c r="M227" s="127">
        <v>66.2</v>
      </c>
      <c r="N227" s="127">
        <v>3.65011</v>
      </c>
      <c r="O227" s="127">
        <v>4.3715</v>
      </c>
      <c r="P227" s="127">
        <v>3.22093</v>
      </c>
      <c r="Q227" s="127">
        <v>2.86541</v>
      </c>
      <c r="R227" s="127" t="s">
        <v>1392</v>
      </c>
    </row>
    <row r="228">
      <c r="A228" s="127">
        <v>2021.0</v>
      </c>
      <c r="B228" s="127" t="s">
        <v>1392</v>
      </c>
      <c r="C228" s="127">
        <v>152.675</v>
      </c>
      <c r="D228" s="127">
        <v>0.064239</v>
      </c>
      <c r="E228" s="127">
        <v>0.735206</v>
      </c>
      <c r="F228" s="127">
        <v>21.9004</v>
      </c>
      <c r="G228" s="127">
        <v>1.25471</v>
      </c>
      <c r="H228" s="127">
        <v>53.94</v>
      </c>
      <c r="I228" s="127">
        <v>54.56</v>
      </c>
      <c r="J228" s="127">
        <v>12.1839</v>
      </c>
      <c r="K228" s="127">
        <v>12.2739</v>
      </c>
      <c r="L228" s="127">
        <v>73.5</v>
      </c>
      <c r="M228" s="127">
        <v>69.8</v>
      </c>
      <c r="N228" s="127">
        <v>3.75011</v>
      </c>
      <c r="O228" s="127">
        <v>3.65011</v>
      </c>
      <c r="P228" s="127">
        <v>1.83472</v>
      </c>
      <c r="Q228" s="127">
        <v>2.55373</v>
      </c>
      <c r="R228" s="127" t="s">
        <v>1392</v>
      </c>
    </row>
    <row r="229">
      <c r="A229" s="127">
        <v>2022.0</v>
      </c>
      <c r="B229" s="127" t="s">
        <v>1392</v>
      </c>
      <c r="C229" s="127">
        <v>119.108</v>
      </c>
      <c r="D229" s="127">
        <v>0.031393</v>
      </c>
      <c r="E229" s="127">
        <v>0.62659</v>
      </c>
      <c r="F229" s="127">
        <v>22.1273</v>
      </c>
      <c r="G229" s="127">
        <v>0.25472</v>
      </c>
      <c r="H229" s="127">
        <v>55.52</v>
      </c>
      <c r="I229" s="127">
        <v>53.94</v>
      </c>
      <c r="J229" s="127">
        <v>18.1757</v>
      </c>
      <c r="K229" s="127">
        <v>12.1839</v>
      </c>
      <c r="L229" s="127">
        <v>77.3</v>
      </c>
      <c r="M229" s="127">
        <v>73.5</v>
      </c>
      <c r="N229" s="127">
        <v>2.81603</v>
      </c>
      <c r="O229" s="127">
        <v>3.75011</v>
      </c>
      <c r="P229" s="127">
        <v>3.15651</v>
      </c>
      <c r="Q229" s="127">
        <v>8.5375</v>
      </c>
      <c r="R229" s="127" t="s">
        <v>1392</v>
      </c>
    </row>
    <row r="230">
      <c r="A230" s="127">
        <v>2023.0</v>
      </c>
      <c r="B230" s="127" t="s">
        <v>1392</v>
      </c>
      <c r="C230" s="127">
        <v>509.761</v>
      </c>
      <c r="D230" s="127">
        <v>0.048446</v>
      </c>
      <c r="E230" s="127">
        <v>0.604528</v>
      </c>
      <c r="F230" s="127">
        <v>22.1512</v>
      </c>
      <c r="G230" s="127">
        <v>0.02417</v>
      </c>
      <c r="H230" s="127">
        <v>56.57</v>
      </c>
      <c r="I230" s="127">
        <v>55.52</v>
      </c>
      <c r="J230" s="127">
        <v>21.6149</v>
      </c>
      <c r="K230" s="127">
        <v>18.1757</v>
      </c>
      <c r="L230" s="127">
        <v>79.0</v>
      </c>
      <c r="M230" s="127">
        <v>77.3</v>
      </c>
      <c r="N230" s="127">
        <v>2.54231</v>
      </c>
      <c r="O230" s="127">
        <v>2.81603</v>
      </c>
      <c r="P230" s="127">
        <v>3.25289</v>
      </c>
      <c r="Q230" s="127">
        <v>5.06502</v>
      </c>
      <c r="R230" s="127" t="s">
        <v>1392</v>
      </c>
    </row>
    <row r="231">
      <c r="A231" s="127">
        <v>2024.0</v>
      </c>
      <c r="B231" s="127" t="s">
        <v>1392</v>
      </c>
      <c r="C231" s="127">
        <v>336.386</v>
      </c>
      <c r="D231" s="127">
        <v>0.038795</v>
      </c>
      <c r="E231" s="127">
        <v>0.554912</v>
      </c>
      <c r="F231" s="127">
        <v>22.0139</v>
      </c>
      <c r="G231" s="127">
        <v>-0.12832</v>
      </c>
      <c r="H231" s="127">
        <v>57.56</v>
      </c>
      <c r="I231" s="127">
        <v>56.57</v>
      </c>
      <c r="J231" s="127">
        <v>23.6602</v>
      </c>
      <c r="K231" s="127">
        <v>21.6149</v>
      </c>
      <c r="L231" s="127">
        <v>82.3</v>
      </c>
      <c r="M231" s="127">
        <v>79.0</v>
      </c>
      <c r="N231" s="127"/>
      <c r="O231" s="127">
        <v>2.54231</v>
      </c>
      <c r="P231" s="127">
        <v>3.62109</v>
      </c>
      <c r="Q231" s="127">
        <v>7.09119</v>
      </c>
      <c r="R231" s="127" t="s">
        <v>1392</v>
      </c>
    </row>
    <row r="232">
      <c r="A232" s="127">
        <v>2015.0</v>
      </c>
      <c r="B232" s="127" t="s">
        <v>595</v>
      </c>
      <c r="C232" s="127">
        <v>1750.0</v>
      </c>
      <c r="D232" s="127">
        <v>0.283</v>
      </c>
      <c r="E232" s="127">
        <v>0.238526</v>
      </c>
      <c r="F232" s="127">
        <v>24.4142</v>
      </c>
      <c r="G232" s="127">
        <v>0.1428</v>
      </c>
      <c r="H232" s="127">
        <v>48.04</v>
      </c>
      <c r="I232" s="127">
        <v>46.98</v>
      </c>
      <c r="J232" s="127">
        <v>19.6496</v>
      </c>
      <c r="K232" s="127">
        <v>28.8466</v>
      </c>
      <c r="L232" s="127">
        <v>65.5</v>
      </c>
      <c r="M232" s="127">
        <v>62.8</v>
      </c>
      <c r="N232" s="127">
        <v>3.69098</v>
      </c>
      <c r="O232" s="128"/>
      <c r="P232" s="127">
        <v>0.631201</v>
      </c>
      <c r="Q232" s="127">
        <v>6.98715</v>
      </c>
      <c r="R232" s="127" t="s">
        <v>595</v>
      </c>
    </row>
    <row r="233">
      <c r="A233" s="127">
        <v>2016.0</v>
      </c>
      <c r="B233" s="127" t="s">
        <v>595</v>
      </c>
      <c r="C233" s="127">
        <v>2400.0</v>
      </c>
      <c r="D233" s="127">
        <v>0.319</v>
      </c>
      <c r="E233" s="127">
        <v>0.237339</v>
      </c>
      <c r="F233" s="127">
        <v>24.569</v>
      </c>
      <c r="G233" s="127">
        <v>0.16751</v>
      </c>
      <c r="H233" s="127">
        <v>49.34</v>
      </c>
      <c r="I233" s="127">
        <v>48.04</v>
      </c>
      <c r="J233" s="127">
        <v>14.0523</v>
      </c>
      <c r="K233" s="127">
        <v>19.6496</v>
      </c>
      <c r="L233" s="127">
        <v>70.1</v>
      </c>
      <c r="M233" s="127">
        <v>65.5</v>
      </c>
      <c r="N233" s="127">
        <v>4.2548</v>
      </c>
      <c r="O233" s="127">
        <v>3.69098</v>
      </c>
      <c r="P233" s="127">
        <v>2.66825</v>
      </c>
      <c r="Q233" s="127">
        <v>6.69001</v>
      </c>
      <c r="R233" s="127" t="s">
        <v>595</v>
      </c>
    </row>
    <row r="234">
      <c r="A234" s="127">
        <v>2017.0</v>
      </c>
      <c r="B234" s="127" t="s">
        <v>595</v>
      </c>
      <c r="C234" s="127">
        <v>4230.0</v>
      </c>
      <c r="D234" s="127">
        <v>0.296</v>
      </c>
      <c r="E234" s="127">
        <v>0.311367</v>
      </c>
      <c r="F234" s="127">
        <v>24.6559</v>
      </c>
      <c r="G234" s="127">
        <v>0.09075</v>
      </c>
      <c r="H234" s="127">
        <v>50.65</v>
      </c>
      <c r="I234" s="127">
        <v>49.34</v>
      </c>
      <c r="J234" s="127">
        <v>12.4741</v>
      </c>
      <c r="K234" s="127">
        <v>14.0523</v>
      </c>
      <c r="L234" s="127">
        <v>74.0</v>
      </c>
      <c r="M234" s="127">
        <v>70.1</v>
      </c>
      <c r="N234" s="127">
        <v>4.10163</v>
      </c>
      <c r="O234" s="127">
        <v>4.2548</v>
      </c>
      <c r="P234" s="127">
        <v>3.52026</v>
      </c>
      <c r="Q234" s="127">
        <v>6.94019</v>
      </c>
      <c r="R234" s="127" t="s">
        <v>595</v>
      </c>
    </row>
    <row r="235">
      <c r="A235" s="127">
        <v>2018.0</v>
      </c>
      <c r="B235" s="127" t="s">
        <v>595</v>
      </c>
      <c r="C235" s="127">
        <v>2780.0</v>
      </c>
      <c r="D235" s="127">
        <v>0.273</v>
      </c>
      <c r="E235" s="127">
        <v>0.29692</v>
      </c>
      <c r="F235" s="127">
        <v>24.6853</v>
      </c>
      <c r="G235" s="127">
        <v>0.0298</v>
      </c>
      <c r="H235" s="127">
        <v>51.32</v>
      </c>
      <c r="I235" s="127">
        <v>50.65</v>
      </c>
      <c r="J235" s="127">
        <v>11.3396</v>
      </c>
      <c r="K235" s="127">
        <v>12.4741</v>
      </c>
      <c r="L235" s="127">
        <v>78.3</v>
      </c>
      <c r="M235" s="127">
        <v>74.0</v>
      </c>
      <c r="N235" s="127">
        <v>3.62261</v>
      </c>
      <c r="O235" s="127">
        <v>4.10163</v>
      </c>
      <c r="P235" s="127">
        <v>3.53963</v>
      </c>
      <c r="Q235" s="127">
        <v>7.46501</v>
      </c>
      <c r="R235" s="127" t="s">
        <v>595</v>
      </c>
    </row>
    <row r="236">
      <c r="A236" s="127">
        <v>2019.0</v>
      </c>
      <c r="B236" s="127" t="s">
        <v>595</v>
      </c>
      <c r="C236" s="127">
        <v>2810.0</v>
      </c>
      <c r="D236" s="127">
        <v>0.236</v>
      </c>
      <c r="E236" s="127">
        <v>0.334869</v>
      </c>
      <c r="F236" s="127">
        <v>24.7543</v>
      </c>
      <c r="G236" s="127">
        <v>0.07146</v>
      </c>
      <c r="H236" s="127">
        <v>52.92</v>
      </c>
      <c r="I236" s="127">
        <v>51.32</v>
      </c>
      <c r="J236" s="127">
        <v>11.3076</v>
      </c>
      <c r="K236" s="127">
        <v>11.3396</v>
      </c>
      <c r="L236" s="127">
        <v>81.2</v>
      </c>
      <c r="M236" s="127">
        <v>78.3</v>
      </c>
      <c r="N236" s="127">
        <v>4.32088</v>
      </c>
      <c r="O236" s="127">
        <v>3.62261</v>
      </c>
      <c r="P236" s="127">
        <v>2.79582</v>
      </c>
      <c r="Q236" s="127">
        <v>7.35926</v>
      </c>
      <c r="R236" s="127" t="s">
        <v>595</v>
      </c>
    </row>
    <row r="237">
      <c r="A237" s="127">
        <v>2020.0</v>
      </c>
      <c r="B237" s="127" t="s">
        <v>595</v>
      </c>
      <c r="C237" s="127">
        <v>2990.0</v>
      </c>
      <c r="D237" s="127">
        <v>0.232</v>
      </c>
      <c r="E237" s="127">
        <v>0.305278</v>
      </c>
      <c r="F237" s="127">
        <v>24.8115</v>
      </c>
      <c r="G237" s="127">
        <v>0.05892</v>
      </c>
      <c r="H237" s="127">
        <v>54.56</v>
      </c>
      <c r="I237" s="127">
        <v>52.92</v>
      </c>
      <c r="J237" s="127">
        <v>12.2739</v>
      </c>
      <c r="K237" s="127">
        <v>11.3076</v>
      </c>
      <c r="L237" s="127">
        <v>86.8</v>
      </c>
      <c r="M237" s="127">
        <v>81.2</v>
      </c>
      <c r="N237" s="127">
        <v>3.78065</v>
      </c>
      <c r="O237" s="127">
        <v>4.32088</v>
      </c>
      <c r="P237" s="127">
        <v>3.22093</v>
      </c>
      <c r="Q237" s="127">
        <v>2.86541</v>
      </c>
      <c r="R237" s="127" t="s">
        <v>595</v>
      </c>
    </row>
    <row r="238">
      <c r="A238" s="127">
        <v>2021.0</v>
      </c>
      <c r="B238" s="127" t="s">
        <v>595</v>
      </c>
      <c r="C238" s="127">
        <v>2650.0</v>
      </c>
      <c r="D238" s="127">
        <v>0.199</v>
      </c>
      <c r="E238" s="127">
        <v>0.327799</v>
      </c>
      <c r="F238" s="127">
        <v>24.8328</v>
      </c>
      <c r="G238" s="127">
        <v>0.02151</v>
      </c>
      <c r="H238" s="127">
        <v>53.94</v>
      </c>
      <c r="I238" s="127">
        <v>54.56</v>
      </c>
      <c r="J238" s="127">
        <v>12.1839</v>
      </c>
      <c r="K238" s="127">
        <v>12.2739</v>
      </c>
      <c r="L238" s="127">
        <v>88.4</v>
      </c>
      <c r="M238" s="127">
        <v>86.8</v>
      </c>
      <c r="N238" s="127">
        <v>1.75214</v>
      </c>
      <c r="O238" s="127">
        <v>3.78065</v>
      </c>
      <c r="P238" s="127">
        <v>1.83472</v>
      </c>
      <c r="Q238" s="127">
        <v>2.55373</v>
      </c>
      <c r="R238" s="127" t="s">
        <v>595</v>
      </c>
    </row>
    <row r="239">
      <c r="A239" s="127">
        <v>2022.0</v>
      </c>
      <c r="B239" s="127" t="s">
        <v>595</v>
      </c>
      <c r="C239" s="127">
        <v>2750.0</v>
      </c>
      <c r="D239" s="127">
        <v>0.177</v>
      </c>
      <c r="E239" s="127">
        <v>0.323129</v>
      </c>
      <c r="F239" s="127">
        <v>24.8169</v>
      </c>
      <c r="G239" s="127">
        <v>-0.01581</v>
      </c>
      <c r="H239" s="127">
        <v>55.52</v>
      </c>
      <c r="I239" s="127">
        <v>53.94</v>
      </c>
      <c r="J239" s="127">
        <v>18.1757</v>
      </c>
      <c r="K239" s="127">
        <v>12.1839</v>
      </c>
      <c r="L239" s="127">
        <v>90.3</v>
      </c>
      <c r="M239" s="127">
        <v>88.4</v>
      </c>
      <c r="N239" s="127">
        <v>2.15484</v>
      </c>
      <c r="O239" s="127">
        <v>1.75214</v>
      </c>
      <c r="P239" s="127">
        <v>3.15651</v>
      </c>
      <c r="Q239" s="127">
        <v>8.5375</v>
      </c>
      <c r="R239" s="127" t="s">
        <v>595</v>
      </c>
    </row>
    <row r="240">
      <c r="A240" s="127">
        <v>2023.0</v>
      </c>
      <c r="B240" s="127" t="s">
        <v>595</v>
      </c>
      <c r="C240" s="127">
        <v>2340.0</v>
      </c>
      <c r="D240" s="127">
        <v>0.171</v>
      </c>
      <c r="E240" s="127">
        <v>0.335039</v>
      </c>
      <c r="F240" s="127">
        <v>24.8237</v>
      </c>
      <c r="G240" s="127">
        <v>0.00688</v>
      </c>
      <c r="H240" s="127">
        <v>56.57</v>
      </c>
      <c r="I240" s="127">
        <v>55.52</v>
      </c>
      <c r="J240" s="127">
        <v>21.6149</v>
      </c>
      <c r="K240" s="127">
        <v>18.1757</v>
      </c>
      <c r="L240" s="127">
        <v>92.7</v>
      </c>
      <c r="M240" s="127">
        <v>90.3</v>
      </c>
      <c r="N240" s="127">
        <v>2.01329</v>
      </c>
      <c r="O240" s="127">
        <v>2.15484</v>
      </c>
      <c r="P240" s="127">
        <v>3.25289</v>
      </c>
      <c r="Q240" s="127">
        <v>5.06502</v>
      </c>
      <c r="R240" s="127" t="s">
        <v>595</v>
      </c>
    </row>
    <row r="241">
      <c r="A241" s="127">
        <v>2024.0</v>
      </c>
      <c r="B241" s="127" t="s">
        <v>595</v>
      </c>
      <c r="C241" s="127">
        <v>2220.0</v>
      </c>
      <c r="D241" s="127">
        <v>0.172</v>
      </c>
      <c r="E241" s="127">
        <v>0.34287</v>
      </c>
      <c r="F241" s="127">
        <v>24.8469</v>
      </c>
      <c r="G241" s="127">
        <v>0.02342</v>
      </c>
      <c r="H241" s="127">
        <v>57.56</v>
      </c>
      <c r="I241" s="127">
        <v>56.57</v>
      </c>
      <c r="J241" s="127">
        <v>23.6602</v>
      </c>
      <c r="K241" s="127">
        <v>21.6149</v>
      </c>
      <c r="L241" s="127">
        <v>94.3</v>
      </c>
      <c r="M241" s="127">
        <v>92.7</v>
      </c>
      <c r="N241" s="127"/>
      <c r="O241" s="127">
        <v>2.01329</v>
      </c>
      <c r="P241" s="127">
        <v>3.62109</v>
      </c>
      <c r="Q241" s="127">
        <v>7.09119</v>
      </c>
      <c r="R241" s="127" t="s">
        <v>595</v>
      </c>
    </row>
    <row r="242">
      <c r="A242" s="127">
        <v>2015.0</v>
      </c>
      <c r="B242" s="127" t="s">
        <v>1280</v>
      </c>
      <c r="C242" s="127">
        <v>76.6328</v>
      </c>
      <c r="D242" s="127">
        <v>-0.063818</v>
      </c>
      <c r="E242" s="127">
        <v>0.782513</v>
      </c>
      <c r="F242" s="127">
        <v>21.239</v>
      </c>
      <c r="G242" s="127">
        <v>-0.17777</v>
      </c>
      <c r="H242" s="127">
        <v>48.04</v>
      </c>
      <c r="I242" s="127">
        <v>46.98</v>
      </c>
      <c r="J242" s="127">
        <v>19.6496</v>
      </c>
      <c r="K242" s="127">
        <v>28.8466</v>
      </c>
      <c r="L242" s="127">
        <v>33.4</v>
      </c>
      <c r="M242" s="127">
        <v>32.3</v>
      </c>
      <c r="N242" s="127">
        <v>1.73494</v>
      </c>
      <c r="O242" s="128"/>
      <c r="P242" s="127">
        <v>0.631201</v>
      </c>
      <c r="Q242" s="127">
        <v>6.98715</v>
      </c>
      <c r="R242" s="127" t="s">
        <v>1280</v>
      </c>
    </row>
    <row r="243">
      <c r="A243" s="127">
        <v>2016.0</v>
      </c>
      <c r="B243" s="127" t="s">
        <v>1280</v>
      </c>
      <c r="C243" s="127">
        <v>32.2104</v>
      </c>
      <c r="D243" s="127">
        <v>-0.084738</v>
      </c>
      <c r="E243" s="127">
        <v>0.851653</v>
      </c>
      <c r="F243" s="127">
        <v>20.9529</v>
      </c>
      <c r="G243" s="127">
        <v>-0.24884</v>
      </c>
      <c r="H243" s="127">
        <v>49.34</v>
      </c>
      <c r="I243" s="127">
        <v>48.04</v>
      </c>
      <c r="J243" s="127">
        <v>14.0523</v>
      </c>
      <c r="K243" s="127">
        <v>19.6496</v>
      </c>
      <c r="L243" s="127">
        <v>35.7</v>
      </c>
      <c r="M243" s="127">
        <v>33.4</v>
      </c>
      <c r="N243" s="127">
        <v>2.55408</v>
      </c>
      <c r="O243" s="127">
        <v>1.73494</v>
      </c>
      <c r="P243" s="127">
        <v>2.66825</v>
      </c>
      <c r="Q243" s="127">
        <v>6.69001</v>
      </c>
      <c r="R243" s="127" t="s">
        <v>1280</v>
      </c>
    </row>
    <row r="244">
      <c r="A244" s="127">
        <v>2017.0</v>
      </c>
      <c r="B244" s="127" t="s">
        <v>1280</v>
      </c>
      <c r="C244" s="127">
        <v>114.148</v>
      </c>
      <c r="D244" s="127">
        <v>0.002779</v>
      </c>
      <c r="E244" s="127">
        <v>0.834791</v>
      </c>
      <c r="F244" s="127">
        <v>21.2007</v>
      </c>
      <c r="G244" s="127">
        <v>0.28123</v>
      </c>
      <c r="H244" s="127">
        <v>50.65</v>
      </c>
      <c r="I244" s="127">
        <v>49.34</v>
      </c>
      <c r="J244" s="127">
        <v>12.4741</v>
      </c>
      <c r="K244" s="127">
        <v>14.0523</v>
      </c>
      <c r="L244" s="127">
        <v>38.5</v>
      </c>
      <c r="M244" s="127">
        <v>35.7</v>
      </c>
      <c r="N244" s="127">
        <v>2.75015</v>
      </c>
      <c r="O244" s="127">
        <v>2.55408</v>
      </c>
      <c r="P244" s="127">
        <v>3.52026</v>
      </c>
      <c r="Q244" s="127">
        <v>6.94019</v>
      </c>
      <c r="R244" s="127" t="s">
        <v>1280</v>
      </c>
    </row>
    <row r="245">
      <c r="A245" s="127">
        <v>2018.0</v>
      </c>
      <c r="B245" s="127" t="s">
        <v>1280</v>
      </c>
      <c r="C245" s="127">
        <v>59.0911</v>
      </c>
      <c r="D245" s="127">
        <v>0.004701</v>
      </c>
      <c r="E245" s="127">
        <v>0.820463</v>
      </c>
      <c r="F245" s="127">
        <v>21.2438</v>
      </c>
      <c r="G245" s="127">
        <v>0.04404</v>
      </c>
      <c r="H245" s="127">
        <v>51.32</v>
      </c>
      <c r="I245" s="127">
        <v>50.65</v>
      </c>
      <c r="J245" s="127">
        <v>11.3396</v>
      </c>
      <c r="K245" s="127">
        <v>12.4741</v>
      </c>
      <c r="L245" s="127">
        <v>41.2</v>
      </c>
      <c r="M245" s="127">
        <v>38.5</v>
      </c>
      <c r="N245" s="127">
        <v>2.65016</v>
      </c>
      <c r="O245" s="127">
        <v>2.75015</v>
      </c>
      <c r="P245" s="127">
        <v>3.53963</v>
      </c>
      <c r="Q245" s="127">
        <v>7.46501</v>
      </c>
      <c r="R245" s="127" t="s">
        <v>1280</v>
      </c>
    </row>
    <row r="246">
      <c r="A246" s="127">
        <v>2019.0</v>
      </c>
      <c r="B246" s="127" t="s">
        <v>1280</v>
      </c>
      <c r="C246" s="127">
        <v>69.6833</v>
      </c>
      <c r="D246" s="127">
        <v>0.015613</v>
      </c>
      <c r="E246" s="127">
        <v>0.773229</v>
      </c>
      <c r="F246" s="127">
        <v>21.154</v>
      </c>
      <c r="G246" s="127">
        <v>-0.08589</v>
      </c>
      <c r="H246" s="127">
        <v>52.92</v>
      </c>
      <c r="I246" s="127">
        <v>51.32</v>
      </c>
      <c r="J246" s="127">
        <v>11.3076</v>
      </c>
      <c r="K246" s="127">
        <v>11.3396</v>
      </c>
      <c r="L246" s="127">
        <v>43.8</v>
      </c>
      <c r="M246" s="127">
        <v>41.2</v>
      </c>
      <c r="N246" s="127">
        <v>2.50067</v>
      </c>
      <c r="O246" s="127">
        <v>2.65016</v>
      </c>
      <c r="P246" s="127">
        <v>2.79582</v>
      </c>
      <c r="Q246" s="127">
        <v>7.35926</v>
      </c>
      <c r="R246" s="127" t="s">
        <v>1280</v>
      </c>
    </row>
    <row r="247">
      <c r="A247" s="127">
        <v>2020.0</v>
      </c>
      <c r="B247" s="127" t="s">
        <v>1280</v>
      </c>
      <c r="C247" s="127">
        <v>108.017</v>
      </c>
      <c r="D247" s="127">
        <v>-0.066975</v>
      </c>
      <c r="E247" s="127">
        <v>0.818131</v>
      </c>
      <c r="F247" s="127">
        <v>20.968</v>
      </c>
      <c r="G247" s="127">
        <v>-0.16974</v>
      </c>
      <c r="H247" s="127">
        <v>54.56</v>
      </c>
      <c r="I247" s="127">
        <v>52.92</v>
      </c>
      <c r="J247" s="127">
        <v>12.2739</v>
      </c>
      <c r="K247" s="127">
        <v>11.3076</v>
      </c>
      <c r="L247" s="127">
        <v>46.2</v>
      </c>
      <c r="M247" s="127">
        <v>43.8</v>
      </c>
      <c r="N247" s="127">
        <v>4.38216</v>
      </c>
      <c r="O247" s="127">
        <v>2.50067</v>
      </c>
      <c r="P247" s="127">
        <v>3.22093</v>
      </c>
      <c r="Q247" s="127">
        <v>2.86541</v>
      </c>
      <c r="R247" s="127" t="s">
        <v>1280</v>
      </c>
    </row>
    <row r="248">
      <c r="A248" s="127">
        <v>2021.0</v>
      </c>
      <c r="B248" s="127" t="s">
        <v>1280</v>
      </c>
      <c r="C248" s="127">
        <v>902.096</v>
      </c>
      <c r="D248" s="127">
        <v>0.178512</v>
      </c>
      <c r="E248" s="127">
        <v>0.632599</v>
      </c>
      <c r="F248" s="127">
        <v>21.0766</v>
      </c>
      <c r="G248" s="127">
        <v>0.11476</v>
      </c>
      <c r="H248" s="127">
        <v>53.94</v>
      </c>
      <c r="I248" s="127">
        <v>54.56</v>
      </c>
      <c r="J248" s="127">
        <v>12.1839</v>
      </c>
      <c r="K248" s="127">
        <v>12.2739</v>
      </c>
      <c r="L248" s="127">
        <v>52.3</v>
      </c>
      <c r="M248" s="127">
        <v>46.2</v>
      </c>
      <c r="N248" s="127">
        <v>4.9034</v>
      </c>
      <c r="O248" s="127">
        <v>4.38216</v>
      </c>
      <c r="P248" s="127">
        <v>1.83472</v>
      </c>
      <c r="Q248" s="127">
        <v>2.55373</v>
      </c>
      <c r="R248" s="127" t="s">
        <v>1280</v>
      </c>
    </row>
    <row r="249">
      <c r="A249" s="127">
        <v>2022.0</v>
      </c>
      <c r="B249" s="127" t="s">
        <v>1280</v>
      </c>
      <c r="C249" s="127">
        <v>569.744</v>
      </c>
      <c r="D249" s="127">
        <v>0.182197</v>
      </c>
      <c r="E249" s="127">
        <v>0.429425</v>
      </c>
      <c r="F249" s="127">
        <v>21.6072</v>
      </c>
      <c r="G249" s="127">
        <v>0.69991</v>
      </c>
      <c r="H249" s="127">
        <v>55.52</v>
      </c>
      <c r="I249" s="127">
        <v>53.94</v>
      </c>
      <c r="J249" s="127">
        <v>18.1757</v>
      </c>
      <c r="K249" s="127">
        <v>12.1839</v>
      </c>
      <c r="L249" s="127">
        <v>55.9</v>
      </c>
      <c r="M249" s="127">
        <v>52.3</v>
      </c>
      <c r="N249" s="127">
        <v>3.8527</v>
      </c>
      <c r="O249" s="127">
        <v>4.9034</v>
      </c>
      <c r="P249" s="127">
        <v>3.15651</v>
      </c>
      <c r="Q249" s="127">
        <v>8.5375</v>
      </c>
      <c r="R249" s="127" t="s">
        <v>1280</v>
      </c>
    </row>
    <row r="250">
      <c r="A250" s="127">
        <v>2023.0</v>
      </c>
      <c r="B250" s="127" t="s">
        <v>1280</v>
      </c>
      <c r="C250" s="127">
        <v>547.532</v>
      </c>
      <c r="D250" s="127">
        <v>0.057224</v>
      </c>
      <c r="E250" s="127">
        <v>0.384143</v>
      </c>
      <c r="F250" s="127">
        <v>21.8825</v>
      </c>
      <c r="G250" s="127">
        <v>0.31691</v>
      </c>
      <c r="H250" s="127">
        <v>56.57</v>
      </c>
      <c r="I250" s="127">
        <v>55.52</v>
      </c>
      <c r="J250" s="127">
        <v>21.6149</v>
      </c>
      <c r="K250" s="127">
        <v>18.1757</v>
      </c>
      <c r="L250" s="127">
        <v>60.0</v>
      </c>
      <c r="M250" s="127">
        <v>55.9</v>
      </c>
      <c r="N250" s="127">
        <v>4.11</v>
      </c>
      <c r="O250" s="127">
        <v>3.8527</v>
      </c>
      <c r="P250" s="127">
        <v>3.25289</v>
      </c>
      <c r="Q250" s="127">
        <v>5.06502</v>
      </c>
      <c r="R250" s="127" t="s">
        <v>1280</v>
      </c>
    </row>
    <row r="251">
      <c r="A251" s="127">
        <v>2024.0</v>
      </c>
      <c r="B251" s="127" t="s">
        <v>1280</v>
      </c>
      <c r="C251" s="127">
        <v>766.552</v>
      </c>
      <c r="D251" s="127">
        <v>0.115957</v>
      </c>
      <c r="E251" s="127">
        <v>0.312075</v>
      </c>
      <c r="F251" s="127">
        <v>22.4418</v>
      </c>
      <c r="G251" s="127">
        <v>0.74939</v>
      </c>
      <c r="H251" s="127">
        <v>57.56</v>
      </c>
      <c r="I251" s="127">
        <v>56.57</v>
      </c>
      <c r="J251" s="127">
        <v>23.6602</v>
      </c>
      <c r="K251" s="127">
        <v>21.6149</v>
      </c>
      <c r="L251" s="127">
        <v>64.1</v>
      </c>
      <c r="M251" s="127">
        <v>60.0</v>
      </c>
      <c r="N251" s="127"/>
      <c r="O251" s="127">
        <v>4.11</v>
      </c>
      <c r="P251" s="127">
        <v>3.62109</v>
      </c>
      <c r="Q251" s="127">
        <v>7.09119</v>
      </c>
      <c r="R251" s="127" t="s">
        <v>1280</v>
      </c>
    </row>
    <row r="252">
      <c r="A252" s="127">
        <v>2015.0</v>
      </c>
      <c r="B252" s="127" t="s">
        <v>1336</v>
      </c>
      <c r="C252" s="127">
        <v>315.386</v>
      </c>
      <c r="D252" s="127">
        <v>-0.02669</v>
      </c>
      <c r="E252" s="127">
        <v>0.252446</v>
      </c>
      <c r="F252" s="127">
        <v>18.7079</v>
      </c>
      <c r="G252" s="127">
        <v>1.99581</v>
      </c>
      <c r="H252" s="127">
        <v>48.04</v>
      </c>
      <c r="I252" s="127">
        <v>46.98</v>
      </c>
      <c r="J252" s="127">
        <v>19.6496</v>
      </c>
      <c r="K252" s="127">
        <v>28.8466</v>
      </c>
      <c r="L252" s="127">
        <v>32.0</v>
      </c>
      <c r="M252" s="127">
        <v>27.3</v>
      </c>
      <c r="N252" s="127">
        <v>3.62569</v>
      </c>
      <c r="O252" s="128"/>
      <c r="P252" s="127">
        <v>0.631201</v>
      </c>
      <c r="Q252" s="127">
        <v>6.98715</v>
      </c>
      <c r="R252" s="127" t="s">
        <v>1336</v>
      </c>
    </row>
    <row r="253">
      <c r="A253" s="127">
        <v>2016.0</v>
      </c>
      <c r="B253" s="127" t="s">
        <v>1336</v>
      </c>
      <c r="C253" s="127">
        <v>773.491</v>
      </c>
      <c r="D253" s="127">
        <v>0.008834</v>
      </c>
      <c r="E253" s="127">
        <v>0.306252</v>
      </c>
      <c r="F253" s="127">
        <v>17.6789</v>
      </c>
      <c r="G253" s="127">
        <v>-0.64264</v>
      </c>
      <c r="H253" s="127">
        <v>49.34</v>
      </c>
      <c r="I253" s="127">
        <v>48.04</v>
      </c>
      <c r="J253" s="127">
        <v>14.0523</v>
      </c>
      <c r="K253" s="127">
        <v>19.6496</v>
      </c>
      <c r="L253" s="127">
        <v>34.4</v>
      </c>
      <c r="M253" s="127">
        <v>32.0</v>
      </c>
      <c r="N253" s="127">
        <v>2.95307</v>
      </c>
      <c r="O253" s="127">
        <v>3.62569</v>
      </c>
      <c r="P253" s="127">
        <v>2.66825</v>
      </c>
      <c r="Q253" s="127">
        <v>6.69001</v>
      </c>
      <c r="R253" s="127" t="s">
        <v>1336</v>
      </c>
    </row>
    <row r="254">
      <c r="A254" s="127">
        <v>2017.0</v>
      </c>
      <c r="B254" s="127" t="s">
        <v>1336</v>
      </c>
      <c r="C254" s="127">
        <v>241.202</v>
      </c>
      <c r="D254" s="127">
        <v>0.075795</v>
      </c>
      <c r="E254" s="127">
        <v>0.276939</v>
      </c>
      <c r="F254" s="127">
        <v>18.2101</v>
      </c>
      <c r="G254" s="127">
        <v>0.7009</v>
      </c>
      <c r="H254" s="127">
        <v>50.65</v>
      </c>
      <c r="I254" s="127">
        <v>49.34</v>
      </c>
      <c r="J254" s="127">
        <v>12.4741</v>
      </c>
      <c r="K254" s="127">
        <v>14.0523</v>
      </c>
      <c r="L254" s="127">
        <v>37.9</v>
      </c>
      <c r="M254" s="127">
        <v>34.4</v>
      </c>
      <c r="N254" s="127">
        <v>3.31672</v>
      </c>
      <c r="O254" s="127">
        <v>2.95307</v>
      </c>
      <c r="P254" s="127">
        <v>3.52026</v>
      </c>
      <c r="Q254" s="127">
        <v>6.94019</v>
      </c>
      <c r="R254" s="127" t="s">
        <v>1336</v>
      </c>
    </row>
    <row r="255">
      <c r="A255" s="127">
        <v>2018.0</v>
      </c>
      <c r="B255" s="127" t="s">
        <v>1336</v>
      </c>
      <c r="C255" s="127">
        <v>641.544</v>
      </c>
      <c r="D255" s="127">
        <v>0.197618</v>
      </c>
      <c r="E255" s="127">
        <v>0.285167</v>
      </c>
      <c r="F255" s="127">
        <v>17.4255</v>
      </c>
      <c r="G255" s="127">
        <v>-0.54369</v>
      </c>
      <c r="H255" s="127">
        <v>51.32</v>
      </c>
      <c r="I255" s="127">
        <v>50.65</v>
      </c>
      <c r="J255" s="127">
        <v>11.3396</v>
      </c>
      <c r="K255" s="127">
        <v>12.4741</v>
      </c>
      <c r="L255" s="127">
        <v>41.0</v>
      </c>
      <c r="M255" s="127">
        <v>37.9</v>
      </c>
      <c r="N255" s="127">
        <v>2.64114</v>
      </c>
      <c r="O255" s="127">
        <v>3.31672</v>
      </c>
      <c r="P255" s="127">
        <v>3.53963</v>
      </c>
      <c r="Q255" s="127">
        <v>7.46501</v>
      </c>
      <c r="R255" s="127" t="s">
        <v>1336</v>
      </c>
    </row>
    <row r="256">
      <c r="A256" s="127">
        <v>2019.0</v>
      </c>
      <c r="B256" s="127" t="s">
        <v>1336</v>
      </c>
      <c r="C256" s="127">
        <v>500.205</v>
      </c>
      <c r="D256" s="127">
        <v>0.014899</v>
      </c>
      <c r="E256" s="127">
        <v>0.247159</v>
      </c>
      <c r="F256" s="127">
        <v>16.1792</v>
      </c>
      <c r="G256" s="127">
        <v>-0.71242</v>
      </c>
      <c r="H256" s="127">
        <v>52.92</v>
      </c>
      <c r="I256" s="127">
        <v>51.32</v>
      </c>
      <c r="J256" s="127">
        <v>11.3076</v>
      </c>
      <c r="K256" s="127">
        <v>11.3396</v>
      </c>
      <c r="L256" s="127">
        <v>43.1</v>
      </c>
      <c r="M256" s="127">
        <v>41.0</v>
      </c>
      <c r="N256" s="127">
        <v>2.3126</v>
      </c>
      <c r="O256" s="127">
        <v>2.64114</v>
      </c>
      <c r="P256" s="127">
        <v>2.79582</v>
      </c>
      <c r="Q256" s="127">
        <v>7.35926</v>
      </c>
      <c r="R256" s="127" t="s">
        <v>1336</v>
      </c>
    </row>
    <row r="257">
      <c r="A257" s="127">
        <v>2020.0</v>
      </c>
      <c r="B257" s="127" t="s">
        <v>1336</v>
      </c>
      <c r="C257" s="127">
        <v>283.991</v>
      </c>
      <c r="D257" s="127">
        <v>2.61E-4</v>
      </c>
      <c r="E257" s="127">
        <v>0.251145</v>
      </c>
      <c r="F257" s="127">
        <v>16.0616</v>
      </c>
      <c r="G257" s="127">
        <v>-0.1109</v>
      </c>
      <c r="H257" s="127">
        <v>54.56</v>
      </c>
      <c r="I257" s="127">
        <v>52.92</v>
      </c>
      <c r="J257" s="127">
        <v>12.2739</v>
      </c>
      <c r="K257" s="127">
        <v>11.3076</v>
      </c>
      <c r="L257" s="127">
        <v>45.6</v>
      </c>
      <c r="M257" s="127">
        <v>43.1</v>
      </c>
      <c r="N257" s="127">
        <v>2.02073</v>
      </c>
      <c r="O257" s="127">
        <v>2.3126</v>
      </c>
      <c r="P257" s="127">
        <v>3.22093</v>
      </c>
      <c r="Q257" s="127">
        <v>2.86541</v>
      </c>
      <c r="R257" s="127" t="s">
        <v>1336</v>
      </c>
    </row>
    <row r="258">
      <c r="A258" s="127">
        <v>2021.0</v>
      </c>
      <c r="B258" s="127" t="s">
        <v>1336</v>
      </c>
      <c r="C258" s="127">
        <v>834.521</v>
      </c>
      <c r="D258" s="127">
        <v>2.64E-4</v>
      </c>
      <c r="E258" s="127">
        <v>0.320776</v>
      </c>
      <c r="F258" s="127">
        <v>15.0609</v>
      </c>
      <c r="G258" s="127">
        <v>-0.63241</v>
      </c>
      <c r="H258" s="127">
        <v>53.94</v>
      </c>
      <c r="I258" s="127">
        <v>54.56</v>
      </c>
      <c r="J258" s="127">
        <v>12.1839</v>
      </c>
      <c r="K258" s="127">
        <v>12.2739</v>
      </c>
      <c r="L258" s="127">
        <v>47.1</v>
      </c>
      <c r="M258" s="127">
        <v>45.6</v>
      </c>
      <c r="N258" s="127">
        <v>1.6266</v>
      </c>
      <c r="O258" s="127">
        <v>2.02073</v>
      </c>
      <c r="P258" s="127">
        <v>1.83472</v>
      </c>
      <c r="Q258" s="127">
        <v>2.55373</v>
      </c>
      <c r="R258" s="127" t="s">
        <v>1336</v>
      </c>
    </row>
    <row r="259">
      <c r="A259" s="127">
        <v>2022.0</v>
      </c>
      <c r="B259" s="127" t="s">
        <v>1336</v>
      </c>
      <c r="C259" s="127">
        <v>259.202</v>
      </c>
      <c r="D259" s="127">
        <v>0.01043</v>
      </c>
      <c r="E259" s="127">
        <v>0.214047</v>
      </c>
      <c r="F259" s="127">
        <v>15.1098</v>
      </c>
      <c r="G259" s="127">
        <v>0.05017</v>
      </c>
      <c r="H259" s="127">
        <v>55.52</v>
      </c>
      <c r="I259" s="127">
        <v>53.94</v>
      </c>
      <c r="J259" s="127">
        <v>18.1757</v>
      </c>
      <c r="K259" s="127">
        <v>12.1839</v>
      </c>
      <c r="L259" s="127">
        <v>48.9</v>
      </c>
      <c r="M259" s="127">
        <v>47.1</v>
      </c>
      <c r="N259" s="127">
        <v>2.26844</v>
      </c>
      <c r="O259" s="127">
        <v>1.6266</v>
      </c>
      <c r="P259" s="127">
        <v>3.15651</v>
      </c>
      <c r="Q259" s="127">
        <v>8.5375</v>
      </c>
      <c r="R259" s="127" t="s">
        <v>1336</v>
      </c>
    </row>
    <row r="260">
      <c r="A260" s="127">
        <v>2023.0</v>
      </c>
      <c r="B260" s="127" t="s">
        <v>1336</v>
      </c>
      <c r="C260" s="127">
        <v>234.393</v>
      </c>
      <c r="D260" s="127">
        <v>2.34E-4</v>
      </c>
      <c r="E260" s="127">
        <v>0.267197</v>
      </c>
      <c r="F260" s="127">
        <v>15.1795</v>
      </c>
      <c r="G260" s="127">
        <v>0.07217</v>
      </c>
      <c r="H260" s="127">
        <v>56.57</v>
      </c>
      <c r="I260" s="127">
        <v>55.52</v>
      </c>
      <c r="J260" s="127">
        <v>21.6149</v>
      </c>
      <c r="K260" s="127">
        <v>18.1757</v>
      </c>
      <c r="L260" s="127">
        <v>51.6</v>
      </c>
      <c r="M260" s="127">
        <v>48.9</v>
      </c>
      <c r="N260" s="127">
        <v>3.00347</v>
      </c>
      <c r="O260" s="127">
        <v>2.26844</v>
      </c>
      <c r="P260" s="127">
        <v>3.25289</v>
      </c>
      <c r="Q260" s="127">
        <v>5.06502</v>
      </c>
      <c r="R260" s="127" t="s">
        <v>1336</v>
      </c>
    </row>
    <row r="261">
      <c r="A261" s="127">
        <v>2024.0</v>
      </c>
      <c r="B261" s="127" t="s">
        <v>1336</v>
      </c>
      <c r="C261" s="127">
        <v>333.701</v>
      </c>
      <c r="D261" s="127">
        <v>0.001016</v>
      </c>
      <c r="E261" s="127">
        <v>0.274757</v>
      </c>
      <c r="F261" s="127">
        <v>16.5306</v>
      </c>
      <c r="G261" s="127">
        <v>2.8619</v>
      </c>
      <c r="H261" s="127">
        <v>57.56</v>
      </c>
      <c r="I261" s="127">
        <v>56.57</v>
      </c>
      <c r="J261" s="127">
        <v>23.6602</v>
      </c>
      <c r="K261" s="127">
        <v>21.6149</v>
      </c>
      <c r="L261" s="127">
        <v>54.9</v>
      </c>
      <c r="M261" s="127">
        <v>51.6</v>
      </c>
      <c r="N261" s="127"/>
      <c r="O261" s="127">
        <v>3.00347</v>
      </c>
      <c r="P261" s="127">
        <v>3.62109</v>
      </c>
      <c r="Q261" s="127">
        <v>7.09119</v>
      </c>
      <c r="R261" s="127" t="s">
        <v>1336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7" t="s">
        <v>1508</v>
      </c>
      <c r="B1" s="127" t="s">
        <v>1509</v>
      </c>
      <c r="C1" s="127" t="s">
        <v>1506</v>
      </c>
      <c r="D1" s="127" t="s">
        <v>1513</v>
      </c>
      <c r="E1" s="127" t="s">
        <v>1514</v>
      </c>
      <c r="F1" s="127" t="s">
        <v>1515</v>
      </c>
      <c r="G1" s="127" t="s">
        <v>1504</v>
      </c>
    </row>
    <row r="2">
      <c r="A2" s="127">
        <v>2015.0</v>
      </c>
      <c r="B2" s="127" t="s">
        <v>660</v>
      </c>
      <c r="C2" s="127">
        <v>127.0</v>
      </c>
      <c r="D2" s="127">
        <v>0.0207</v>
      </c>
      <c r="E2" s="127">
        <v>0.580775</v>
      </c>
      <c r="F2" s="127">
        <v>21.2023</v>
      </c>
      <c r="G2" s="127">
        <v>0.03454</v>
      </c>
    </row>
    <row r="3">
      <c r="A3" s="127">
        <v>2016.0</v>
      </c>
      <c r="B3" s="127" t="s">
        <v>660</v>
      </c>
      <c r="C3" s="127">
        <v>208.0</v>
      </c>
      <c r="D3" s="127">
        <v>0.0464</v>
      </c>
      <c r="E3" s="127">
        <v>0.689775</v>
      </c>
      <c r="F3" s="127">
        <v>21.4858</v>
      </c>
      <c r="G3" s="127">
        <v>0.32778</v>
      </c>
    </row>
    <row r="4">
      <c r="A4" s="127">
        <v>2017.0</v>
      </c>
      <c r="B4" s="127" t="s">
        <v>660</v>
      </c>
      <c r="C4" s="127">
        <v>240.0</v>
      </c>
      <c r="D4" s="127">
        <v>0.0576</v>
      </c>
      <c r="E4" s="127">
        <v>0.644905</v>
      </c>
      <c r="F4" s="127">
        <v>22.1268</v>
      </c>
      <c r="G4" s="127">
        <v>0.89834</v>
      </c>
    </row>
    <row r="5">
      <c r="A5" s="127">
        <v>2018.0</v>
      </c>
      <c r="B5" s="127" t="s">
        <v>660</v>
      </c>
      <c r="C5" s="127">
        <v>124.0</v>
      </c>
      <c r="D5" s="127">
        <v>0.0282</v>
      </c>
      <c r="E5" s="127">
        <v>0.604173</v>
      </c>
      <c r="F5" s="127">
        <v>22.8041</v>
      </c>
      <c r="G5" s="127">
        <v>0.96863</v>
      </c>
    </row>
    <row r="6">
      <c r="A6" s="127">
        <v>2019.0</v>
      </c>
      <c r="B6" s="127" t="s">
        <v>660</v>
      </c>
      <c r="C6" s="127">
        <v>212.0</v>
      </c>
      <c r="D6" s="127">
        <v>0.0615</v>
      </c>
      <c r="E6" s="127">
        <v>0.592456</v>
      </c>
      <c r="F6" s="127">
        <v>22.9488</v>
      </c>
      <c r="G6" s="127">
        <v>0.15559</v>
      </c>
    </row>
    <row r="7">
      <c r="A7" s="127">
        <v>2020.0</v>
      </c>
      <c r="B7" s="127" t="s">
        <v>660</v>
      </c>
      <c r="C7" s="127">
        <v>245.0</v>
      </c>
      <c r="D7" s="127">
        <v>0.033</v>
      </c>
      <c r="E7" s="127">
        <v>0.530427</v>
      </c>
      <c r="F7" s="127">
        <v>22.7286</v>
      </c>
      <c r="G7" s="127">
        <v>-0.19761</v>
      </c>
    </row>
    <row r="8">
      <c r="A8" s="127">
        <v>2021.0</v>
      </c>
      <c r="B8" s="127" t="s">
        <v>660</v>
      </c>
      <c r="C8" s="127">
        <v>430.0</v>
      </c>
      <c r="D8" s="127">
        <v>0.0324</v>
      </c>
      <c r="E8" s="127">
        <v>0.455081</v>
      </c>
      <c r="F8" s="127">
        <v>23.2992</v>
      </c>
      <c r="G8" s="127">
        <v>0.76927</v>
      </c>
    </row>
    <row r="9">
      <c r="A9" s="127">
        <v>2022.0</v>
      </c>
      <c r="B9" s="127" t="s">
        <v>660</v>
      </c>
      <c r="C9" s="127">
        <v>199.0</v>
      </c>
      <c r="D9" s="127">
        <v>0.0109</v>
      </c>
      <c r="E9" s="127">
        <v>0.428373</v>
      </c>
      <c r="F9" s="127">
        <v>23.4505</v>
      </c>
      <c r="G9" s="127">
        <v>0.16337</v>
      </c>
    </row>
    <row r="10">
      <c r="A10" s="127">
        <v>2023.0</v>
      </c>
      <c r="B10" s="127" t="s">
        <v>660</v>
      </c>
      <c r="C10" s="127">
        <v>300.0</v>
      </c>
      <c r="D10" s="127">
        <v>0.0267</v>
      </c>
      <c r="E10" s="127">
        <v>0.485138</v>
      </c>
      <c r="F10" s="127">
        <v>23.2587</v>
      </c>
      <c r="G10" s="127">
        <v>-0.17454</v>
      </c>
    </row>
    <row r="11">
      <c r="A11" s="127">
        <v>2024.0</v>
      </c>
      <c r="B11" s="127" t="s">
        <v>660</v>
      </c>
      <c r="C11" s="127">
        <v>233.0</v>
      </c>
      <c r="D11" s="127">
        <v>0.0232</v>
      </c>
      <c r="E11" s="127">
        <v>0.547053</v>
      </c>
      <c r="F11" s="127">
        <v>23.2713</v>
      </c>
      <c r="G11" s="127">
        <v>0.01273</v>
      </c>
    </row>
    <row r="12">
      <c r="A12" s="127">
        <v>2015.0</v>
      </c>
      <c r="B12" s="127" t="s">
        <v>37</v>
      </c>
      <c r="C12" s="127">
        <v>16.2</v>
      </c>
      <c r="D12" s="127">
        <v>0.0051</v>
      </c>
      <c r="E12" s="127">
        <v>0.936525</v>
      </c>
      <c r="F12" s="127">
        <v>22.5077</v>
      </c>
      <c r="G12" s="127">
        <v>0.01182</v>
      </c>
    </row>
    <row r="13">
      <c r="A13" s="127">
        <v>2016.0</v>
      </c>
      <c r="B13" s="127" t="s">
        <v>37</v>
      </c>
      <c r="C13" s="127">
        <v>13.8</v>
      </c>
      <c r="D13" s="127">
        <v>0.00567</v>
      </c>
      <c r="E13" s="127">
        <v>0.939821</v>
      </c>
      <c r="F13" s="127">
        <v>22.7046</v>
      </c>
      <c r="G13" s="127">
        <v>0.21761</v>
      </c>
    </row>
    <row r="14">
      <c r="A14" s="127">
        <v>2017.0</v>
      </c>
      <c r="B14" s="127" t="s">
        <v>37</v>
      </c>
      <c r="C14" s="127">
        <v>23.2</v>
      </c>
      <c r="D14" s="127">
        <v>0.00745</v>
      </c>
      <c r="E14" s="127">
        <v>0.943616</v>
      </c>
      <c r="F14" s="127">
        <v>23.0757</v>
      </c>
      <c r="G14" s="127">
        <v>0.44932</v>
      </c>
    </row>
    <row r="15">
      <c r="A15" s="127">
        <v>2018.0</v>
      </c>
      <c r="B15" s="127" t="s">
        <v>37</v>
      </c>
      <c r="C15" s="127">
        <v>22.3</v>
      </c>
      <c r="D15" s="127">
        <v>0.0156</v>
      </c>
      <c r="E15" s="127">
        <v>0.93618</v>
      </c>
      <c r="F15" s="127">
        <v>23.2237</v>
      </c>
      <c r="G15" s="127">
        <v>0.15954</v>
      </c>
    </row>
    <row r="16">
      <c r="A16" s="127">
        <v>2019.0</v>
      </c>
      <c r="B16" s="127" t="s">
        <v>37</v>
      </c>
      <c r="C16" s="127">
        <v>23.9</v>
      </c>
      <c r="D16" s="127">
        <v>0.0157</v>
      </c>
      <c r="E16" s="127">
        <v>0.927603</v>
      </c>
      <c r="F16" s="127">
        <v>23.4021</v>
      </c>
      <c r="G16" s="127">
        <v>0.1953</v>
      </c>
    </row>
    <row r="17">
      <c r="A17" s="127">
        <v>2020.0</v>
      </c>
      <c r="B17" s="127" t="s">
        <v>37</v>
      </c>
      <c r="C17" s="127">
        <v>42.0</v>
      </c>
      <c r="D17" s="127">
        <v>0.0173</v>
      </c>
      <c r="E17" s="127">
        <v>0.920257</v>
      </c>
      <c r="F17" s="127">
        <v>23.606</v>
      </c>
      <c r="G17" s="127">
        <v>0.22611</v>
      </c>
    </row>
    <row r="18">
      <c r="A18" s="127">
        <v>2021.0</v>
      </c>
      <c r="B18" s="127" t="s">
        <v>37</v>
      </c>
      <c r="C18" s="127">
        <v>69.9</v>
      </c>
      <c r="D18" s="127">
        <v>0.0182</v>
      </c>
      <c r="E18" s="127">
        <v>0.914923</v>
      </c>
      <c r="F18" s="127">
        <v>23.8762</v>
      </c>
      <c r="G18" s="127">
        <v>0.31024</v>
      </c>
    </row>
    <row r="19">
      <c r="A19" s="127">
        <v>2022.0</v>
      </c>
      <c r="B19" s="127" t="s">
        <v>37</v>
      </c>
      <c r="C19" s="127">
        <v>60.3</v>
      </c>
      <c r="D19" s="127">
        <v>0.0225</v>
      </c>
      <c r="E19" s="127">
        <v>0.903864</v>
      </c>
      <c r="F19" s="127">
        <v>24.0462</v>
      </c>
      <c r="G19" s="127">
        <v>0.18529</v>
      </c>
    </row>
    <row r="20">
      <c r="A20" s="127">
        <v>2023.0</v>
      </c>
      <c r="B20" s="127" t="s">
        <v>37</v>
      </c>
      <c r="C20" s="127">
        <v>82.9</v>
      </c>
      <c r="D20" s="127">
        <v>0.0223</v>
      </c>
      <c r="E20" s="127">
        <v>0.901285</v>
      </c>
      <c r="F20" s="127">
        <v>24.183</v>
      </c>
      <c r="G20" s="127">
        <v>0.14659</v>
      </c>
    </row>
    <row r="21">
      <c r="A21" s="127">
        <v>2024.0</v>
      </c>
      <c r="B21" s="127" t="s">
        <v>37</v>
      </c>
      <c r="C21" s="127">
        <v>98.3</v>
      </c>
      <c r="D21" s="127">
        <v>0.0194</v>
      </c>
      <c r="E21" s="127">
        <v>0.903401</v>
      </c>
      <c r="F21" s="127">
        <v>24.2154</v>
      </c>
      <c r="G21" s="127">
        <v>0.03293</v>
      </c>
    </row>
    <row r="22">
      <c r="A22" s="127">
        <v>2015.0</v>
      </c>
      <c r="B22" s="127" t="s">
        <v>780</v>
      </c>
      <c r="C22" s="127">
        <v>35.1</v>
      </c>
      <c r="D22" s="127">
        <v>0.0075</v>
      </c>
      <c r="E22" s="127">
        <v>0.950233</v>
      </c>
      <c r="F22" s="127">
        <v>23.8095</v>
      </c>
      <c r="G22" s="127">
        <v>0.09792</v>
      </c>
    </row>
    <row r="23">
      <c r="A23" s="127">
        <v>2016.0</v>
      </c>
      <c r="B23" s="127" t="s">
        <v>780</v>
      </c>
      <c r="C23" s="127">
        <v>26.5</v>
      </c>
      <c r="D23" s="127">
        <v>0.00616</v>
      </c>
      <c r="E23" s="127">
        <v>0.956165</v>
      </c>
      <c r="F23" s="127">
        <v>24.0302</v>
      </c>
      <c r="G23" s="127">
        <v>0.24702</v>
      </c>
    </row>
    <row r="24">
      <c r="A24" s="127">
        <v>2017.0</v>
      </c>
      <c r="B24" s="127" t="s">
        <v>780</v>
      </c>
      <c r="C24" s="127">
        <v>40.5</v>
      </c>
      <c r="D24" s="127">
        <v>0.00578</v>
      </c>
      <c r="E24" s="127">
        <v>0.959382</v>
      </c>
      <c r="F24" s="127">
        <v>24.29</v>
      </c>
      <c r="G24" s="127">
        <v>0.29669</v>
      </c>
    </row>
    <row r="25">
      <c r="A25" s="127">
        <v>2018.0</v>
      </c>
      <c r="B25" s="127" t="s">
        <v>780</v>
      </c>
      <c r="C25" s="127">
        <v>49.9</v>
      </c>
      <c r="D25" s="127">
        <v>0.0057</v>
      </c>
      <c r="E25" s="127">
        <v>0.958496</v>
      </c>
      <c r="F25" s="127">
        <v>24.417</v>
      </c>
      <c r="G25" s="127">
        <v>0.13541</v>
      </c>
    </row>
    <row r="26">
      <c r="A26" s="127">
        <v>2019.0</v>
      </c>
      <c r="B26" s="127" t="s">
        <v>780</v>
      </c>
      <c r="C26" s="127">
        <v>60.7</v>
      </c>
      <c r="D26" s="127">
        <v>0.00574</v>
      </c>
      <c r="E26" s="127">
        <v>0.947882</v>
      </c>
      <c r="F26" s="127">
        <v>24.4738</v>
      </c>
      <c r="G26" s="127">
        <v>0.05846</v>
      </c>
    </row>
    <row r="27">
      <c r="A27" s="127">
        <v>2020.0</v>
      </c>
      <c r="B27" s="127" t="s">
        <v>780</v>
      </c>
      <c r="C27" s="127">
        <v>73.9</v>
      </c>
      <c r="D27" s="127">
        <v>0.00476</v>
      </c>
      <c r="E27" s="127">
        <v>0.947486</v>
      </c>
      <c r="F27" s="127">
        <v>24.5253</v>
      </c>
      <c r="G27" s="127">
        <v>0.05276</v>
      </c>
    </row>
    <row r="28">
      <c r="A28" s="127">
        <v>2021.0</v>
      </c>
      <c r="B28" s="127" t="s">
        <v>780</v>
      </c>
      <c r="C28" s="127">
        <v>62.4</v>
      </c>
      <c r="D28" s="127">
        <v>0.00615</v>
      </c>
      <c r="E28" s="127">
        <v>0.950997</v>
      </c>
      <c r="F28" s="127">
        <v>24.7509</v>
      </c>
      <c r="G28" s="127">
        <v>0.25312</v>
      </c>
    </row>
    <row r="29">
      <c r="A29" s="127">
        <v>2022.0</v>
      </c>
      <c r="B29" s="127" t="s">
        <v>780</v>
      </c>
      <c r="C29" s="127">
        <v>67.7</v>
      </c>
      <c r="D29" s="127">
        <v>0.00869</v>
      </c>
      <c r="E29" s="127">
        <v>0.950868</v>
      </c>
      <c r="F29" s="127">
        <v>24.8989</v>
      </c>
      <c r="G29" s="127">
        <v>0.15953</v>
      </c>
    </row>
    <row r="30">
      <c r="A30" s="127">
        <v>2023.0</v>
      </c>
      <c r="B30" s="127" t="s">
        <v>780</v>
      </c>
      <c r="C30" s="127">
        <v>78.9</v>
      </c>
      <c r="D30" s="127">
        <v>0.00955</v>
      </c>
      <c r="E30" s="127">
        <v>0.9466</v>
      </c>
      <c r="F30" s="127">
        <v>24.9802</v>
      </c>
      <c r="G30" s="127">
        <v>0.08464</v>
      </c>
    </row>
    <row r="31">
      <c r="A31" s="127">
        <v>2024.0</v>
      </c>
      <c r="B31" s="127" t="s">
        <v>780</v>
      </c>
      <c r="C31" s="127">
        <v>77.6</v>
      </c>
      <c r="D31" s="127">
        <v>0.00927</v>
      </c>
      <c r="E31" s="127">
        <v>0.947511</v>
      </c>
      <c r="F31" s="127">
        <v>25.0491</v>
      </c>
      <c r="G31" s="127">
        <v>0.07138</v>
      </c>
    </row>
    <row r="32">
      <c r="A32" s="127">
        <v>2015.0</v>
      </c>
      <c r="B32" s="127" t="s">
        <v>964</v>
      </c>
      <c r="C32" s="127">
        <v>114.0</v>
      </c>
      <c r="D32" s="127">
        <v>0.0379</v>
      </c>
      <c r="E32" s="127">
        <v>0.643576</v>
      </c>
      <c r="F32" s="127">
        <v>19.7353</v>
      </c>
      <c r="G32" s="127">
        <v>-0.26564</v>
      </c>
    </row>
    <row r="33">
      <c r="A33" s="127">
        <v>2016.0</v>
      </c>
      <c r="B33" s="127" t="s">
        <v>964</v>
      </c>
      <c r="C33" s="127">
        <v>136.0</v>
      </c>
      <c r="D33" s="127">
        <v>0.04</v>
      </c>
      <c r="E33" s="127">
        <v>0.602297</v>
      </c>
      <c r="F33" s="127">
        <v>19.4989</v>
      </c>
      <c r="G33" s="127">
        <v>-0.21052</v>
      </c>
    </row>
    <row r="34">
      <c r="A34" s="127">
        <v>2017.0</v>
      </c>
      <c r="B34" s="127" t="s">
        <v>964</v>
      </c>
      <c r="C34" s="127">
        <v>238.0</v>
      </c>
      <c r="D34" s="127">
        <v>0.0419</v>
      </c>
      <c r="E34" s="127">
        <v>0.607679</v>
      </c>
      <c r="F34" s="127">
        <v>19.6297</v>
      </c>
      <c r="G34" s="127">
        <v>0.13972</v>
      </c>
    </row>
    <row r="35">
      <c r="A35" s="127">
        <v>2018.0</v>
      </c>
      <c r="B35" s="127" t="s">
        <v>964</v>
      </c>
      <c r="C35" s="127">
        <v>193.0</v>
      </c>
      <c r="D35" s="127">
        <v>0.0425</v>
      </c>
      <c r="E35" s="127">
        <v>0.606844</v>
      </c>
      <c r="F35" s="127">
        <v>19.8032</v>
      </c>
      <c r="G35" s="127">
        <v>0.18946</v>
      </c>
    </row>
    <row r="36">
      <c r="A36" s="127">
        <v>2019.0</v>
      </c>
      <c r="B36" s="127" t="s">
        <v>964</v>
      </c>
      <c r="C36" s="127">
        <v>278.0</v>
      </c>
      <c r="D36" s="127">
        <v>0.0428</v>
      </c>
      <c r="E36" s="127">
        <v>0.605298</v>
      </c>
      <c r="F36" s="127">
        <v>19.7677</v>
      </c>
      <c r="G36" s="127">
        <v>-0.03491</v>
      </c>
    </row>
    <row r="37">
      <c r="A37" s="127">
        <v>2020.0</v>
      </c>
      <c r="B37" s="127" t="s">
        <v>964</v>
      </c>
      <c r="C37" s="127">
        <v>353.0</v>
      </c>
      <c r="D37" s="127">
        <v>0.0435</v>
      </c>
      <c r="E37" s="127">
        <v>0.602509</v>
      </c>
      <c r="F37" s="127">
        <v>19.4866</v>
      </c>
      <c r="G37" s="127">
        <v>-0.24498</v>
      </c>
    </row>
    <row r="38">
      <c r="A38" s="127">
        <v>2021.0</v>
      </c>
      <c r="B38" s="127" t="s">
        <v>964</v>
      </c>
      <c r="C38" s="127">
        <v>519.0</v>
      </c>
      <c r="D38" s="127">
        <v>0.0473</v>
      </c>
      <c r="E38" s="127">
        <v>0.593578</v>
      </c>
      <c r="F38" s="127">
        <v>19.5165</v>
      </c>
      <c r="G38" s="127">
        <v>0.03028</v>
      </c>
    </row>
    <row r="39">
      <c r="A39" s="127">
        <v>2022.0</v>
      </c>
      <c r="B39" s="127" t="s">
        <v>964</v>
      </c>
      <c r="C39" s="127">
        <v>555.0</v>
      </c>
      <c r="D39" s="127">
        <v>0.032</v>
      </c>
      <c r="E39" s="127">
        <v>0.659964</v>
      </c>
      <c r="F39" s="127">
        <v>19.9771</v>
      </c>
      <c r="G39" s="127">
        <v>0.58503</v>
      </c>
    </row>
    <row r="40">
      <c r="A40" s="127">
        <v>2023.0</v>
      </c>
      <c r="B40" s="127" t="s">
        <v>964</v>
      </c>
      <c r="C40" s="127">
        <v>534.0</v>
      </c>
      <c r="D40" s="127">
        <v>0.0321</v>
      </c>
      <c r="E40" s="127">
        <v>0.661917</v>
      </c>
      <c r="F40" s="127">
        <v>19.8679</v>
      </c>
      <c r="G40" s="127">
        <v>-0.10343</v>
      </c>
    </row>
    <row r="41">
      <c r="A41" s="127">
        <v>2024.0</v>
      </c>
      <c r="B41" s="127" t="s">
        <v>964</v>
      </c>
      <c r="C41" s="127">
        <v>527.0</v>
      </c>
      <c r="D41" s="127">
        <v>0.0413</v>
      </c>
      <c r="E41" s="127">
        <v>0.657068</v>
      </c>
      <c r="F41" s="127">
        <v>19.8647</v>
      </c>
      <c r="G41" s="127">
        <v>-0.00324</v>
      </c>
    </row>
    <row r="42">
      <c r="A42" s="127">
        <v>2015.0</v>
      </c>
      <c r="B42" s="127" t="s">
        <v>908</v>
      </c>
      <c r="C42" s="127">
        <v>196.0</v>
      </c>
      <c r="D42" s="127">
        <v>0.0525</v>
      </c>
      <c r="E42" s="127">
        <v>0.691927</v>
      </c>
      <c r="F42" s="127">
        <v>21.2834</v>
      </c>
      <c r="G42" s="127">
        <v>-0.32823</v>
      </c>
    </row>
    <row r="43">
      <c r="A43" s="127">
        <v>2016.0</v>
      </c>
      <c r="B43" s="127" t="s">
        <v>908</v>
      </c>
      <c r="C43" s="127">
        <v>484.0</v>
      </c>
      <c r="D43" s="127">
        <v>0.0985</v>
      </c>
      <c r="E43" s="127">
        <v>0.576303</v>
      </c>
      <c r="F43" s="127">
        <v>20.9145</v>
      </c>
      <c r="G43" s="127">
        <v>-0.30851</v>
      </c>
    </row>
    <row r="44">
      <c r="A44" s="127">
        <v>2017.0</v>
      </c>
      <c r="B44" s="127" t="s">
        <v>908</v>
      </c>
      <c r="C44" s="127">
        <v>362.0</v>
      </c>
      <c r="D44" s="127">
        <v>0.0779</v>
      </c>
      <c r="E44" s="127">
        <v>0.631523</v>
      </c>
      <c r="F44" s="127">
        <v>21.4368</v>
      </c>
      <c r="G44" s="127">
        <v>0.68586</v>
      </c>
    </row>
    <row r="45">
      <c r="A45" s="127">
        <v>2018.0</v>
      </c>
      <c r="B45" s="127" t="s">
        <v>908</v>
      </c>
      <c r="C45" s="127">
        <v>257.0</v>
      </c>
      <c r="D45" s="127">
        <v>0.00966</v>
      </c>
      <c r="E45" s="127">
        <v>0.653665</v>
      </c>
      <c r="F45" s="127">
        <v>21.7113</v>
      </c>
      <c r="G45" s="127">
        <v>0.31592</v>
      </c>
    </row>
    <row r="46">
      <c r="A46" s="127">
        <v>2019.0</v>
      </c>
      <c r="B46" s="127" t="s">
        <v>908</v>
      </c>
      <c r="C46" s="127">
        <v>170.0</v>
      </c>
      <c r="D46" s="127">
        <v>0.0157</v>
      </c>
      <c r="E46" s="127">
        <v>0.705121</v>
      </c>
      <c r="F46" s="127">
        <v>21.3183</v>
      </c>
      <c r="G46" s="127">
        <v>-0.32496</v>
      </c>
    </row>
    <row r="47">
      <c r="A47" s="127">
        <v>2020.0</v>
      </c>
      <c r="B47" s="127" t="s">
        <v>908</v>
      </c>
      <c r="C47" s="127">
        <v>160.0</v>
      </c>
      <c r="D47" s="127">
        <v>0.016</v>
      </c>
      <c r="E47" s="127">
        <v>0.736501</v>
      </c>
      <c r="F47" s="127">
        <v>22.4049</v>
      </c>
      <c r="G47" s="127">
        <v>1.96393</v>
      </c>
    </row>
    <row r="48">
      <c r="A48" s="127">
        <v>2021.0</v>
      </c>
      <c r="B48" s="127" t="s">
        <v>908</v>
      </c>
      <c r="C48" s="127">
        <v>331.0</v>
      </c>
      <c r="D48" s="127">
        <v>-0.00784</v>
      </c>
      <c r="E48" s="127">
        <v>0.72858</v>
      </c>
      <c r="F48" s="127">
        <v>21.7741</v>
      </c>
      <c r="G48" s="127">
        <v>-0.46781</v>
      </c>
    </row>
    <row r="49">
      <c r="A49" s="127">
        <v>2022.0</v>
      </c>
      <c r="B49" s="127" t="s">
        <v>908</v>
      </c>
      <c r="C49" s="127">
        <v>100.0</v>
      </c>
      <c r="D49" s="127">
        <v>0.0301</v>
      </c>
      <c r="E49" s="127">
        <v>0.709343</v>
      </c>
      <c r="F49" s="127">
        <v>22.4721</v>
      </c>
      <c r="G49" s="127">
        <v>1.00976</v>
      </c>
    </row>
    <row r="50">
      <c r="A50" s="127">
        <v>2023.0</v>
      </c>
      <c r="B50" s="127" t="s">
        <v>908</v>
      </c>
      <c r="C50" s="127">
        <v>118.0</v>
      </c>
      <c r="D50" s="127">
        <v>0.0111</v>
      </c>
      <c r="E50" s="127">
        <v>0.743693</v>
      </c>
      <c r="F50" s="127">
        <v>21.8513</v>
      </c>
      <c r="G50" s="127">
        <v>-0.46247</v>
      </c>
    </row>
    <row r="51">
      <c r="A51" s="127">
        <v>2024.0</v>
      </c>
      <c r="B51" s="127" t="s">
        <v>908</v>
      </c>
      <c r="C51" s="127">
        <v>105.0</v>
      </c>
      <c r="D51" s="127">
        <v>0.0169</v>
      </c>
      <c r="E51" s="127">
        <v>0.751185</v>
      </c>
      <c r="F51" s="127">
        <v>21.8311</v>
      </c>
      <c r="G51" s="127">
        <v>-0.02006</v>
      </c>
    </row>
    <row r="52">
      <c r="A52" s="127">
        <v>2015.0</v>
      </c>
      <c r="B52" s="127" t="s">
        <v>292</v>
      </c>
      <c r="C52" s="127">
        <v>44.9</v>
      </c>
      <c r="D52" s="127">
        <v>0.00733</v>
      </c>
      <c r="E52" s="127">
        <v>0.928016</v>
      </c>
      <c r="F52" s="127">
        <v>23.7437</v>
      </c>
      <c r="G52" s="127">
        <v>0.05313</v>
      </c>
    </row>
    <row r="53">
      <c r="A53" s="127">
        <v>2016.0</v>
      </c>
      <c r="B53" s="127" t="s">
        <v>292</v>
      </c>
      <c r="C53" s="127">
        <v>45.6</v>
      </c>
      <c r="D53" s="127">
        <v>0.00713</v>
      </c>
      <c r="E53" s="127">
        <v>0.936334</v>
      </c>
      <c r="F53" s="127">
        <v>23.9386</v>
      </c>
      <c r="G53" s="127">
        <v>0.21518</v>
      </c>
    </row>
    <row r="54">
      <c r="A54" s="127">
        <v>2017.0</v>
      </c>
      <c r="B54" s="127" t="s">
        <v>292</v>
      </c>
      <c r="C54" s="127">
        <v>44.4</v>
      </c>
      <c r="D54" s="127">
        <v>0.00681</v>
      </c>
      <c r="E54" s="127">
        <v>0.94177</v>
      </c>
      <c r="F54" s="127">
        <v>24.1205</v>
      </c>
      <c r="G54" s="127">
        <v>0.1995</v>
      </c>
    </row>
    <row r="55">
      <c r="A55" s="127">
        <v>2018.0</v>
      </c>
      <c r="B55" s="127" t="s">
        <v>292</v>
      </c>
      <c r="C55" s="127">
        <v>45.2</v>
      </c>
      <c r="D55" s="127">
        <v>0.00453</v>
      </c>
      <c r="E55" s="127">
        <v>0.942182</v>
      </c>
      <c r="F55" s="127">
        <v>23.9883</v>
      </c>
      <c r="G55" s="127">
        <v>-0.12381</v>
      </c>
    </row>
    <row r="56">
      <c r="A56" s="127">
        <v>2019.0</v>
      </c>
      <c r="B56" s="127" t="s">
        <v>292</v>
      </c>
      <c r="C56" s="127">
        <v>49.0</v>
      </c>
      <c r="D56" s="127">
        <v>0.00764</v>
      </c>
      <c r="E56" s="127">
        <v>0.937653</v>
      </c>
      <c r="F56" s="127">
        <v>24.3711</v>
      </c>
      <c r="G56" s="127">
        <v>0.46639</v>
      </c>
    </row>
    <row r="57">
      <c r="A57" s="127">
        <v>2020.0</v>
      </c>
      <c r="B57" s="127" t="s">
        <v>292</v>
      </c>
      <c r="C57" s="127">
        <v>65.3</v>
      </c>
      <c r="D57" s="127">
        <v>0.0103</v>
      </c>
      <c r="E57" s="127">
        <v>0.936311</v>
      </c>
      <c r="F57" s="127">
        <v>24.4822</v>
      </c>
      <c r="G57" s="127">
        <v>0.11748</v>
      </c>
    </row>
    <row r="58">
      <c r="A58" s="127">
        <v>2021.0</v>
      </c>
      <c r="B58" s="127" t="s">
        <v>292</v>
      </c>
      <c r="C58" s="127">
        <v>76.8</v>
      </c>
      <c r="D58" s="127">
        <v>0.00928</v>
      </c>
      <c r="E58" s="127">
        <v>0.938855</v>
      </c>
      <c r="F58" s="127">
        <v>24.6208</v>
      </c>
      <c r="G58" s="127">
        <v>0.14864</v>
      </c>
    </row>
    <row r="59">
      <c r="A59" s="127">
        <v>2022.0</v>
      </c>
      <c r="B59" s="127" t="s">
        <v>292</v>
      </c>
      <c r="C59" s="127">
        <v>72.4</v>
      </c>
      <c r="D59" s="127">
        <v>0.00939</v>
      </c>
      <c r="E59" s="127">
        <v>0.940117</v>
      </c>
      <c r="F59" s="127">
        <v>24.7675</v>
      </c>
      <c r="G59" s="127">
        <v>0.15799</v>
      </c>
    </row>
    <row r="60">
      <c r="A60" s="127">
        <v>2023.0</v>
      </c>
      <c r="B60" s="127" t="s">
        <v>292</v>
      </c>
      <c r="C60" s="127">
        <v>56.1</v>
      </c>
      <c r="D60" s="127">
        <v>0.00986</v>
      </c>
      <c r="E60" s="127">
        <v>0.938074</v>
      </c>
      <c r="F60" s="127">
        <v>24.8893</v>
      </c>
      <c r="G60" s="127">
        <v>0.12951</v>
      </c>
    </row>
    <row r="61">
      <c r="A61" s="127">
        <v>2024.0</v>
      </c>
      <c r="B61" s="127" t="s">
        <v>292</v>
      </c>
      <c r="C61" s="127">
        <v>85.3</v>
      </c>
      <c r="D61" s="127">
        <v>0.0107</v>
      </c>
      <c r="E61" s="127">
        <v>0.937744</v>
      </c>
      <c r="F61" s="127">
        <v>25.0151</v>
      </c>
      <c r="G61" s="127">
        <v>0.13406</v>
      </c>
    </row>
    <row r="62">
      <c r="A62" s="127">
        <v>2015.0</v>
      </c>
      <c r="B62" s="127" t="s">
        <v>1188</v>
      </c>
      <c r="C62" s="127">
        <v>1661.07</v>
      </c>
      <c r="D62" s="127">
        <v>3.28E-4</v>
      </c>
      <c r="E62" s="127">
        <v>0.561985</v>
      </c>
      <c r="F62" s="127">
        <v>17.3961</v>
      </c>
      <c r="G62" s="127">
        <v>0.2791</v>
      </c>
    </row>
    <row r="63">
      <c r="A63" s="127">
        <v>2016.0</v>
      </c>
      <c r="B63" s="127" t="s">
        <v>1188</v>
      </c>
      <c r="C63" s="127">
        <v>876.817</v>
      </c>
      <c r="D63" s="127">
        <v>6.79E-4</v>
      </c>
      <c r="E63" s="127">
        <v>0.475126</v>
      </c>
      <c r="F63" s="127">
        <v>16.9568</v>
      </c>
      <c r="G63" s="127">
        <v>-0.35549</v>
      </c>
    </row>
    <row r="64">
      <c r="A64" s="127">
        <v>2017.0</v>
      </c>
      <c r="B64" s="127" t="s">
        <v>1188</v>
      </c>
      <c r="C64" s="127">
        <v>4778.19</v>
      </c>
      <c r="D64" s="127">
        <v>0.01179</v>
      </c>
      <c r="E64" s="127">
        <v>0.510187</v>
      </c>
      <c r="F64" s="127">
        <v>16.6892</v>
      </c>
      <c r="G64" s="127">
        <v>-0.23476</v>
      </c>
    </row>
    <row r="65">
      <c r="A65" s="127">
        <v>2018.0</v>
      </c>
      <c r="B65" s="127" t="s">
        <v>1188</v>
      </c>
      <c r="C65" s="127">
        <v>3059.66</v>
      </c>
      <c r="D65" s="127">
        <v>0.010428</v>
      </c>
      <c r="E65" s="127">
        <v>0.539752</v>
      </c>
      <c r="F65" s="127">
        <v>17.2467</v>
      </c>
      <c r="G65" s="127">
        <v>0.74633</v>
      </c>
    </row>
    <row r="66">
      <c r="A66" s="127">
        <v>2019.0</v>
      </c>
      <c r="B66" s="127" t="s">
        <v>1188</v>
      </c>
      <c r="C66" s="127">
        <v>2760.82</v>
      </c>
      <c r="D66" s="127">
        <v>0.013552</v>
      </c>
      <c r="E66" s="127">
        <v>0.594859</v>
      </c>
      <c r="F66" s="127">
        <v>17.787</v>
      </c>
      <c r="G66" s="127">
        <v>0.71643</v>
      </c>
    </row>
    <row r="67">
      <c r="A67" s="127">
        <v>2020.0</v>
      </c>
      <c r="B67" s="127" t="s">
        <v>1188</v>
      </c>
      <c r="C67" s="127">
        <v>1568.89</v>
      </c>
      <c r="D67" s="127">
        <v>-0.007128</v>
      </c>
      <c r="E67" s="127">
        <v>0.656142</v>
      </c>
      <c r="F67" s="127">
        <v>17.5801</v>
      </c>
      <c r="G67" s="127">
        <v>-0.18687</v>
      </c>
    </row>
    <row r="68">
      <c r="A68" s="127">
        <v>2021.0</v>
      </c>
      <c r="B68" s="127" t="s">
        <v>1188</v>
      </c>
      <c r="C68" s="127">
        <v>7707.88</v>
      </c>
      <c r="D68" s="127">
        <v>0.014904</v>
      </c>
      <c r="E68" s="127">
        <v>0.710037</v>
      </c>
      <c r="F68" s="127">
        <v>18.5054</v>
      </c>
      <c r="G68" s="127">
        <v>1.5225</v>
      </c>
    </row>
    <row r="69">
      <c r="A69" s="127">
        <v>2022.0</v>
      </c>
      <c r="B69" s="127" t="s">
        <v>1188</v>
      </c>
      <c r="C69" s="127">
        <v>1612.75</v>
      </c>
      <c r="D69" s="127">
        <v>0.010767</v>
      </c>
      <c r="E69" s="127">
        <v>0.730638</v>
      </c>
      <c r="F69" s="127">
        <v>18.6785</v>
      </c>
      <c r="G69" s="127">
        <v>0.18903</v>
      </c>
    </row>
    <row r="70">
      <c r="A70" s="127">
        <v>2023.0</v>
      </c>
      <c r="B70" s="127" t="s">
        <v>1188</v>
      </c>
      <c r="C70" s="127">
        <v>1688.97</v>
      </c>
      <c r="D70" s="127">
        <v>0.00188</v>
      </c>
      <c r="E70" s="127">
        <v>0.713799</v>
      </c>
      <c r="F70" s="127">
        <v>18.42</v>
      </c>
      <c r="G70" s="127">
        <v>-0.22777</v>
      </c>
    </row>
    <row r="71">
      <c r="A71" s="127">
        <v>2024.0</v>
      </c>
      <c r="B71" s="127" t="s">
        <v>1188</v>
      </c>
      <c r="C71" s="127">
        <v>1183.36</v>
      </c>
      <c r="D71" s="127">
        <v>0.002361</v>
      </c>
      <c r="E71" s="127">
        <v>0.677867</v>
      </c>
      <c r="F71" s="127">
        <v>18.7704</v>
      </c>
      <c r="G71" s="127">
        <v>0.41952</v>
      </c>
    </row>
    <row r="72">
      <c r="A72" s="127">
        <v>2015.0</v>
      </c>
      <c r="B72" s="127" t="s">
        <v>356</v>
      </c>
      <c r="C72" s="127">
        <v>120.0</v>
      </c>
      <c r="D72" s="127">
        <v>0.0936</v>
      </c>
      <c r="E72" s="127">
        <v>0.609059</v>
      </c>
      <c r="F72" s="127">
        <v>24.3598</v>
      </c>
      <c r="G72" s="127">
        <v>0.16282</v>
      </c>
    </row>
    <row r="73">
      <c r="A73" s="127">
        <v>2016.0</v>
      </c>
      <c r="B73" s="127" t="s">
        <v>356</v>
      </c>
      <c r="C73" s="127">
        <v>132.0</v>
      </c>
      <c r="D73" s="127">
        <v>0.0863</v>
      </c>
      <c r="E73" s="127">
        <v>0.616265</v>
      </c>
      <c r="F73" s="127">
        <v>24.4004</v>
      </c>
      <c r="G73" s="127">
        <v>0.04141</v>
      </c>
    </row>
    <row r="74">
      <c r="A74" s="127">
        <v>2017.0</v>
      </c>
      <c r="B74" s="127" t="s">
        <v>356</v>
      </c>
      <c r="C74" s="127">
        <v>283.0</v>
      </c>
      <c r="D74" s="127">
        <v>0.141</v>
      </c>
      <c r="E74" s="127">
        <v>0.470458</v>
      </c>
      <c r="F74" s="127">
        <v>24.4765</v>
      </c>
      <c r="G74" s="127">
        <v>0.07911</v>
      </c>
    </row>
    <row r="75">
      <c r="A75" s="127">
        <v>2018.0</v>
      </c>
      <c r="B75" s="127" t="s">
        <v>356</v>
      </c>
      <c r="C75" s="127">
        <v>245.0</v>
      </c>
      <c r="D75" s="127">
        <v>0.109</v>
      </c>
      <c r="E75" s="127">
        <v>0.50348</v>
      </c>
      <c r="F75" s="127">
        <v>23.868</v>
      </c>
      <c r="G75" s="127">
        <v>-0.45583</v>
      </c>
    </row>
    <row r="76">
      <c r="A76" s="127">
        <v>2019.0</v>
      </c>
      <c r="B76" s="127" t="s">
        <v>356</v>
      </c>
      <c r="C76" s="127">
        <v>398.0</v>
      </c>
      <c r="D76" s="127">
        <v>0.117</v>
      </c>
      <c r="E76" s="127">
        <v>0.496939</v>
      </c>
      <c r="F76" s="127">
        <v>24.0453</v>
      </c>
      <c r="G76" s="127">
        <v>0.194</v>
      </c>
    </row>
    <row r="77">
      <c r="A77" s="127">
        <v>2020.0</v>
      </c>
      <c r="B77" s="127" t="s">
        <v>356</v>
      </c>
      <c r="C77" s="127">
        <v>426.0</v>
      </c>
      <c r="D77" s="127">
        <v>0.106</v>
      </c>
      <c r="E77" s="127">
        <v>0.554188</v>
      </c>
      <c r="F77" s="127">
        <v>24.1188</v>
      </c>
      <c r="G77" s="127">
        <v>0.07625</v>
      </c>
    </row>
    <row r="78">
      <c r="A78" s="127">
        <v>2021.0</v>
      </c>
      <c r="B78" s="127" t="s">
        <v>356</v>
      </c>
      <c r="C78" s="127">
        <v>705.0</v>
      </c>
      <c r="D78" s="127">
        <v>0.0996</v>
      </c>
      <c r="E78" s="127">
        <v>0.601139</v>
      </c>
      <c r="F78" s="127">
        <v>24.2972</v>
      </c>
      <c r="G78" s="127">
        <v>0.19533</v>
      </c>
    </row>
    <row r="79">
      <c r="A79" s="127">
        <v>2022.0</v>
      </c>
      <c r="B79" s="127" t="s">
        <v>356</v>
      </c>
      <c r="C79" s="127">
        <v>851.0</v>
      </c>
      <c r="D79" s="127">
        <v>0.126</v>
      </c>
      <c r="E79" s="127">
        <v>0.509082</v>
      </c>
      <c r="F79" s="127">
        <v>24.5077</v>
      </c>
      <c r="G79" s="127">
        <v>0.23424</v>
      </c>
    </row>
    <row r="80">
      <c r="A80" s="127">
        <v>2023.0</v>
      </c>
      <c r="B80" s="127" t="s">
        <v>356</v>
      </c>
      <c r="C80" s="127">
        <v>1290.0</v>
      </c>
      <c r="D80" s="127">
        <v>0.129</v>
      </c>
      <c r="E80" s="127">
        <v>0.503457</v>
      </c>
      <c r="F80" s="127">
        <v>24.6863</v>
      </c>
      <c r="G80" s="127">
        <v>0.1956</v>
      </c>
    </row>
    <row r="81">
      <c r="A81" s="127">
        <v>2024.0</v>
      </c>
      <c r="B81" s="127" t="s">
        <v>356</v>
      </c>
      <c r="C81" s="127">
        <v>2320.0</v>
      </c>
      <c r="D81" s="127">
        <v>0.131</v>
      </c>
      <c r="E81" s="127">
        <v>0.503784</v>
      </c>
      <c r="F81" s="127">
        <v>24.864</v>
      </c>
      <c r="G81" s="127">
        <v>0.19444</v>
      </c>
    </row>
    <row r="82">
      <c r="A82" s="127">
        <v>2015.0</v>
      </c>
      <c r="B82" s="127" t="s">
        <v>419</v>
      </c>
      <c r="C82" s="127">
        <v>606.0</v>
      </c>
      <c r="D82" s="127">
        <v>0.156</v>
      </c>
      <c r="E82" s="127">
        <v>0.243774</v>
      </c>
      <c r="F82" s="127">
        <v>24.8868</v>
      </c>
      <c r="G82" s="127">
        <v>-0.12368</v>
      </c>
    </row>
    <row r="83">
      <c r="A83" s="127">
        <v>2016.0</v>
      </c>
      <c r="B83" s="127" t="s">
        <v>419</v>
      </c>
      <c r="C83" s="127">
        <v>1110.0</v>
      </c>
      <c r="D83" s="127">
        <v>0.126</v>
      </c>
      <c r="E83" s="127">
        <v>0.280333</v>
      </c>
      <c r="F83" s="127">
        <v>24.8021</v>
      </c>
      <c r="G83" s="127">
        <v>-0.08124</v>
      </c>
    </row>
    <row r="84">
      <c r="A84" s="127">
        <v>2017.0</v>
      </c>
      <c r="B84" s="127" t="s">
        <v>419</v>
      </c>
      <c r="C84" s="127">
        <v>1740.0</v>
      </c>
      <c r="D84" s="127">
        <v>0.161</v>
      </c>
      <c r="E84" s="127">
        <v>0.300825</v>
      </c>
      <c r="F84" s="127">
        <v>24.8903</v>
      </c>
      <c r="G84" s="127">
        <v>0.09219</v>
      </c>
    </row>
    <row r="85">
      <c r="A85" s="127">
        <v>2018.0</v>
      </c>
      <c r="B85" s="127" t="s">
        <v>419</v>
      </c>
      <c r="C85" s="127">
        <v>1600.0</v>
      </c>
      <c r="D85" s="127">
        <v>0.187</v>
      </c>
      <c r="E85" s="127">
        <v>0.251496</v>
      </c>
      <c r="F85" s="127">
        <v>25.0489</v>
      </c>
      <c r="G85" s="127">
        <v>0.17186</v>
      </c>
    </row>
    <row r="86">
      <c r="A86" s="127">
        <v>2019.0</v>
      </c>
      <c r="B86" s="127" t="s">
        <v>419</v>
      </c>
      <c r="C86" s="127">
        <v>1790.0</v>
      </c>
      <c r="D86" s="127">
        <v>0.194</v>
      </c>
      <c r="E86" s="127">
        <v>0.202067</v>
      </c>
      <c r="F86" s="127">
        <v>25.0408</v>
      </c>
      <c r="G86" s="127">
        <v>-0.00802</v>
      </c>
    </row>
    <row r="87">
      <c r="A87" s="127">
        <v>2020.0</v>
      </c>
      <c r="B87" s="127" t="s">
        <v>419</v>
      </c>
      <c r="C87" s="127">
        <v>1710.0</v>
      </c>
      <c r="D87" s="127">
        <v>0.126</v>
      </c>
      <c r="E87" s="127">
        <v>0.216881</v>
      </c>
      <c r="F87" s="127">
        <v>24.8843</v>
      </c>
      <c r="G87" s="127">
        <v>-0.14493</v>
      </c>
    </row>
    <row r="88">
      <c r="A88" s="127">
        <v>2021.0</v>
      </c>
      <c r="B88" s="127" t="s">
        <v>419</v>
      </c>
      <c r="C88" s="127">
        <v>1570.0</v>
      </c>
      <c r="D88" s="127">
        <v>0.112</v>
      </c>
      <c r="E88" s="127">
        <v>0.337387</v>
      </c>
      <c r="F88" s="127">
        <v>25.0926</v>
      </c>
      <c r="G88" s="127">
        <v>0.23166</v>
      </c>
    </row>
    <row r="89">
      <c r="A89" s="127">
        <v>2022.0</v>
      </c>
      <c r="B89" s="127" t="s">
        <v>419</v>
      </c>
      <c r="C89" s="127">
        <v>1620.0</v>
      </c>
      <c r="D89" s="127">
        <v>0.182</v>
      </c>
      <c r="E89" s="127">
        <v>0.259961</v>
      </c>
      <c r="F89" s="127">
        <v>25.3356</v>
      </c>
      <c r="G89" s="127">
        <v>0.27511</v>
      </c>
    </row>
    <row r="90">
      <c r="A90" s="127">
        <v>2023.0</v>
      </c>
      <c r="B90" s="127" t="s">
        <v>419</v>
      </c>
      <c r="C90" s="127">
        <v>1410.0</v>
      </c>
      <c r="D90" s="127">
        <v>0.134</v>
      </c>
      <c r="E90" s="127">
        <v>0.255894</v>
      </c>
      <c r="F90" s="127">
        <v>25.2226</v>
      </c>
      <c r="G90" s="127">
        <v>-0.10692</v>
      </c>
    </row>
    <row r="91">
      <c r="A91" s="127">
        <v>2024.0</v>
      </c>
      <c r="B91" s="127" t="s">
        <v>419</v>
      </c>
      <c r="C91" s="127">
        <v>1800.0</v>
      </c>
      <c r="D91" s="127">
        <v>0.129</v>
      </c>
      <c r="E91" s="127">
        <v>0.247803</v>
      </c>
      <c r="F91" s="127">
        <v>25.3635</v>
      </c>
      <c r="G91" s="127">
        <v>0.1513</v>
      </c>
    </row>
    <row r="92">
      <c r="A92" s="127">
        <v>2015.0</v>
      </c>
      <c r="B92" s="127" t="s">
        <v>226</v>
      </c>
      <c r="C92" s="127">
        <v>55.7</v>
      </c>
      <c r="D92" s="127">
        <v>0.137</v>
      </c>
      <c r="E92" s="127">
        <v>0.432829</v>
      </c>
      <c r="F92" s="127">
        <v>24.0357</v>
      </c>
      <c r="G92" s="127">
        <v>0.07552</v>
      </c>
    </row>
    <row r="93">
      <c r="A93" s="127">
        <v>2016.0</v>
      </c>
      <c r="B93" s="127" t="s">
        <v>226</v>
      </c>
      <c r="C93" s="127">
        <v>114.0</v>
      </c>
      <c r="D93" s="127">
        <v>0.199</v>
      </c>
      <c r="E93" s="127">
        <v>0.402578</v>
      </c>
      <c r="F93" s="127">
        <v>24.2283</v>
      </c>
      <c r="G93" s="127">
        <v>0.21237</v>
      </c>
    </row>
    <row r="94">
      <c r="A94" s="127">
        <v>2017.0</v>
      </c>
      <c r="B94" s="127" t="s">
        <v>226</v>
      </c>
      <c r="C94" s="127">
        <v>142.0</v>
      </c>
      <c r="D94" s="127">
        <v>0.151</v>
      </c>
      <c r="E94" s="127">
        <v>0.388981</v>
      </c>
      <c r="F94" s="127">
        <v>24.5554</v>
      </c>
      <c r="G94" s="127">
        <v>0.38694</v>
      </c>
    </row>
    <row r="95">
      <c r="A95" s="127">
        <v>2018.0</v>
      </c>
      <c r="B95" s="127" t="s">
        <v>226</v>
      </c>
      <c r="C95" s="127">
        <v>161.0</v>
      </c>
      <c r="D95" s="127">
        <v>0.11</v>
      </c>
      <c r="E95" s="127">
        <v>0.480678</v>
      </c>
      <c r="F95" s="127">
        <v>24.7457</v>
      </c>
      <c r="G95" s="127">
        <v>0.20958</v>
      </c>
    </row>
    <row r="96">
      <c r="A96" s="127">
        <v>2019.0</v>
      </c>
      <c r="B96" s="127" t="s">
        <v>226</v>
      </c>
      <c r="C96" s="127">
        <v>171.0</v>
      </c>
      <c r="D96" s="127">
        <v>0.0745</v>
      </c>
      <c r="E96" s="127">
        <v>0.530473</v>
      </c>
      <c r="F96" s="127">
        <v>24.8768</v>
      </c>
      <c r="G96" s="127">
        <v>0.14008</v>
      </c>
    </row>
    <row r="97">
      <c r="A97" s="127">
        <v>2020.0</v>
      </c>
      <c r="B97" s="127" t="s">
        <v>226</v>
      </c>
      <c r="C97" s="127">
        <v>368.0</v>
      </c>
      <c r="D97" s="127">
        <v>0.103</v>
      </c>
      <c r="E97" s="127">
        <v>0.549699</v>
      </c>
      <c r="F97" s="127">
        <v>25.2244</v>
      </c>
      <c r="G97" s="127">
        <v>0.41566</v>
      </c>
    </row>
    <row r="98">
      <c r="A98" s="127">
        <v>2021.0</v>
      </c>
      <c r="B98" s="127" t="s">
        <v>226</v>
      </c>
      <c r="C98" s="127">
        <v>495.0</v>
      </c>
      <c r="D98" s="127">
        <v>0.194</v>
      </c>
      <c r="E98" s="127">
        <v>0.490673</v>
      </c>
      <c r="F98" s="127">
        <v>25.7318</v>
      </c>
      <c r="G98" s="127">
        <v>0.66092</v>
      </c>
    </row>
    <row r="99">
      <c r="A99" s="127">
        <v>2022.0</v>
      </c>
      <c r="B99" s="127" t="s">
        <v>226</v>
      </c>
      <c r="C99" s="127">
        <v>359.0</v>
      </c>
      <c r="D99" s="127">
        <v>0.0496</v>
      </c>
      <c r="E99" s="127">
        <v>0.435743</v>
      </c>
      <c r="F99" s="127">
        <v>25.6749</v>
      </c>
      <c r="G99" s="127">
        <v>-0.05525</v>
      </c>
    </row>
    <row r="100">
      <c r="A100" s="127">
        <v>2023.0</v>
      </c>
      <c r="B100" s="127" t="s">
        <v>226</v>
      </c>
      <c r="C100" s="127">
        <v>656.0</v>
      </c>
      <c r="D100" s="127">
        <v>0.0362</v>
      </c>
      <c r="E100" s="127">
        <v>0.452364</v>
      </c>
      <c r="F100" s="127">
        <v>25.502</v>
      </c>
      <c r="G100" s="127">
        <v>-0.1588</v>
      </c>
    </row>
    <row r="101">
      <c r="A101" s="127">
        <v>2024.0</v>
      </c>
      <c r="B101" s="127" t="s">
        <v>226</v>
      </c>
      <c r="C101" s="127">
        <v>576.0</v>
      </c>
      <c r="D101" s="127">
        <v>0.0535</v>
      </c>
      <c r="E101" s="127">
        <v>0.489298</v>
      </c>
      <c r="F101" s="127">
        <v>25.6567</v>
      </c>
      <c r="G101" s="127">
        <v>0.16731</v>
      </c>
    </row>
    <row r="102">
      <c r="A102" s="127">
        <v>2015.0</v>
      </c>
      <c r="B102" s="127" t="s">
        <v>1219</v>
      </c>
      <c r="C102" s="127">
        <v>2127.26</v>
      </c>
      <c r="D102" s="127">
        <v>0.031423</v>
      </c>
      <c r="E102" s="127">
        <v>0.511523</v>
      </c>
      <c r="F102" s="127">
        <v>20.772</v>
      </c>
      <c r="G102" s="127">
        <v>0.69051</v>
      </c>
    </row>
    <row r="103">
      <c r="A103" s="127">
        <v>2016.0</v>
      </c>
      <c r="B103" s="127" t="s">
        <v>1219</v>
      </c>
      <c r="C103" s="127">
        <v>5863.69</v>
      </c>
      <c r="D103" s="127">
        <v>0.051072</v>
      </c>
      <c r="E103" s="127">
        <v>0.445904</v>
      </c>
      <c r="F103" s="127">
        <v>22.0923</v>
      </c>
      <c r="G103" s="127">
        <v>2.74463</v>
      </c>
    </row>
    <row r="104">
      <c r="A104" s="127">
        <v>2017.0</v>
      </c>
      <c r="B104" s="127" t="s">
        <v>1219</v>
      </c>
      <c r="C104" s="127">
        <v>2288.24</v>
      </c>
      <c r="D104" s="127">
        <v>0.057519</v>
      </c>
      <c r="E104" s="127">
        <v>0.362855</v>
      </c>
      <c r="F104" s="127">
        <v>21.84</v>
      </c>
      <c r="G104" s="127">
        <v>-0.22302</v>
      </c>
    </row>
    <row r="105">
      <c r="A105" s="127">
        <v>2018.0</v>
      </c>
      <c r="B105" s="127" t="s">
        <v>1219</v>
      </c>
      <c r="C105" s="127">
        <v>3935.76</v>
      </c>
      <c r="D105" s="127">
        <v>0.079155</v>
      </c>
      <c r="E105" s="127">
        <v>0.325423</v>
      </c>
      <c r="F105" s="127">
        <v>21.7937</v>
      </c>
      <c r="G105" s="127">
        <v>-0.04525</v>
      </c>
    </row>
    <row r="106">
      <c r="A106" s="127">
        <v>2019.0</v>
      </c>
      <c r="B106" s="127" t="s">
        <v>1219</v>
      </c>
      <c r="C106" s="127">
        <v>6401.86</v>
      </c>
      <c r="D106" s="127">
        <v>0.069265</v>
      </c>
      <c r="E106" s="127">
        <v>0.421004</v>
      </c>
      <c r="F106" s="127">
        <v>21.7576</v>
      </c>
      <c r="G106" s="127">
        <v>-0.0354</v>
      </c>
    </row>
    <row r="107">
      <c r="A107" s="127">
        <v>2020.0</v>
      </c>
      <c r="B107" s="127" t="s">
        <v>1219</v>
      </c>
      <c r="C107" s="127">
        <v>7705.92</v>
      </c>
      <c r="D107" s="127">
        <v>0.08285</v>
      </c>
      <c r="E107" s="127">
        <v>0.414538</v>
      </c>
      <c r="F107" s="127">
        <v>22.2344</v>
      </c>
      <c r="G107" s="127">
        <v>0.61091</v>
      </c>
    </row>
    <row r="108">
      <c r="A108" s="127">
        <v>2021.0</v>
      </c>
      <c r="B108" s="127" t="s">
        <v>1219</v>
      </c>
      <c r="C108" s="127">
        <v>6535.72</v>
      </c>
      <c r="D108" s="127">
        <v>0.083808</v>
      </c>
      <c r="E108" s="127">
        <v>0.288846</v>
      </c>
      <c r="F108" s="127">
        <v>22.0419</v>
      </c>
      <c r="G108" s="127">
        <v>-0.17513</v>
      </c>
    </row>
    <row r="109">
      <c r="A109" s="127">
        <v>2022.0</v>
      </c>
      <c r="B109" s="127" t="s">
        <v>1219</v>
      </c>
      <c r="C109" s="127">
        <v>5843.7</v>
      </c>
      <c r="D109" s="127">
        <v>0.050245</v>
      </c>
      <c r="E109" s="127">
        <v>0.452417</v>
      </c>
      <c r="F109" s="127">
        <v>21.7921</v>
      </c>
      <c r="G109" s="127">
        <v>-0.22106</v>
      </c>
    </row>
    <row r="110">
      <c r="A110" s="127">
        <v>2023.0</v>
      </c>
      <c r="B110" s="127" t="s">
        <v>1219</v>
      </c>
      <c r="C110" s="127">
        <v>5497.5</v>
      </c>
      <c r="D110" s="127">
        <v>0.027548</v>
      </c>
      <c r="E110" s="127">
        <v>0.413803</v>
      </c>
      <c r="F110" s="127">
        <v>21.4594</v>
      </c>
      <c r="G110" s="127">
        <v>-0.28304</v>
      </c>
    </row>
    <row r="111">
      <c r="A111" s="127">
        <v>2024.0</v>
      </c>
      <c r="B111" s="127" t="s">
        <v>1219</v>
      </c>
      <c r="C111" s="127">
        <v>6441.78</v>
      </c>
      <c r="D111" s="127">
        <v>0.026128</v>
      </c>
      <c r="E111" s="127">
        <v>0.367527</v>
      </c>
      <c r="F111" s="127">
        <v>21.9107</v>
      </c>
      <c r="G111" s="127">
        <v>0.57038</v>
      </c>
    </row>
    <row r="112">
      <c r="A112" s="127">
        <v>2015.0</v>
      </c>
      <c r="B112" s="127" t="s">
        <v>483</v>
      </c>
      <c r="C112" s="127">
        <v>15.4</v>
      </c>
      <c r="D112" s="127">
        <v>0.0114</v>
      </c>
      <c r="E112" s="127">
        <v>0.895119</v>
      </c>
      <c r="F112" s="127">
        <v>22.822</v>
      </c>
      <c r="G112" s="127">
        <v>0.03409</v>
      </c>
    </row>
    <row r="113">
      <c r="A113" s="127">
        <v>2016.0</v>
      </c>
      <c r="B113" s="127" t="s">
        <v>483</v>
      </c>
      <c r="C113" s="127">
        <v>18.4</v>
      </c>
      <c r="D113" s="127">
        <v>0.0113</v>
      </c>
      <c r="E113" s="127">
        <v>0.896244</v>
      </c>
      <c r="F113" s="127">
        <v>22.9067</v>
      </c>
      <c r="G113" s="127">
        <v>0.0884</v>
      </c>
    </row>
    <row r="114">
      <c r="A114" s="127">
        <v>2017.0</v>
      </c>
      <c r="B114" s="127" t="s">
        <v>483</v>
      </c>
      <c r="C114" s="127">
        <v>31.2</v>
      </c>
      <c r="D114" s="127">
        <v>0.0111</v>
      </c>
      <c r="E114" s="127">
        <v>0.905692</v>
      </c>
      <c r="F114" s="127">
        <v>23.2645</v>
      </c>
      <c r="G114" s="127">
        <v>0.4303</v>
      </c>
    </row>
    <row r="115">
      <c r="A115" s="127">
        <v>2018.0</v>
      </c>
      <c r="B115" s="127" t="s">
        <v>483</v>
      </c>
      <c r="C115" s="127">
        <v>26.3</v>
      </c>
      <c r="D115" s="127">
        <v>0.0171</v>
      </c>
      <c r="E115" s="127">
        <v>0.905684</v>
      </c>
      <c r="F115" s="127">
        <v>23.6075</v>
      </c>
      <c r="G115" s="127">
        <v>0.40911</v>
      </c>
    </row>
    <row r="116">
      <c r="A116" s="127">
        <v>2019.0</v>
      </c>
      <c r="B116" s="127" t="s">
        <v>483</v>
      </c>
      <c r="C116" s="127">
        <v>32.4</v>
      </c>
      <c r="D116" s="127">
        <v>0.0196</v>
      </c>
      <c r="E116" s="127">
        <v>0.903069</v>
      </c>
      <c r="F116" s="127">
        <v>23.8356</v>
      </c>
      <c r="G116" s="127">
        <v>0.25618</v>
      </c>
    </row>
    <row r="117">
      <c r="A117" s="127">
        <v>2020.0</v>
      </c>
      <c r="B117" s="127" t="s">
        <v>483</v>
      </c>
      <c r="C117" s="127">
        <v>37.5</v>
      </c>
      <c r="D117" s="127">
        <v>0.0174</v>
      </c>
      <c r="E117" s="127">
        <v>0.898785</v>
      </c>
      <c r="F117" s="127">
        <v>23.9655</v>
      </c>
      <c r="G117" s="127">
        <v>0.13871</v>
      </c>
    </row>
    <row r="118">
      <c r="A118" s="127">
        <v>2021.0</v>
      </c>
      <c r="B118" s="127" t="s">
        <v>483</v>
      </c>
      <c r="C118" s="127">
        <v>61.2</v>
      </c>
      <c r="D118" s="127">
        <v>0.0218</v>
      </c>
      <c r="E118" s="127">
        <v>0.897081</v>
      </c>
      <c r="F118" s="127">
        <v>24.2368</v>
      </c>
      <c r="G118" s="127">
        <v>0.31165</v>
      </c>
    </row>
    <row r="119">
      <c r="A119" s="127">
        <v>2022.0</v>
      </c>
      <c r="B119" s="127" t="s">
        <v>483</v>
      </c>
      <c r="C119" s="127">
        <v>49.0</v>
      </c>
      <c r="D119" s="127">
        <v>0.0249</v>
      </c>
      <c r="E119" s="127">
        <v>0.890721</v>
      </c>
      <c r="F119" s="127">
        <v>24.4919</v>
      </c>
      <c r="G119" s="127">
        <v>0.29059</v>
      </c>
    </row>
    <row r="120">
      <c r="A120" s="127">
        <v>2023.0</v>
      </c>
      <c r="B120" s="127" t="s">
        <v>483</v>
      </c>
      <c r="C120" s="127">
        <v>58.2</v>
      </c>
      <c r="D120" s="127">
        <v>0.0223</v>
      </c>
      <c r="E120" s="127">
        <v>0.897655</v>
      </c>
      <c r="F120" s="127">
        <v>24.5259</v>
      </c>
      <c r="G120" s="127">
        <v>0.03467</v>
      </c>
    </row>
    <row r="121">
      <c r="A121" s="127">
        <v>2024.0</v>
      </c>
      <c r="B121" s="127" t="s">
        <v>483</v>
      </c>
      <c r="C121" s="127">
        <v>76.7</v>
      </c>
      <c r="D121" s="127">
        <v>0.0203</v>
      </c>
      <c r="E121" s="127">
        <v>0.896297</v>
      </c>
      <c r="F121" s="127">
        <v>24.676</v>
      </c>
      <c r="G121" s="127">
        <v>0.16195</v>
      </c>
    </row>
    <row r="122">
      <c r="A122" s="127">
        <v>2015.0</v>
      </c>
      <c r="B122" s="127" t="s">
        <v>160</v>
      </c>
      <c r="C122" s="127">
        <v>253.0</v>
      </c>
      <c r="D122" s="127">
        <v>0.0352</v>
      </c>
      <c r="E122" s="127">
        <v>0.622698</v>
      </c>
      <c r="F122" s="127">
        <v>24.1452</v>
      </c>
      <c r="G122" s="127">
        <v>0.90004</v>
      </c>
    </row>
    <row r="123">
      <c r="A123" s="127">
        <v>2016.0</v>
      </c>
      <c r="B123" s="127" t="s">
        <v>160</v>
      </c>
      <c r="C123" s="127">
        <v>316.0</v>
      </c>
      <c r="D123" s="127">
        <v>0.0517</v>
      </c>
      <c r="E123" s="127">
        <v>0.721894</v>
      </c>
      <c r="F123" s="127">
        <v>24.4914</v>
      </c>
      <c r="G123" s="127">
        <v>0.41362</v>
      </c>
    </row>
    <row r="124">
      <c r="A124" s="127">
        <v>2017.0</v>
      </c>
      <c r="B124" s="127" t="s">
        <v>160</v>
      </c>
      <c r="C124" s="127">
        <v>687.0</v>
      </c>
      <c r="D124" s="127">
        <v>0.0568</v>
      </c>
      <c r="E124" s="127">
        <v>0.681636</v>
      </c>
      <c r="F124" s="127">
        <v>24.3508</v>
      </c>
      <c r="G124" s="127">
        <v>-0.1311</v>
      </c>
    </row>
    <row r="125">
      <c r="A125" s="127">
        <v>2018.0</v>
      </c>
      <c r="B125" s="127" t="s">
        <v>160</v>
      </c>
      <c r="C125" s="127">
        <v>1520.0</v>
      </c>
      <c r="D125" s="127">
        <v>0.087</v>
      </c>
      <c r="E125" s="127">
        <v>0.472276</v>
      </c>
      <c r="F125" s="127">
        <v>24.3658</v>
      </c>
      <c r="G125" s="127">
        <v>0.01507</v>
      </c>
    </row>
    <row r="126">
      <c r="A126" s="127">
        <v>2019.0</v>
      </c>
      <c r="B126" s="127" t="s">
        <v>160</v>
      </c>
      <c r="C126" s="127">
        <v>1220.0</v>
      </c>
      <c r="D126" s="127">
        <v>0.0654</v>
      </c>
      <c r="E126" s="127">
        <v>0.466702</v>
      </c>
      <c r="F126" s="127">
        <v>24.3437</v>
      </c>
      <c r="G126" s="127">
        <v>-0.02183</v>
      </c>
    </row>
    <row r="127">
      <c r="A127" s="127">
        <v>2020.0</v>
      </c>
      <c r="B127" s="127" t="s">
        <v>160</v>
      </c>
      <c r="C127" s="127">
        <v>972.0</v>
      </c>
      <c r="D127" s="127">
        <v>0.0121</v>
      </c>
      <c r="E127" s="127">
        <v>0.783731</v>
      </c>
      <c r="F127" s="127">
        <v>25.0699</v>
      </c>
      <c r="G127" s="127">
        <v>1.06718</v>
      </c>
    </row>
    <row r="128">
      <c r="A128" s="127">
        <v>2021.0</v>
      </c>
      <c r="B128" s="127" t="s">
        <v>160</v>
      </c>
      <c r="C128" s="127">
        <v>887.0</v>
      </c>
      <c r="D128" s="127">
        <v>0.0801</v>
      </c>
      <c r="E128" s="127">
        <v>0.664244</v>
      </c>
      <c r="F128" s="127">
        <v>25.2077</v>
      </c>
      <c r="G128" s="127">
        <v>0.14778</v>
      </c>
    </row>
    <row r="129">
      <c r="A129" s="127">
        <v>2022.0</v>
      </c>
      <c r="B129" s="127" t="s">
        <v>160</v>
      </c>
      <c r="C129" s="127">
        <v>450.0</v>
      </c>
      <c r="D129" s="127">
        <v>0.0336</v>
      </c>
      <c r="E129" s="127">
        <v>0.740795</v>
      </c>
      <c r="F129" s="127">
        <v>25.0565</v>
      </c>
      <c r="G129" s="127">
        <v>-0.14036</v>
      </c>
    </row>
    <row r="130">
      <c r="A130" s="127">
        <v>2023.0</v>
      </c>
      <c r="B130" s="127" t="s">
        <v>160</v>
      </c>
      <c r="C130" s="127">
        <v>432.0</v>
      </c>
      <c r="D130" s="127">
        <v>0.0127</v>
      </c>
      <c r="E130" s="127">
        <v>0.74056</v>
      </c>
      <c r="F130" s="127">
        <v>25.0832</v>
      </c>
      <c r="G130" s="127">
        <v>0.02707</v>
      </c>
    </row>
    <row r="131">
      <c r="A131" s="127">
        <v>2024.0</v>
      </c>
      <c r="B131" s="127" t="s">
        <v>160</v>
      </c>
      <c r="C131" s="127">
        <v>394.0</v>
      </c>
      <c r="D131" s="127">
        <v>0.0289</v>
      </c>
      <c r="E131" s="127">
        <v>0.723871</v>
      </c>
      <c r="F131" s="127">
        <v>25.1443</v>
      </c>
      <c r="G131" s="127">
        <v>0.06295</v>
      </c>
    </row>
    <row r="132">
      <c r="A132" s="127">
        <v>2015.0</v>
      </c>
      <c r="B132" s="127" t="s">
        <v>1220</v>
      </c>
      <c r="C132" s="127">
        <v>933.07</v>
      </c>
      <c r="D132" s="127">
        <v>0.094307</v>
      </c>
      <c r="E132" s="127">
        <v>0.320764</v>
      </c>
      <c r="F132" s="127">
        <v>18.8172</v>
      </c>
      <c r="G132" s="127">
        <v>1.58287</v>
      </c>
    </row>
    <row r="133">
      <c r="A133" s="127">
        <v>2016.0</v>
      </c>
      <c r="B133" s="127" t="s">
        <v>1220</v>
      </c>
      <c r="C133" s="127">
        <v>1347.68</v>
      </c>
      <c r="D133" s="127">
        <v>0.113769</v>
      </c>
      <c r="E133" s="127">
        <v>0.073376</v>
      </c>
      <c r="F133" s="127">
        <v>18.8241</v>
      </c>
      <c r="G133" s="127">
        <v>0.00691</v>
      </c>
    </row>
    <row r="134">
      <c r="A134" s="127">
        <v>2017.0</v>
      </c>
      <c r="B134" s="127" t="s">
        <v>1220</v>
      </c>
      <c r="C134" s="127">
        <v>1044.13</v>
      </c>
      <c r="D134" s="127">
        <v>0.146978</v>
      </c>
      <c r="E134" s="127">
        <v>0.045468</v>
      </c>
      <c r="F134" s="127">
        <v>18.3415</v>
      </c>
      <c r="G134" s="127">
        <v>-0.38277</v>
      </c>
    </row>
    <row r="135">
      <c r="A135" s="127">
        <v>2018.0</v>
      </c>
      <c r="B135" s="127" t="s">
        <v>1220</v>
      </c>
      <c r="C135" s="127">
        <v>787.91</v>
      </c>
      <c r="D135" s="127">
        <v>0.145898</v>
      </c>
      <c r="E135" s="127">
        <v>0.050111</v>
      </c>
      <c r="F135" s="127">
        <v>18.4664</v>
      </c>
      <c r="G135" s="127">
        <v>0.13296</v>
      </c>
    </row>
    <row r="136">
      <c r="A136" s="127">
        <v>2019.0</v>
      </c>
      <c r="B136" s="127" t="s">
        <v>1220</v>
      </c>
      <c r="C136" s="127">
        <v>801.993</v>
      </c>
      <c r="D136" s="127">
        <v>0.253848</v>
      </c>
      <c r="E136" s="127">
        <v>0.083852</v>
      </c>
      <c r="F136" s="127">
        <v>18.9514</v>
      </c>
      <c r="G136" s="127">
        <v>0.62419</v>
      </c>
    </row>
    <row r="137">
      <c r="A137" s="127">
        <v>2020.0</v>
      </c>
      <c r="B137" s="127" t="s">
        <v>1220</v>
      </c>
      <c r="C137" s="127">
        <v>3734.48</v>
      </c>
      <c r="D137" s="127">
        <v>0.113443</v>
      </c>
      <c r="E137" s="127">
        <v>0.111123</v>
      </c>
      <c r="F137" s="127">
        <v>18.9004</v>
      </c>
      <c r="G137" s="127">
        <v>-0.04967</v>
      </c>
    </row>
    <row r="138">
      <c r="A138" s="127">
        <v>2021.0</v>
      </c>
      <c r="B138" s="127" t="s">
        <v>1220</v>
      </c>
      <c r="C138" s="127">
        <v>18615.0</v>
      </c>
      <c r="D138" s="127">
        <v>0.004711</v>
      </c>
      <c r="E138" s="127">
        <v>0.438036</v>
      </c>
      <c r="F138" s="127">
        <v>18.6234</v>
      </c>
      <c r="G138" s="127">
        <v>-0.24194</v>
      </c>
    </row>
    <row r="139">
      <c r="A139" s="127">
        <v>2022.0</v>
      </c>
      <c r="B139" s="127" t="s">
        <v>1220</v>
      </c>
      <c r="C139" s="127">
        <v>4233.24</v>
      </c>
      <c r="D139" s="127">
        <v>0.002686</v>
      </c>
      <c r="E139" s="127">
        <v>0.387282</v>
      </c>
      <c r="F139" s="127">
        <v>18.5002</v>
      </c>
      <c r="G139" s="127">
        <v>-0.11595</v>
      </c>
    </row>
    <row r="140">
      <c r="A140" s="127">
        <v>2023.0</v>
      </c>
      <c r="B140" s="127" t="s">
        <v>1220</v>
      </c>
      <c r="C140" s="127">
        <v>9191.49</v>
      </c>
      <c r="D140" s="127">
        <v>0.008607</v>
      </c>
      <c r="E140" s="127">
        <v>0.367578</v>
      </c>
      <c r="F140" s="127">
        <v>18.1078</v>
      </c>
      <c r="G140" s="127">
        <v>-0.32456</v>
      </c>
    </row>
    <row r="141">
      <c r="A141" s="127">
        <v>2024.0</v>
      </c>
      <c r="B141" s="127" t="s">
        <v>1220</v>
      </c>
      <c r="C141" s="127">
        <v>13264.7</v>
      </c>
      <c r="D141" s="127">
        <v>0.078689</v>
      </c>
      <c r="E141" s="127">
        <v>0.355524</v>
      </c>
      <c r="F141" s="127">
        <v>18.8929</v>
      </c>
      <c r="G141" s="127">
        <v>1.19261</v>
      </c>
    </row>
    <row r="142">
      <c r="A142" s="127">
        <v>2015.0</v>
      </c>
      <c r="B142" s="127" t="s">
        <v>723</v>
      </c>
      <c r="C142" s="127">
        <v>329.0</v>
      </c>
      <c r="D142" s="127">
        <v>0.0254</v>
      </c>
      <c r="E142" s="127">
        <v>0.55803</v>
      </c>
      <c r="F142" s="127">
        <v>22.7653</v>
      </c>
      <c r="G142" s="127">
        <v>-0.16232</v>
      </c>
    </row>
    <row r="143">
      <c r="A143" s="127">
        <v>2016.0</v>
      </c>
      <c r="B143" s="127" t="s">
        <v>723</v>
      </c>
      <c r="C143" s="127">
        <v>566.0</v>
      </c>
      <c r="D143" s="127">
        <v>0.126</v>
      </c>
      <c r="E143" s="127">
        <v>0.581847</v>
      </c>
      <c r="F143" s="127">
        <v>22.8709</v>
      </c>
      <c r="G143" s="127">
        <v>0.11141</v>
      </c>
    </row>
    <row r="144">
      <c r="A144" s="127">
        <v>2017.0</v>
      </c>
      <c r="B144" s="127" t="s">
        <v>723</v>
      </c>
      <c r="C144" s="127">
        <v>937.0</v>
      </c>
      <c r="D144" s="127">
        <v>0.159</v>
      </c>
      <c r="E144" s="127">
        <v>0.337474</v>
      </c>
      <c r="F144" s="127">
        <v>23.119</v>
      </c>
      <c r="G144" s="127">
        <v>0.28165</v>
      </c>
    </row>
    <row r="145">
      <c r="A145" s="127">
        <v>2018.0</v>
      </c>
      <c r="B145" s="127" t="s">
        <v>723</v>
      </c>
      <c r="C145" s="127">
        <v>762.0</v>
      </c>
      <c r="D145" s="127">
        <v>0.149</v>
      </c>
      <c r="E145" s="127">
        <v>0.418277</v>
      </c>
      <c r="F145" s="127">
        <v>23.4023</v>
      </c>
      <c r="G145" s="127">
        <v>0.32744</v>
      </c>
    </row>
    <row r="146">
      <c r="A146" s="127">
        <v>2019.0</v>
      </c>
      <c r="B146" s="127" t="s">
        <v>723</v>
      </c>
      <c r="C146" s="127">
        <v>1100.0</v>
      </c>
      <c r="D146" s="127">
        <v>0.139</v>
      </c>
      <c r="E146" s="127">
        <v>0.467943</v>
      </c>
      <c r="F146" s="127">
        <v>23.5565</v>
      </c>
      <c r="G146" s="127">
        <v>0.16674</v>
      </c>
    </row>
    <row r="147">
      <c r="A147" s="127">
        <v>2020.0</v>
      </c>
      <c r="B147" s="127" t="s">
        <v>723</v>
      </c>
      <c r="C147" s="127">
        <v>1460.0</v>
      </c>
      <c r="D147" s="127">
        <v>0.126</v>
      </c>
      <c r="E147" s="127">
        <v>0.382085</v>
      </c>
      <c r="F147" s="127">
        <v>23.5861</v>
      </c>
      <c r="G147" s="127">
        <v>0.03001</v>
      </c>
    </row>
    <row r="148">
      <c r="A148" s="127">
        <v>2021.0</v>
      </c>
      <c r="B148" s="127" t="s">
        <v>723</v>
      </c>
      <c r="C148" s="127">
        <v>1420.0</v>
      </c>
      <c r="D148" s="127">
        <v>0.0969</v>
      </c>
      <c r="E148" s="127">
        <v>0.433786</v>
      </c>
      <c r="F148" s="127">
        <v>23.6961</v>
      </c>
      <c r="G148" s="127">
        <v>0.11629</v>
      </c>
    </row>
    <row r="149">
      <c r="A149" s="127">
        <v>2022.0</v>
      </c>
      <c r="B149" s="127" t="s">
        <v>723</v>
      </c>
      <c r="C149" s="127">
        <v>1430.0</v>
      </c>
      <c r="D149" s="127">
        <v>0.136</v>
      </c>
      <c r="E149" s="127">
        <v>0.366873</v>
      </c>
      <c r="F149" s="127">
        <v>24.246</v>
      </c>
      <c r="G149" s="127">
        <v>0.73307</v>
      </c>
    </row>
    <row r="150">
      <c r="A150" s="127">
        <v>2023.0</v>
      </c>
      <c r="B150" s="127" t="s">
        <v>723</v>
      </c>
      <c r="C150" s="127">
        <v>1410.0</v>
      </c>
      <c r="D150" s="127">
        <v>0.137</v>
      </c>
      <c r="E150" s="127">
        <v>0.320316</v>
      </c>
      <c r="F150" s="127">
        <v>24.2239</v>
      </c>
      <c r="G150" s="127">
        <v>-0.02183</v>
      </c>
    </row>
    <row r="151">
      <c r="A151" s="127">
        <v>2024.0</v>
      </c>
      <c r="B151" s="127" t="s">
        <v>723</v>
      </c>
      <c r="C151" s="127">
        <v>1830.0</v>
      </c>
      <c r="D151" s="127">
        <v>0.123</v>
      </c>
      <c r="E151" s="127">
        <v>0.345916</v>
      </c>
      <c r="F151" s="127">
        <v>24.3562</v>
      </c>
      <c r="G151" s="127">
        <v>0.14141</v>
      </c>
    </row>
    <row r="152">
      <c r="A152" s="127">
        <v>2015.0</v>
      </c>
      <c r="B152" s="127" t="s">
        <v>852</v>
      </c>
      <c r="C152" s="127">
        <v>140.0</v>
      </c>
      <c r="D152" s="127">
        <v>0.0924</v>
      </c>
      <c r="E152" s="127">
        <v>0.304499</v>
      </c>
      <c r="F152" s="127">
        <v>21.6953</v>
      </c>
      <c r="G152" s="127">
        <v>0.00532</v>
      </c>
    </row>
    <row r="153">
      <c r="A153" s="127">
        <v>2016.0</v>
      </c>
      <c r="B153" s="127" t="s">
        <v>852</v>
      </c>
      <c r="C153" s="127">
        <v>264.0</v>
      </c>
      <c r="D153" s="127">
        <v>0.103</v>
      </c>
      <c r="E153" s="127">
        <v>0.322507</v>
      </c>
      <c r="F153" s="127">
        <v>22.0206</v>
      </c>
      <c r="G153" s="127">
        <v>0.38435</v>
      </c>
    </row>
    <row r="154">
      <c r="A154" s="127">
        <v>2017.0</v>
      </c>
      <c r="B154" s="127" t="s">
        <v>852</v>
      </c>
      <c r="C154" s="127">
        <v>206.0</v>
      </c>
      <c r="D154" s="127">
        <v>0.107</v>
      </c>
      <c r="E154" s="127">
        <v>0.391852</v>
      </c>
      <c r="F154" s="127">
        <v>22.3317</v>
      </c>
      <c r="G154" s="127">
        <v>0.36504</v>
      </c>
    </row>
    <row r="155">
      <c r="A155" s="127">
        <v>2018.0</v>
      </c>
      <c r="B155" s="127" t="s">
        <v>852</v>
      </c>
      <c r="C155" s="127">
        <v>196.0</v>
      </c>
      <c r="D155" s="127">
        <v>0.122</v>
      </c>
      <c r="E155" s="127">
        <v>0.359446</v>
      </c>
      <c r="F155" s="127">
        <v>22.3526</v>
      </c>
      <c r="G155" s="127">
        <v>0.02112</v>
      </c>
    </row>
    <row r="156">
      <c r="A156" s="127">
        <v>2019.0</v>
      </c>
      <c r="B156" s="127" t="s">
        <v>852</v>
      </c>
      <c r="C156" s="127">
        <v>191.0</v>
      </c>
      <c r="D156" s="127">
        <v>0.0876</v>
      </c>
      <c r="E156" s="127">
        <v>0.434245</v>
      </c>
      <c r="F156" s="127">
        <v>22.3104</v>
      </c>
      <c r="G156" s="127">
        <v>-0.04133</v>
      </c>
    </row>
    <row r="157">
      <c r="A157" s="127">
        <v>2020.0</v>
      </c>
      <c r="B157" s="127" t="s">
        <v>852</v>
      </c>
      <c r="C157" s="127">
        <v>109.0</v>
      </c>
      <c r="D157" s="127">
        <v>0.0835</v>
      </c>
      <c r="E157" s="127">
        <v>0.405145</v>
      </c>
      <c r="F157" s="127">
        <v>22.4531</v>
      </c>
      <c r="G157" s="127">
        <v>0.15336</v>
      </c>
    </row>
    <row r="158">
      <c r="A158" s="127">
        <v>2021.0</v>
      </c>
      <c r="B158" s="127" t="s">
        <v>852</v>
      </c>
      <c r="C158" s="127">
        <v>93.7</v>
      </c>
      <c r="D158" s="127">
        <v>0.0671</v>
      </c>
      <c r="E158" s="127">
        <v>0.486038</v>
      </c>
      <c r="F158" s="127">
        <v>22.4828</v>
      </c>
      <c r="G158" s="127">
        <v>0.03015</v>
      </c>
    </row>
    <row r="159">
      <c r="A159" s="127">
        <v>2022.0</v>
      </c>
      <c r="B159" s="127" t="s">
        <v>852</v>
      </c>
      <c r="C159" s="127">
        <v>70.4</v>
      </c>
      <c r="D159" s="127">
        <v>0.104</v>
      </c>
      <c r="E159" s="127">
        <v>0.433763</v>
      </c>
      <c r="F159" s="127">
        <v>22.961</v>
      </c>
      <c r="G159" s="127">
        <v>0.61312</v>
      </c>
    </row>
    <row r="160">
      <c r="A160" s="127">
        <v>2023.0</v>
      </c>
      <c r="B160" s="127" t="s">
        <v>852</v>
      </c>
      <c r="C160" s="127">
        <v>163.0</v>
      </c>
      <c r="D160" s="127">
        <v>0.0798</v>
      </c>
      <c r="E160" s="127">
        <v>0.405077</v>
      </c>
      <c r="F160" s="127">
        <v>22.8715</v>
      </c>
      <c r="G160" s="127">
        <v>-0.08558</v>
      </c>
    </row>
    <row r="161">
      <c r="A161" s="127">
        <v>2024.0</v>
      </c>
      <c r="B161" s="127" t="s">
        <v>852</v>
      </c>
      <c r="C161" s="127">
        <v>59.3</v>
      </c>
      <c r="D161" s="127">
        <v>0.0659</v>
      </c>
      <c r="E161" s="127">
        <v>0.382471</v>
      </c>
      <c r="F161" s="127">
        <v>22.8496</v>
      </c>
      <c r="G161" s="127">
        <v>-0.02173</v>
      </c>
    </row>
    <row r="162">
      <c r="A162" s="127">
        <v>2015.0</v>
      </c>
      <c r="B162" s="127" t="s">
        <v>1020</v>
      </c>
      <c r="C162" s="127">
        <v>237.0</v>
      </c>
      <c r="D162" s="127">
        <v>0.0637</v>
      </c>
      <c r="E162" s="127">
        <v>0.571417</v>
      </c>
      <c r="F162" s="127">
        <v>21.5725</v>
      </c>
      <c r="G162" s="127">
        <v>0.04467</v>
      </c>
    </row>
    <row r="163">
      <c r="A163" s="127">
        <v>2016.0</v>
      </c>
      <c r="B163" s="127" t="s">
        <v>1020</v>
      </c>
      <c r="C163" s="127">
        <v>296.0</v>
      </c>
      <c r="D163" s="127">
        <v>0.0781</v>
      </c>
      <c r="E163" s="127">
        <v>0.514586</v>
      </c>
      <c r="F163" s="127">
        <v>21.5727</v>
      </c>
      <c r="G163" s="127">
        <v>2.0E-4</v>
      </c>
    </row>
    <row r="164">
      <c r="A164" s="127">
        <v>2017.0</v>
      </c>
      <c r="B164" s="127" t="s">
        <v>1020</v>
      </c>
      <c r="C164" s="127">
        <v>347.0</v>
      </c>
      <c r="D164" s="127">
        <v>0.0743</v>
      </c>
      <c r="E164" s="127">
        <v>0.524274</v>
      </c>
      <c r="F164" s="127">
        <v>21.5914</v>
      </c>
      <c r="G164" s="127">
        <v>0.01888</v>
      </c>
    </row>
    <row r="165">
      <c r="A165" s="127">
        <v>2018.0</v>
      </c>
      <c r="B165" s="127" t="s">
        <v>1020</v>
      </c>
      <c r="C165" s="127">
        <v>432.0</v>
      </c>
      <c r="D165" s="127">
        <v>0.0553</v>
      </c>
      <c r="E165" s="127">
        <v>0.53412</v>
      </c>
      <c r="F165" s="127">
        <v>21.5303</v>
      </c>
      <c r="G165" s="127">
        <v>-0.05936</v>
      </c>
    </row>
    <row r="166">
      <c r="A166" s="127">
        <v>2019.0</v>
      </c>
      <c r="B166" s="127" t="s">
        <v>1020</v>
      </c>
      <c r="C166" s="127">
        <v>230.0</v>
      </c>
      <c r="D166" s="127">
        <v>0.00142</v>
      </c>
      <c r="E166" s="127">
        <v>0.487747</v>
      </c>
      <c r="F166" s="127">
        <v>21.2101</v>
      </c>
      <c r="G166" s="127">
        <v>-0.274</v>
      </c>
    </row>
    <row r="167">
      <c r="A167" s="127">
        <v>2020.0</v>
      </c>
      <c r="B167" s="127" t="s">
        <v>1020</v>
      </c>
      <c r="C167" s="127">
        <v>289.0</v>
      </c>
      <c r="D167" s="127">
        <v>0.00287</v>
      </c>
      <c r="E167" s="127">
        <v>0.46989</v>
      </c>
      <c r="F167" s="127">
        <v>21.0515</v>
      </c>
      <c r="G167" s="127">
        <v>-0.14665</v>
      </c>
    </row>
    <row r="168">
      <c r="A168" s="127">
        <v>2021.0</v>
      </c>
      <c r="B168" s="127" t="s">
        <v>1020</v>
      </c>
      <c r="C168" s="127">
        <v>545.0</v>
      </c>
      <c r="D168" s="127">
        <v>0.0256</v>
      </c>
      <c r="E168" s="127">
        <v>0.591416</v>
      </c>
      <c r="F168" s="127">
        <v>21.4698</v>
      </c>
      <c r="G168" s="127">
        <v>0.51943</v>
      </c>
    </row>
    <row r="169">
      <c r="A169" s="127">
        <v>2022.0</v>
      </c>
      <c r="B169" s="127" t="s">
        <v>1020</v>
      </c>
      <c r="C169" s="127">
        <v>371.0</v>
      </c>
      <c r="D169" s="127">
        <v>0.0416</v>
      </c>
      <c r="E169" s="127">
        <v>0.43193</v>
      </c>
      <c r="F169" s="127">
        <v>21.4207</v>
      </c>
      <c r="G169" s="127">
        <v>-0.04795</v>
      </c>
    </row>
    <row r="170">
      <c r="A170" s="127">
        <v>2023.0</v>
      </c>
      <c r="B170" s="127" t="s">
        <v>1020</v>
      </c>
      <c r="C170" s="127">
        <v>293.0</v>
      </c>
      <c r="D170" s="127">
        <v>0.0457</v>
      </c>
      <c r="E170" s="127">
        <v>0.474623</v>
      </c>
      <c r="F170" s="127">
        <v>21.1673</v>
      </c>
      <c r="G170" s="127">
        <v>-0.22382</v>
      </c>
    </row>
    <row r="171">
      <c r="A171" s="127">
        <v>2024.0</v>
      </c>
      <c r="B171" s="127" t="s">
        <v>1020</v>
      </c>
      <c r="C171" s="127">
        <v>333.0</v>
      </c>
      <c r="D171" s="127">
        <v>0.0186</v>
      </c>
      <c r="E171" s="127">
        <v>0.530101</v>
      </c>
      <c r="F171" s="127">
        <v>21.1934</v>
      </c>
      <c r="G171" s="127">
        <v>0.02642</v>
      </c>
    </row>
    <row r="172">
      <c r="A172" s="127">
        <v>2015.0</v>
      </c>
      <c r="B172" s="127" t="s">
        <v>1076</v>
      </c>
      <c r="C172" s="127">
        <v>263.0</v>
      </c>
      <c r="D172" s="127">
        <v>0.0565</v>
      </c>
      <c r="E172" s="127">
        <v>0.57536</v>
      </c>
      <c r="F172" s="127">
        <v>20.2035</v>
      </c>
      <c r="G172" s="127">
        <v>-0.00295</v>
      </c>
    </row>
    <row r="173">
      <c r="A173" s="127">
        <v>2016.0</v>
      </c>
      <c r="B173" s="127" t="s">
        <v>1076</v>
      </c>
      <c r="C173" s="127">
        <v>329.0</v>
      </c>
      <c r="D173" s="127">
        <v>0.0371</v>
      </c>
      <c r="E173" s="127">
        <v>0.555022</v>
      </c>
      <c r="F173" s="127">
        <v>20.0557</v>
      </c>
      <c r="G173" s="127">
        <v>-0.13742</v>
      </c>
    </row>
    <row r="174">
      <c r="A174" s="127">
        <v>2017.0</v>
      </c>
      <c r="B174" s="127" t="s">
        <v>1076</v>
      </c>
      <c r="C174" s="127">
        <v>425.0</v>
      </c>
      <c r="D174" s="127">
        <v>0.0749</v>
      </c>
      <c r="E174" s="127">
        <v>0.507874</v>
      </c>
      <c r="F174" s="127">
        <v>20.2403</v>
      </c>
      <c r="G174" s="127">
        <v>0.20274</v>
      </c>
    </row>
    <row r="175">
      <c r="A175" s="127">
        <v>2018.0</v>
      </c>
      <c r="B175" s="127" t="s">
        <v>1076</v>
      </c>
      <c r="C175" s="127">
        <v>480.0</v>
      </c>
      <c r="D175" s="127">
        <v>0.0811</v>
      </c>
      <c r="E175" s="127">
        <v>0.466221</v>
      </c>
      <c r="F175" s="127">
        <v>20.2441</v>
      </c>
      <c r="G175" s="127">
        <v>0.00377</v>
      </c>
    </row>
    <row r="176">
      <c r="A176" s="127">
        <v>2019.0</v>
      </c>
      <c r="B176" s="127" t="s">
        <v>1076</v>
      </c>
      <c r="C176" s="127">
        <v>570.0</v>
      </c>
      <c r="D176" s="127">
        <v>0.104</v>
      </c>
      <c r="E176" s="127">
        <v>0.398921</v>
      </c>
      <c r="F176" s="127">
        <v>20.2817</v>
      </c>
      <c r="G176" s="127">
        <v>0.03833</v>
      </c>
    </row>
    <row r="177">
      <c r="A177" s="127">
        <v>2020.0</v>
      </c>
      <c r="B177" s="127" t="s">
        <v>1076</v>
      </c>
      <c r="C177" s="127">
        <v>757.0</v>
      </c>
      <c r="D177" s="127">
        <v>0.0347</v>
      </c>
      <c r="E177" s="127">
        <v>0.385868</v>
      </c>
      <c r="F177" s="127">
        <v>19.8779</v>
      </c>
      <c r="G177" s="127">
        <v>-0.33225</v>
      </c>
    </row>
    <row r="178">
      <c r="A178" s="127">
        <v>2021.0</v>
      </c>
      <c r="B178" s="127" t="s">
        <v>1076</v>
      </c>
      <c r="C178" s="127">
        <v>867.0</v>
      </c>
      <c r="D178" s="127">
        <v>0.145</v>
      </c>
      <c r="E178" s="127">
        <v>0.270584</v>
      </c>
      <c r="F178" s="127">
        <v>20.3044</v>
      </c>
      <c r="G178" s="127">
        <v>0.532</v>
      </c>
    </row>
    <row r="179">
      <c r="A179" s="127">
        <v>2022.0</v>
      </c>
      <c r="B179" s="127" t="s">
        <v>1076</v>
      </c>
      <c r="C179" s="127">
        <v>1060.0</v>
      </c>
      <c r="D179" s="127">
        <v>0.181</v>
      </c>
      <c r="E179" s="127">
        <v>0.18189</v>
      </c>
      <c r="F179" s="127">
        <v>20.4304</v>
      </c>
      <c r="G179" s="127">
        <v>0.13421</v>
      </c>
    </row>
    <row r="180">
      <c r="A180" s="127">
        <v>2023.0</v>
      </c>
      <c r="B180" s="127" t="s">
        <v>1076</v>
      </c>
      <c r="C180" s="127">
        <v>1750.0</v>
      </c>
      <c r="D180" s="127">
        <v>0.178</v>
      </c>
      <c r="E180" s="127">
        <v>0.122567</v>
      </c>
      <c r="F180" s="127">
        <v>20.3095</v>
      </c>
      <c r="G180" s="127">
        <v>-0.11382</v>
      </c>
    </row>
    <row r="181">
      <c r="A181" s="127">
        <v>2024.0</v>
      </c>
      <c r="B181" s="127" t="s">
        <v>1076</v>
      </c>
      <c r="C181" s="127">
        <v>2260.0</v>
      </c>
      <c r="D181" s="127">
        <v>0.205</v>
      </c>
      <c r="E181" s="127">
        <v>0.073228</v>
      </c>
      <c r="F181" s="127">
        <v>20.2578</v>
      </c>
      <c r="G181" s="127">
        <v>-0.05042</v>
      </c>
    </row>
    <row r="182">
      <c r="A182" s="127">
        <v>2015.0</v>
      </c>
      <c r="B182" s="127" t="s">
        <v>1132</v>
      </c>
      <c r="C182" s="127">
        <v>833.0</v>
      </c>
      <c r="D182" s="127">
        <v>0.332</v>
      </c>
      <c r="E182" s="127">
        <v>0.022624</v>
      </c>
      <c r="F182" s="127">
        <v>19.5357</v>
      </c>
      <c r="G182" s="127">
        <v>0.36296</v>
      </c>
    </row>
    <row r="183">
      <c r="A183" s="127">
        <v>2016.0</v>
      </c>
      <c r="B183" s="127" t="s">
        <v>1132</v>
      </c>
      <c r="C183" s="127">
        <v>894.0</v>
      </c>
      <c r="D183" s="127">
        <v>0.298</v>
      </c>
      <c r="E183" s="127">
        <v>0.068091</v>
      </c>
      <c r="F183" s="127">
        <v>19.6896</v>
      </c>
      <c r="G183" s="127">
        <v>0.16637</v>
      </c>
    </row>
    <row r="184">
      <c r="A184" s="127">
        <v>2017.0</v>
      </c>
      <c r="B184" s="127" t="s">
        <v>1132</v>
      </c>
      <c r="C184" s="127">
        <v>657.0</v>
      </c>
      <c r="D184" s="127">
        <v>0.209</v>
      </c>
      <c r="E184" s="127">
        <v>0.025395</v>
      </c>
      <c r="F184" s="127">
        <v>19.8108</v>
      </c>
      <c r="G184" s="127">
        <v>0.1288</v>
      </c>
    </row>
    <row r="185">
      <c r="A185" s="127">
        <v>2018.0</v>
      </c>
      <c r="B185" s="127" t="s">
        <v>1132</v>
      </c>
      <c r="C185" s="127">
        <v>598.0</v>
      </c>
      <c r="D185" s="127">
        <v>0.15</v>
      </c>
      <c r="E185" s="127">
        <v>0.021893</v>
      </c>
      <c r="F185" s="127">
        <v>19.9079</v>
      </c>
      <c r="G185" s="127">
        <v>0.10196</v>
      </c>
    </row>
    <row r="186">
      <c r="A186" s="127">
        <v>2019.0</v>
      </c>
      <c r="B186" s="127" t="s">
        <v>1132</v>
      </c>
      <c r="C186" s="127">
        <v>590.0</v>
      </c>
      <c r="D186" s="127">
        <v>0.109</v>
      </c>
      <c r="E186" s="127">
        <v>0.019246</v>
      </c>
      <c r="F186" s="127">
        <v>19.9295</v>
      </c>
      <c r="G186" s="127">
        <v>0.02187</v>
      </c>
    </row>
    <row r="187">
      <c r="A187" s="127">
        <v>2020.0</v>
      </c>
      <c r="B187" s="127" t="s">
        <v>1132</v>
      </c>
      <c r="C187" s="127">
        <v>718.0</v>
      </c>
      <c r="D187" s="127">
        <v>0.0257</v>
      </c>
      <c r="E187" s="127">
        <v>0.015532</v>
      </c>
      <c r="F187" s="127">
        <v>19.5337</v>
      </c>
      <c r="G187" s="127">
        <v>-0.3269</v>
      </c>
    </row>
    <row r="188">
      <c r="A188" s="127">
        <v>2021.0</v>
      </c>
      <c r="B188" s="127" t="s">
        <v>1132</v>
      </c>
      <c r="C188" s="127">
        <v>1170.0</v>
      </c>
      <c r="D188" s="127">
        <v>-0.0475</v>
      </c>
      <c r="E188" s="127">
        <v>0.012972</v>
      </c>
      <c r="F188" s="127">
        <v>18.9345</v>
      </c>
      <c r="G188" s="127">
        <v>-0.45075</v>
      </c>
    </row>
    <row r="189">
      <c r="A189" s="127">
        <v>2022.0</v>
      </c>
      <c r="B189" s="127" t="s">
        <v>1132</v>
      </c>
      <c r="C189" s="127">
        <v>912.0</v>
      </c>
      <c r="D189" s="127">
        <v>0.0501</v>
      </c>
      <c r="E189" s="127">
        <v>0.015297</v>
      </c>
      <c r="F189" s="127">
        <v>19.8313</v>
      </c>
      <c r="G189" s="127">
        <v>1.45185</v>
      </c>
    </row>
    <row r="190">
      <c r="A190" s="127">
        <v>2023.0</v>
      </c>
      <c r="B190" s="127" t="s">
        <v>1132</v>
      </c>
      <c r="C190" s="127">
        <v>919.0</v>
      </c>
      <c r="D190" s="127">
        <v>0.0777</v>
      </c>
      <c r="E190" s="127">
        <v>0.01713</v>
      </c>
      <c r="F190" s="127">
        <v>19.8302</v>
      </c>
      <c r="G190" s="127">
        <v>-0.00107</v>
      </c>
    </row>
    <row r="191">
      <c r="A191" s="127">
        <v>2024.0</v>
      </c>
      <c r="B191" s="127" t="s">
        <v>1132</v>
      </c>
      <c r="C191" s="127">
        <v>767.0</v>
      </c>
      <c r="D191" s="127">
        <v>0.0378</v>
      </c>
      <c r="E191" s="127">
        <v>0.016007</v>
      </c>
      <c r="F191" s="127">
        <v>19.7586</v>
      </c>
      <c r="G191" s="127">
        <v>-0.06911</v>
      </c>
    </row>
    <row r="192">
      <c r="A192" s="127">
        <v>2015.0</v>
      </c>
      <c r="B192" s="127" t="s">
        <v>539</v>
      </c>
      <c r="C192" s="127">
        <v>53.5</v>
      </c>
      <c r="D192" s="127">
        <v>0.00791</v>
      </c>
      <c r="E192" s="127">
        <v>0.933018</v>
      </c>
      <c r="F192" s="127">
        <v>23.6807</v>
      </c>
      <c r="G192" s="127">
        <v>0.2589</v>
      </c>
    </row>
    <row r="193">
      <c r="A193" s="127">
        <v>2016.0</v>
      </c>
      <c r="B193" s="127" t="s">
        <v>539</v>
      </c>
      <c r="C193" s="127">
        <v>51.0</v>
      </c>
      <c r="D193" s="127">
        <v>0.00875</v>
      </c>
      <c r="E193" s="127">
        <v>0.938896</v>
      </c>
      <c r="F193" s="127">
        <v>23.8542</v>
      </c>
      <c r="G193" s="127">
        <v>0.18952</v>
      </c>
    </row>
    <row r="194">
      <c r="A194" s="127">
        <v>2017.0</v>
      </c>
      <c r="B194" s="127" t="s">
        <v>539</v>
      </c>
      <c r="C194" s="127">
        <v>81.4</v>
      </c>
      <c r="D194" s="127">
        <v>0.0088</v>
      </c>
      <c r="E194" s="127">
        <v>0.949234</v>
      </c>
      <c r="F194" s="127">
        <v>24.0182</v>
      </c>
      <c r="G194" s="127">
        <v>0.17815</v>
      </c>
    </row>
    <row r="195">
      <c r="A195" s="127">
        <v>2018.0</v>
      </c>
      <c r="B195" s="127" t="s">
        <v>539</v>
      </c>
      <c r="C195" s="127">
        <v>78.3</v>
      </c>
      <c r="D195" s="127">
        <v>0.0136</v>
      </c>
      <c r="E195" s="127">
        <v>0.942106</v>
      </c>
      <c r="F195" s="127">
        <v>24.2592</v>
      </c>
      <c r="G195" s="127">
        <v>0.27259</v>
      </c>
    </row>
    <row r="196">
      <c r="A196" s="127">
        <v>2019.0</v>
      </c>
      <c r="B196" s="127" t="s">
        <v>539</v>
      </c>
      <c r="C196" s="127">
        <v>116.0</v>
      </c>
      <c r="D196" s="127">
        <v>0.0152</v>
      </c>
      <c r="E196" s="127">
        <v>0.933797</v>
      </c>
      <c r="F196" s="127">
        <v>24.4699</v>
      </c>
      <c r="G196" s="127">
        <v>0.23452</v>
      </c>
    </row>
    <row r="197">
      <c r="A197" s="127">
        <v>2020.0</v>
      </c>
      <c r="B197" s="127" t="s">
        <v>539</v>
      </c>
      <c r="C197" s="127">
        <v>120.0</v>
      </c>
      <c r="D197" s="127">
        <v>0.0139</v>
      </c>
      <c r="E197" s="127">
        <v>0.929051</v>
      </c>
      <c r="F197" s="127">
        <v>24.5692</v>
      </c>
      <c r="G197" s="127">
        <v>0.10436</v>
      </c>
    </row>
    <row r="198">
      <c r="A198" s="127">
        <v>2021.0</v>
      </c>
      <c r="B198" s="127" t="s">
        <v>539</v>
      </c>
      <c r="C198" s="127">
        <v>117.0</v>
      </c>
      <c r="D198" s="127">
        <v>0.0156</v>
      </c>
      <c r="E198" s="127">
        <v>0.922836</v>
      </c>
      <c r="F198" s="127">
        <v>24.7142</v>
      </c>
      <c r="G198" s="127">
        <v>0.15611</v>
      </c>
    </row>
    <row r="199">
      <c r="A199" s="127">
        <v>2022.0</v>
      </c>
      <c r="B199" s="127" t="s">
        <v>539</v>
      </c>
      <c r="C199" s="127">
        <v>92.9</v>
      </c>
      <c r="D199" s="127">
        <v>0.0165</v>
      </c>
      <c r="E199" s="127">
        <v>0.925215</v>
      </c>
      <c r="F199" s="127">
        <v>24.9102</v>
      </c>
      <c r="G199" s="127">
        <v>0.21649</v>
      </c>
    </row>
    <row r="200">
      <c r="A200" s="127">
        <v>2023.0</v>
      </c>
      <c r="B200" s="127" t="s">
        <v>539</v>
      </c>
      <c r="C200" s="127">
        <v>138.0</v>
      </c>
      <c r="D200" s="127">
        <v>0.018</v>
      </c>
      <c r="E200" s="127">
        <v>0.910269</v>
      </c>
      <c r="F200" s="127">
        <v>24.9011</v>
      </c>
      <c r="G200" s="127">
        <v>-0.00906</v>
      </c>
    </row>
    <row r="201">
      <c r="A201" s="127">
        <v>2024.0</v>
      </c>
      <c r="B201" s="127" t="s">
        <v>539</v>
      </c>
      <c r="C201" s="127">
        <v>163.0</v>
      </c>
      <c r="D201" s="127">
        <v>0.0162</v>
      </c>
      <c r="E201" s="127">
        <v>0.905934</v>
      </c>
      <c r="F201" s="127">
        <v>24.9114</v>
      </c>
      <c r="G201" s="127">
        <v>0.01035</v>
      </c>
    </row>
    <row r="202">
      <c r="A202" s="127">
        <v>2015.0</v>
      </c>
      <c r="B202" s="127" t="s">
        <v>95</v>
      </c>
      <c r="C202" s="127">
        <v>247.0</v>
      </c>
      <c r="D202" s="127">
        <v>0.0103</v>
      </c>
      <c r="E202" s="127">
        <v>0.741781</v>
      </c>
      <c r="F202" s="127">
        <v>24.251</v>
      </c>
      <c r="G202" s="127">
        <v>0.22812</v>
      </c>
    </row>
    <row r="203">
      <c r="A203" s="127">
        <v>2016.0</v>
      </c>
      <c r="B203" s="127" t="s">
        <v>95</v>
      </c>
      <c r="C203" s="127">
        <v>315.0</v>
      </c>
      <c r="D203" s="127">
        <v>0.0243</v>
      </c>
      <c r="E203" s="127">
        <v>0.736798</v>
      </c>
      <c r="F203" s="127">
        <v>24.777</v>
      </c>
      <c r="G203" s="127">
        <v>0.69215</v>
      </c>
    </row>
    <row r="204">
      <c r="A204" s="127">
        <v>2017.0</v>
      </c>
      <c r="B204" s="127" t="s">
        <v>95</v>
      </c>
      <c r="C204" s="127">
        <v>701.0</v>
      </c>
      <c r="D204" s="127">
        <v>0.0265</v>
      </c>
      <c r="E204" s="127">
        <v>0.754168</v>
      </c>
      <c r="F204" s="127">
        <v>25.2158</v>
      </c>
      <c r="G204" s="127">
        <v>0.55083</v>
      </c>
    </row>
    <row r="205">
      <c r="A205" s="127">
        <v>2018.0</v>
      </c>
      <c r="B205" s="127" t="s">
        <v>95</v>
      </c>
      <c r="C205" s="127">
        <v>776.0</v>
      </c>
      <c r="D205" s="127">
        <v>0.0216</v>
      </c>
      <c r="E205" s="127">
        <v>0.655823</v>
      </c>
      <c r="F205" s="127">
        <v>25.5264</v>
      </c>
      <c r="G205" s="127">
        <v>0.36423</v>
      </c>
    </row>
    <row r="206">
      <c r="A206" s="127">
        <v>2019.0</v>
      </c>
      <c r="B206" s="127" t="s">
        <v>95</v>
      </c>
      <c r="C206" s="127">
        <v>809.0</v>
      </c>
      <c r="D206" s="127">
        <v>0.0191</v>
      </c>
      <c r="E206" s="127">
        <v>0.701322</v>
      </c>
      <c r="F206" s="127">
        <v>25.5911</v>
      </c>
      <c r="G206" s="127">
        <v>0.06679</v>
      </c>
    </row>
    <row r="207">
      <c r="A207" s="127">
        <v>2020.0</v>
      </c>
      <c r="B207" s="127" t="s">
        <v>95</v>
      </c>
      <c r="C207" s="127">
        <v>766.0</v>
      </c>
      <c r="D207" s="127">
        <v>0.0107</v>
      </c>
      <c r="E207" s="127">
        <v>0.677883</v>
      </c>
      <c r="F207" s="127">
        <v>25.4282</v>
      </c>
      <c r="G207" s="127">
        <v>-0.15031</v>
      </c>
    </row>
    <row r="208">
      <c r="A208" s="127">
        <v>2021.0</v>
      </c>
      <c r="B208" s="127" t="s">
        <v>95</v>
      </c>
      <c r="C208" s="127">
        <v>752.0</v>
      </c>
      <c r="D208" s="127">
        <v>-0.0176</v>
      </c>
      <c r="E208" s="127">
        <v>0.627503</v>
      </c>
      <c r="F208" s="127">
        <v>25.5571</v>
      </c>
      <c r="G208" s="127">
        <v>0.13755</v>
      </c>
    </row>
    <row r="209">
      <c r="A209" s="127">
        <v>2022.0</v>
      </c>
      <c r="B209" s="127" t="s">
        <v>95</v>
      </c>
      <c r="C209" s="127">
        <v>355.0</v>
      </c>
      <c r="D209" s="127">
        <v>0.00354</v>
      </c>
      <c r="E209" s="127">
        <v>0.765061</v>
      </c>
      <c r="F209" s="127">
        <v>25.3462</v>
      </c>
      <c r="G209" s="127">
        <v>-0.19011</v>
      </c>
    </row>
    <row r="210">
      <c r="A210" s="127">
        <v>2023.0</v>
      </c>
      <c r="B210" s="127" t="s">
        <v>95</v>
      </c>
      <c r="C210" s="127">
        <v>256.0</v>
      </c>
      <c r="D210" s="127">
        <v>0.00308</v>
      </c>
      <c r="E210" s="127">
        <v>0.777997</v>
      </c>
      <c r="F210" s="127">
        <v>25.8073</v>
      </c>
      <c r="G210" s="127">
        <v>0.58583</v>
      </c>
    </row>
    <row r="211">
      <c r="A211" s="127">
        <v>2024.0</v>
      </c>
      <c r="B211" s="127" t="s">
        <v>95</v>
      </c>
      <c r="C211" s="127">
        <v>186.0</v>
      </c>
      <c r="D211" s="127">
        <v>0.00631</v>
      </c>
      <c r="E211" s="127">
        <v>0.81612</v>
      </c>
      <c r="F211" s="127">
        <v>25.9654</v>
      </c>
      <c r="G211" s="127">
        <v>0.17123</v>
      </c>
    </row>
    <row r="212">
      <c r="A212" s="127">
        <v>2015.0</v>
      </c>
      <c r="B212" s="127" t="s">
        <v>1224</v>
      </c>
      <c r="C212" s="127">
        <v>20.7752</v>
      </c>
      <c r="D212" s="127">
        <v>0.003593</v>
      </c>
      <c r="E212" s="127">
        <v>0.970589</v>
      </c>
      <c r="F212" s="127">
        <v>23.1869</v>
      </c>
      <c r="G212" s="127">
        <v>0.03345</v>
      </c>
    </row>
    <row r="213">
      <c r="A213" s="127">
        <v>2016.0</v>
      </c>
      <c r="B213" s="127" t="s">
        <v>1224</v>
      </c>
      <c r="C213" s="127">
        <v>19.9003</v>
      </c>
      <c r="D213" s="127">
        <v>0.003211</v>
      </c>
      <c r="E213" s="127">
        <v>0.965088</v>
      </c>
      <c r="F213" s="127">
        <v>23.2876</v>
      </c>
      <c r="G213" s="127">
        <v>0.10595</v>
      </c>
    </row>
    <row r="214">
      <c r="A214" s="127">
        <v>2017.0</v>
      </c>
      <c r="B214" s="127" t="s">
        <v>1224</v>
      </c>
      <c r="C214" s="127">
        <v>19.4704</v>
      </c>
      <c r="D214" s="127">
        <v>0.00327</v>
      </c>
      <c r="E214" s="127">
        <v>0.96401</v>
      </c>
      <c r="F214" s="127">
        <v>23.4048</v>
      </c>
      <c r="G214" s="127">
        <v>0.12437</v>
      </c>
    </row>
    <row r="215">
      <c r="A215" s="127">
        <v>2018.0</v>
      </c>
      <c r="B215" s="127" t="s">
        <v>1224</v>
      </c>
      <c r="C215" s="127">
        <v>21.8249</v>
      </c>
      <c r="D215" s="127">
        <v>0.003348</v>
      </c>
      <c r="E215" s="127">
        <v>0.965041</v>
      </c>
      <c r="F215" s="127">
        <v>23.4432</v>
      </c>
      <c r="G215" s="127">
        <v>0.03915</v>
      </c>
    </row>
    <row r="216">
      <c r="A216" s="127">
        <v>2019.0</v>
      </c>
      <c r="B216" s="127" t="s">
        <v>1224</v>
      </c>
      <c r="C216" s="127">
        <v>29.2292</v>
      </c>
      <c r="D216" s="127">
        <v>0.003553</v>
      </c>
      <c r="E216" s="127">
        <v>0.962272</v>
      </c>
      <c r="F216" s="127">
        <v>23.6268</v>
      </c>
      <c r="G216" s="127">
        <v>0.20153</v>
      </c>
    </row>
    <row r="217">
      <c r="A217" s="127">
        <v>2020.0</v>
      </c>
      <c r="B217" s="127" t="s">
        <v>1224</v>
      </c>
      <c r="C217" s="127">
        <v>29.874</v>
      </c>
      <c r="D217" s="127">
        <v>0.004497</v>
      </c>
      <c r="E217" s="127">
        <v>0.956202</v>
      </c>
      <c r="F217" s="127">
        <v>23.6215</v>
      </c>
      <c r="G217" s="127">
        <v>-0.0053</v>
      </c>
    </row>
    <row r="218">
      <c r="A218" s="127">
        <v>2021.0</v>
      </c>
      <c r="B218" s="127" t="s">
        <v>1224</v>
      </c>
      <c r="C218" s="127">
        <v>77.2345</v>
      </c>
      <c r="D218" s="127">
        <v>0.003732</v>
      </c>
      <c r="E218" s="127">
        <v>0.927985</v>
      </c>
      <c r="F218" s="127">
        <v>23.2338</v>
      </c>
      <c r="G218" s="127">
        <v>-0.32138</v>
      </c>
    </row>
    <row r="219">
      <c r="A219" s="127">
        <v>2022.0</v>
      </c>
      <c r="B219" s="127" t="s">
        <v>1224</v>
      </c>
      <c r="C219" s="127">
        <v>86.979</v>
      </c>
      <c r="D219" s="127">
        <v>0.011513</v>
      </c>
      <c r="E219" s="127">
        <v>0.862879</v>
      </c>
      <c r="F219" s="127">
        <v>22.6796</v>
      </c>
      <c r="G219" s="127">
        <v>-0.42547</v>
      </c>
    </row>
    <row r="220">
      <c r="A220" s="127">
        <v>2023.0</v>
      </c>
      <c r="B220" s="127" t="s">
        <v>1224</v>
      </c>
      <c r="C220" s="127">
        <v>127.668</v>
      </c>
      <c r="D220" s="127">
        <v>0.016807</v>
      </c>
      <c r="E220" s="127">
        <v>0.771537</v>
      </c>
      <c r="F220" s="127">
        <v>21.9885</v>
      </c>
      <c r="G220" s="127">
        <v>-0.49898</v>
      </c>
    </row>
    <row r="221">
      <c r="A221" s="127">
        <v>2024.0</v>
      </c>
      <c r="B221" s="127" t="s">
        <v>1224</v>
      </c>
      <c r="C221" s="127">
        <v>213.407</v>
      </c>
      <c r="D221" s="127">
        <v>0.019669</v>
      </c>
      <c r="E221" s="127">
        <v>0.65205</v>
      </c>
      <c r="F221" s="127">
        <v>20.9463</v>
      </c>
      <c r="G221" s="127">
        <v>-0.64733</v>
      </c>
    </row>
    <row r="222">
      <c r="A222" s="127">
        <v>2015.0</v>
      </c>
      <c r="B222" s="127" t="s">
        <v>1392</v>
      </c>
      <c r="C222" s="127">
        <v>52.1888</v>
      </c>
      <c r="D222" s="127">
        <v>0.038976</v>
      </c>
      <c r="E222" s="127">
        <v>0.585009</v>
      </c>
      <c r="F222" s="127">
        <v>20.0063</v>
      </c>
      <c r="G222" s="127">
        <v>0.2525</v>
      </c>
    </row>
    <row r="223">
      <c r="A223" s="127">
        <v>2016.0</v>
      </c>
      <c r="B223" s="127" t="s">
        <v>1392</v>
      </c>
      <c r="C223" s="127">
        <v>53.0125</v>
      </c>
      <c r="D223" s="127">
        <v>0.036004</v>
      </c>
      <c r="E223" s="127">
        <v>0.623458</v>
      </c>
      <c r="F223" s="127">
        <v>20.0043</v>
      </c>
      <c r="G223" s="127">
        <v>-0.00199</v>
      </c>
    </row>
    <row r="224">
      <c r="A224" s="127">
        <v>2017.0</v>
      </c>
      <c r="B224" s="127" t="s">
        <v>1392</v>
      </c>
      <c r="C224" s="127">
        <v>68.3906</v>
      </c>
      <c r="D224" s="127">
        <v>0.059614</v>
      </c>
      <c r="E224" s="127">
        <v>0.688213</v>
      </c>
      <c r="F224" s="127">
        <v>20.6578</v>
      </c>
      <c r="G224" s="127">
        <v>0.92234</v>
      </c>
    </row>
    <row r="225">
      <c r="A225" s="127">
        <v>2018.0</v>
      </c>
      <c r="B225" s="127" t="s">
        <v>1392</v>
      </c>
      <c r="C225" s="127">
        <v>43.9995</v>
      </c>
      <c r="D225" s="127">
        <v>0.03542</v>
      </c>
      <c r="E225" s="127">
        <v>0.716846</v>
      </c>
      <c r="F225" s="127">
        <v>20.9163</v>
      </c>
      <c r="G225" s="127">
        <v>0.29498</v>
      </c>
    </row>
    <row r="226">
      <c r="A226" s="127">
        <v>2019.0</v>
      </c>
      <c r="B226" s="127" t="s">
        <v>1392</v>
      </c>
      <c r="C226" s="127">
        <v>51.0346</v>
      </c>
      <c r="D226" s="127">
        <v>0.032713</v>
      </c>
      <c r="E226" s="127">
        <v>0.721959</v>
      </c>
      <c r="F226" s="127">
        <v>20.9454</v>
      </c>
      <c r="G226" s="127">
        <v>0.02949</v>
      </c>
    </row>
    <row r="227">
      <c r="A227" s="127">
        <v>2020.0</v>
      </c>
      <c r="B227" s="127" t="s">
        <v>1392</v>
      </c>
      <c r="C227" s="127">
        <v>85.7121</v>
      </c>
      <c r="D227" s="127">
        <v>0.046258</v>
      </c>
      <c r="E227" s="127">
        <v>0.744977</v>
      </c>
      <c r="F227" s="127">
        <v>21.0874</v>
      </c>
      <c r="G227" s="127">
        <v>0.15261</v>
      </c>
    </row>
    <row r="228">
      <c r="A228" s="127">
        <v>2021.0</v>
      </c>
      <c r="B228" s="127" t="s">
        <v>1392</v>
      </c>
      <c r="C228" s="127">
        <v>152.675</v>
      </c>
      <c r="D228" s="127">
        <v>0.064239</v>
      </c>
      <c r="E228" s="127">
        <v>0.735206</v>
      </c>
      <c r="F228" s="127">
        <v>21.9004</v>
      </c>
      <c r="G228" s="127">
        <v>1.25471</v>
      </c>
    </row>
    <row r="229">
      <c r="A229" s="127">
        <v>2022.0</v>
      </c>
      <c r="B229" s="127" t="s">
        <v>1392</v>
      </c>
      <c r="C229" s="127">
        <v>119.108</v>
      </c>
      <c r="D229" s="127">
        <v>0.031393</v>
      </c>
      <c r="E229" s="127">
        <v>0.62659</v>
      </c>
      <c r="F229" s="127">
        <v>22.1273</v>
      </c>
      <c r="G229" s="127">
        <v>0.25472</v>
      </c>
    </row>
    <row r="230">
      <c r="A230" s="127">
        <v>2023.0</v>
      </c>
      <c r="B230" s="127" t="s">
        <v>1392</v>
      </c>
      <c r="C230" s="127">
        <v>509.761</v>
      </c>
      <c r="D230" s="127">
        <v>0.048446</v>
      </c>
      <c r="E230" s="127">
        <v>0.604528</v>
      </c>
      <c r="F230" s="127">
        <v>22.1512</v>
      </c>
      <c r="G230" s="127">
        <v>0.02417</v>
      </c>
    </row>
    <row r="231">
      <c r="A231" s="127">
        <v>2024.0</v>
      </c>
      <c r="B231" s="127" t="s">
        <v>1392</v>
      </c>
      <c r="C231" s="127">
        <v>336.386</v>
      </c>
      <c r="D231" s="127">
        <v>0.038795</v>
      </c>
      <c r="E231" s="127">
        <v>0.554912</v>
      </c>
      <c r="F231" s="127">
        <v>22.0139</v>
      </c>
      <c r="G231" s="127">
        <v>-0.12832</v>
      </c>
    </row>
    <row r="232">
      <c r="A232" s="127">
        <v>2015.0</v>
      </c>
      <c r="B232" s="127" t="s">
        <v>595</v>
      </c>
      <c r="C232" s="127">
        <v>1750.0</v>
      </c>
      <c r="D232" s="127">
        <v>0.283</v>
      </c>
      <c r="E232" s="127">
        <v>0.238526</v>
      </c>
      <c r="F232" s="127">
        <v>24.4142</v>
      </c>
      <c r="G232" s="127">
        <v>0.1428</v>
      </c>
    </row>
    <row r="233">
      <c r="A233" s="127">
        <v>2016.0</v>
      </c>
      <c r="B233" s="127" t="s">
        <v>595</v>
      </c>
      <c r="C233" s="127">
        <v>2400.0</v>
      </c>
      <c r="D233" s="127">
        <v>0.319</v>
      </c>
      <c r="E233" s="127">
        <v>0.237339</v>
      </c>
      <c r="F233" s="127">
        <v>24.569</v>
      </c>
      <c r="G233" s="127">
        <v>0.16751</v>
      </c>
    </row>
    <row r="234">
      <c r="A234" s="127">
        <v>2017.0</v>
      </c>
      <c r="B234" s="127" t="s">
        <v>595</v>
      </c>
      <c r="C234" s="127">
        <v>4230.0</v>
      </c>
      <c r="D234" s="127">
        <v>0.296</v>
      </c>
      <c r="E234" s="127">
        <v>0.311367</v>
      </c>
      <c r="F234" s="127">
        <v>24.6559</v>
      </c>
      <c r="G234" s="127">
        <v>0.09075</v>
      </c>
    </row>
    <row r="235">
      <c r="A235" s="127">
        <v>2018.0</v>
      </c>
      <c r="B235" s="127" t="s">
        <v>595</v>
      </c>
      <c r="C235" s="127">
        <v>2780.0</v>
      </c>
      <c r="D235" s="127">
        <v>0.273</v>
      </c>
      <c r="E235" s="127">
        <v>0.29692</v>
      </c>
      <c r="F235" s="127">
        <v>24.6853</v>
      </c>
      <c r="G235" s="127">
        <v>0.0298</v>
      </c>
    </row>
    <row r="236">
      <c r="A236" s="127">
        <v>2019.0</v>
      </c>
      <c r="B236" s="127" t="s">
        <v>595</v>
      </c>
      <c r="C236" s="127">
        <v>2810.0</v>
      </c>
      <c r="D236" s="127">
        <v>0.236</v>
      </c>
      <c r="E236" s="127">
        <v>0.334869</v>
      </c>
      <c r="F236" s="127">
        <v>24.7543</v>
      </c>
      <c r="G236" s="127">
        <v>0.07146</v>
      </c>
    </row>
    <row r="237">
      <c r="A237" s="127">
        <v>2020.0</v>
      </c>
      <c r="B237" s="127" t="s">
        <v>595</v>
      </c>
      <c r="C237" s="127">
        <v>2990.0</v>
      </c>
      <c r="D237" s="127">
        <v>0.232</v>
      </c>
      <c r="E237" s="127">
        <v>0.305278</v>
      </c>
      <c r="F237" s="127">
        <v>24.8115</v>
      </c>
      <c r="G237" s="127">
        <v>0.05892</v>
      </c>
    </row>
    <row r="238">
      <c r="A238" s="127">
        <v>2021.0</v>
      </c>
      <c r="B238" s="127" t="s">
        <v>595</v>
      </c>
      <c r="C238" s="127">
        <v>2650.0</v>
      </c>
      <c r="D238" s="127">
        <v>0.199</v>
      </c>
      <c r="E238" s="127">
        <v>0.327799</v>
      </c>
      <c r="F238" s="127">
        <v>24.8328</v>
      </c>
      <c r="G238" s="127">
        <v>0.02151</v>
      </c>
    </row>
    <row r="239">
      <c r="A239" s="127">
        <v>2022.0</v>
      </c>
      <c r="B239" s="127" t="s">
        <v>595</v>
      </c>
      <c r="C239" s="127">
        <v>2750.0</v>
      </c>
      <c r="D239" s="127">
        <v>0.177</v>
      </c>
      <c r="E239" s="127">
        <v>0.323129</v>
      </c>
      <c r="F239" s="127">
        <v>24.8169</v>
      </c>
      <c r="G239" s="127">
        <v>-0.01581</v>
      </c>
    </row>
    <row r="240">
      <c r="A240" s="127">
        <v>2023.0</v>
      </c>
      <c r="B240" s="127" t="s">
        <v>595</v>
      </c>
      <c r="C240" s="127">
        <v>2340.0</v>
      </c>
      <c r="D240" s="127">
        <v>0.171</v>
      </c>
      <c r="E240" s="127">
        <v>0.335039</v>
      </c>
      <c r="F240" s="127">
        <v>24.8237</v>
      </c>
      <c r="G240" s="127">
        <v>0.00688</v>
      </c>
    </row>
    <row r="241">
      <c r="A241" s="127">
        <v>2024.0</v>
      </c>
      <c r="B241" s="127" t="s">
        <v>595</v>
      </c>
      <c r="C241" s="127">
        <v>2220.0</v>
      </c>
      <c r="D241" s="127">
        <v>0.172</v>
      </c>
      <c r="E241" s="127">
        <v>0.34287</v>
      </c>
      <c r="F241" s="127">
        <v>24.8469</v>
      </c>
      <c r="G241" s="127">
        <v>0.02342</v>
      </c>
    </row>
    <row r="242">
      <c r="A242" s="127">
        <v>2015.0</v>
      </c>
      <c r="B242" s="127" t="s">
        <v>1280</v>
      </c>
      <c r="C242" s="127">
        <v>76.6328</v>
      </c>
      <c r="D242" s="127">
        <v>-0.063818</v>
      </c>
      <c r="E242" s="127">
        <v>0.782513</v>
      </c>
      <c r="F242" s="127">
        <v>21.239</v>
      </c>
      <c r="G242" s="127">
        <v>-0.17777</v>
      </c>
    </row>
    <row r="243">
      <c r="A243" s="127">
        <v>2016.0</v>
      </c>
      <c r="B243" s="127" t="s">
        <v>1280</v>
      </c>
      <c r="C243" s="127">
        <v>32.2104</v>
      </c>
      <c r="D243" s="127">
        <v>-0.084738</v>
      </c>
      <c r="E243" s="127">
        <v>0.851653</v>
      </c>
      <c r="F243" s="127">
        <v>20.9529</v>
      </c>
      <c r="G243" s="127">
        <v>-0.24884</v>
      </c>
    </row>
    <row r="244">
      <c r="A244" s="127">
        <v>2017.0</v>
      </c>
      <c r="B244" s="127" t="s">
        <v>1280</v>
      </c>
      <c r="C244" s="127">
        <v>114.148</v>
      </c>
      <c r="D244" s="127">
        <v>0.002779</v>
      </c>
      <c r="E244" s="127">
        <v>0.834791</v>
      </c>
      <c r="F244" s="127">
        <v>21.2007</v>
      </c>
      <c r="G244" s="127">
        <v>0.28123</v>
      </c>
    </row>
    <row r="245">
      <c r="A245" s="127">
        <v>2018.0</v>
      </c>
      <c r="B245" s="127" t="s">
        <v>1280</v>
      </c>
      <c r="C245" s="127">
        <v>59.0911</v>
      </c>
      <c r="D245" s="127">
        <v>0.004701</v>
      </c>
      <c r="E245" s="127">
        <v>0.820463</v>
      </c>
      <c r="F245" s="127">
        <v>21.2438</v>
      </c>
      <c r="G245" s="127">
        <v>0.04404</v>
      </c>
    </row>
    <row r="246">
      <c r="A246" s="127">
        <v>2019.0</v>
      </c>
      <c r="B246" s="127" t="s">
        <v>1280</v>
      </c>
      <c r="C246" s="127">
        <v>69.6833</v>
      </c>
      <c r="D246" s="127">
        <v>0.015613</v>
      </c>
      <c r="E246" s="127">
        <v>0.773229</v>
      </c>
      <c r="F246" s="127">
        <v>21.154</v>
      </c>
      <c r="G246" s="127">
        <v>-0.08589</v>
      </c>
    </row>
    <row r="247">
      <c r="A247" s="127">
        <v>2020.0</v>
      </c>
      <c r="B247" s="127" t="s">
        <v>1280</v>
      </c>
      <c r="C247" s="127">
        <v>108.017</v>
      </c>
      <c r="D247" s="127">
        <v>-0.066975</v>
      </c>
      <c r="E247" s="127">
        <v>0.818131</v>
      </c>
      <c r="F247" s="127">
        <v>20.968</v>
      </c>
      <c r="G247" s="127">
        <v>-0.16974</v>
      </c>
    </row>
    <row r="248">
      <c r="A248" s="127">
        <v>2021.0</v>
      </c>
      <c r="B248" s="127" t="s">
        <v>1280</v>
      </c>
      <c r="C248" s="127">
        <v>902.096</v>
      </c>
      <c r="D248" s="127">
        <v>0.178512</v>
      </c>
      <c r="E248" s="127">
        <v>0.632599</v>
      </c>
      <c r="F248" s="127">
        <v>21.0766</v>
      </c>
      <c r="G248" s="127">
        <v>0.11476</v>
      </c>
    </row>
    <row r="249">
      <c r="A249" s="127">
        <v>2022.0</v>
      </c>
      <c r="B249" s="127" t="s">
        <v>1280</v>
      </c>
      <c r="C249" s="127">
        <v>569.744</v>
      </c>
      <c r="D249" s="127">
        <v>0.182197</v>
      </c>
      <c r="E249" s="127">
        <v>0.429425</v>
      </c>
      <c r="F249" s="127">
        <v>21.6072</v>
      </c>
      <c r="G249" s="127">
        <v>0.69991</v>
      </c>
    </row>
    <row r="250">
      <c r="A250" s="127">
        <v>2023.0</v>
      </c>
      <c r="B250" s="127" t="s">
        <v>1280</v>
      </c>
      <c r="C250" s="127">
        <v>547.532</v>
      </c>
      <c r="D250" s="127">
        <v>0.057224</v>
      </c>
      <c r="E250" s="127">
        <v>0.384143</v>
      </c>
      <c r="F250" s="127">
        <v>21.8825</v>
      </c>
      <c r="G250" s="127">
        <v>0.31691</v>
      </c>
    </row>
    <row r="251">
      <c r="A251" s="127">
        <v>2024.0</v>
      </c>
      <c r="B251" s="127" t="s">
        <v>1280</v>
      </c>
      <c r="C251" s="127">
        <v>766.552</v>
      </c>
      <c r="D251" s="127">
        <v>0.115957</v>
      </c>
      <c r="E251" s="127">
        <v>0.312075</v>
      </c>
      <c r="F251" s="127">
        <v>22.4418</v>
      </c>
      <c r="G251" s="127">
        <v>0.74939</v>
      </c>
    </row>
    <row r="252">
      <c r="A252" s="127">
        <v>2015.0</v>
      </c>
      <c r="B252" s="127" t="s">
        <v>1336</v>
      </c>
      <c r="C252" s="127">
        <v>315.386</v>
      </c>
      <c r="D252" s="127">
        <v>-0.02669</v>
      </c>
      <c r="E252" s="127">
        <v>0.252446</v>
      </c>
      <c r="F252" s="127">
        <v>18.7079</v>
      </c>
      <c r="G252" s="127">
        <v>1.99581</v>
      </c>
    </row>
    <row r="253">
      <c r="A253" s="127">
        <v>2016.0</v>
      </c>
      <c r="B253" s="127" t="s">
        <v>1336</v>
      </c>
      <c r="C253" s="127">
        <v>773.491</v>
      </c>
      <c r="D253" s="127">
        <v>0.008834</v>
      </c>
      <c r="E253" s="127">
        <v>0.306252</v>
      </c>
      <c r="F253" s="127">
        <v>17.6789</v>
      </c>
      <c r="G253" s="127">
        <v>-0.64264</v>
      </c>
    </row>
    <row r="254">
      <c r="A254" s="127">
        <v>2017.0</v>
      </c>
      <c r="B254" s="127" t="s">
        <v>1336</v>
      </c>
      <c r="C254" s="127">
        <v>241.202</v>
      </c>
      <c r="D254" s="127">
        <v>0.075795</v>
      </c>
      <c r="E254" s="127">
        <v>0.276939</v>
      </c>
      <c r="F254" s="127">
        <v>18.2101</v>
      </c>
      <c r="G254" s="127">
        <v>0.7009</v>
      </c>
    </row>
    <row r="255">
      <c r="A255" s="127">
        <v>2018.0</v>
      </c>
      <c r="B255" s="127" t="s">
        <v>1336</v>
      </c>
      <c r="C255" s="127">
        <v>641.544</v>
      </c>
      <c r="D255" s="127">
        <v>0.197618</v>
      </c>
      <c r="E255" s="127">
        <v>0.285167</v>
      </c>
      <c r="F255" s="127">
        <v>17.4255</v>
      </c>
      <c r="G255" s="127">
        <v>-0.54369</v>
      </c>
    </row>
    <row r="256">
      <c r="A256" s="127">
        <v>2019.0</v>
      </c>
      <c r="B256" s="127" t="s">
        <v>1336</v>
      </c>
      <c r="C256" s="127">
        <v>500.205</v>
      </c>
      <c r="D256" s="127">
        <v>0.014899</v>
      </c>
      <c r="E256" s="127">
        <v>0.247159</v>
      </c>
      <c r="F256" s="127">
        <v>16.1792</v>
      </c>
      <c r="G256" s="127">
        <v>-0.71242</v>
      </c>
    </row>
    <row r="257">
      <c r="A257" s="127">
        <v>2020.0</v>
      </c>
      <c r="B257" s="127" t="s">
        <v>1336</v>
      </c>
      <c r="C257" s="127">
        <v>283.991</v>
      </c>
      <c r="D257" s="127">
        <v>2.61E-4</v>
      </c>
      <c r="E257" s="127">
        <v>0.251145</v>
      </c>
      <c r="F257" s="127">
        <v>16.0616</v>
      </c>
      <c r="G257" s="127">
        <v>-0.1109</v>
      </c>
    </row>
    <row r="258">
      <c r="A258" s="127">
        <v>2021.0</v>
      </c>
      <c r="B258" s="127" t="s">
        <v>1336</v>
      </c>
      <c r="C258" s="127">
        <v>834.521</v>
      </c>
      <c r="D258" s="127">
        <v>2.64E-4</v>
      </c>
      <c r="E258" s="127">
        <v>0.320776</v>
      </c>
      <c r="F258" s="127">
        <v>15.0609</v>
      </c>
      <c r="G258" s="127">
        <v>-0.63241</v>
      </c>
    </row>
    <row r="259">
      <c r="A259" s="127">
        <v>2022.0</v>
      </c>
      <c r="B259" s="127" t="s">
        <v>1336</v>
      </c>
      <c r="C259" s="127">
        <v>259.202</v>
      </c>
      <c r="D259" s="127">
        <v>0.01043</v>
      </c>
      <c r="E259" s="127">
        <v>0.214047</v>
      </c>
      <c r="F259" s="127">
        <v>15.1098</v>
      </c>
      <c r="G259" s="127">
        <v>0.05017</v>
      </c>
    </row>
    <row r="260">
      <c r="A260" s="127">
        <v>2023.0</v>
      </c>
      <c r="B260" s="127" t="s">
        <v>1336</v>
      </c>
      <c r="C260" s="127">
        <v>234.393</v>
      </c>
      <c r="D260" s="127">
        <v>2.34E-4</v>
      </c>
      <c r="E260" s="127">
        <v>0.267197</v>
      </c>
      <c r="F260" s="127">
        <v>15.1795</v>
      </c>
      <c r="G260" s="127">
        <v>0.07217</v>
      </c>
    </row>
    <row r="261">
      <c r="A261" s="127">
        <v>2024.0</v>
      </c>
      <c r="B261" s="127" t="s">
        <v>1336</v>
      </c>
      <c r="C261" s="127">
        <v>333.701</v>
      </c>
      <c r="D261" s="127">
        <v>0.001016</v>
      </c>
      <c r="E261" s="127">
        <v>0.274757</v>
      </c>
      <c r="F261" s="127">
        <v>16.5306</v>
      </c>
      <c r="G261" s="127">
        <v>2.8619</v>
      </c>
    </row>
  </sheetData>
  <drawing r:id="rId1"/>
</worksheet>
</file>